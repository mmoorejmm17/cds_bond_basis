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S:\Structured Credit\Matt Stuff\claude_repos\cds_bond_basis\output\"/>
    </mc:Choice>
  </mc:AlternateContent>
  <xr:revisionPtr revIDLastSave="0" documentId="8_{3682F0FF-367C-4D64-ACD2-69A480BF024A}" xr6:coauthVersionLast="47" xr6:coauthVersionMax="47" xr10:uidLastSave="{00000000-0000-0000-0000-000000000000}"/>
  <bookViews>
    <workbookView xWindow="-98" yWindow="-98" windowWidth="22875" windowHeight="13650" xr2:uid="{00000000-000D-0000-FFFF-FFFF00000000}"/>
  </bookViews>
  <sheets>
    <sheet name="Basis Summar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12" i="1" l="1"/>
  <c r="AC344" i="1"/>
  <c r="X342" i="1"/>
  <c r="X336" i="1"/>
  <c r="X330" i="1"/>
  <c r="X324" i="1"/>
  <c r="X318" i="1"/>
  <c r="X312" i="1"/>
  <c r="X306" i="1"/>
  <c r="X300" i="1"/>
  <c r="X294" i="1"/>
  <c r="X288" i="1"/>
  <c r="X282" i="1"/>
  <c r="X276" i="1"/>
  <c r="X270" i="1"/>
  <c r="X264" i="1"/>
  <c r="X258" i="1"/>
  <c r="X252" i="1"/>
  <c r="X246" i="1"/>
  <c r="AC345" i="1"/>
  <c r="Y343" i="1"/>
  <c r="X343" i="1"/>
  <c r="AC346" i="1"/>
  <c r="X344" i="1"/>
  <c r="X338" i="1"/>
  <c r="X332" i="1"/>
  <c r="X326" i="1"/>
  <c r="X320" i="1"/>
  <c r="X314" i="1"/>
  <c r="X308" i="1"/>
  <c r="Y345" i="1"/>
  <c r="X345" i="1"/>
  <c r="Y346" i="1"/>
  <c r="X346" i="1"/>
  <c r="AC343" i="1"/>
  <c r="Y341" i="1"/>
  <c r="AC337" i="1"/>
  <c r="Y335" i="1"/>
  <c r="AC331" i="1"/>
  <c r="Y329" i="1"/>
  <c r="AC325" i="1"/>
  <c r="Y323" i="1"/>
  <c r="AC319" i="1"/>
  <c r="Y317" i="1"/>
  <c r="AC313" i="1"/>
  <c r="Y311" i="1"/>
  <c r="AC307" i="1"/>
  <c r="Y305" i="1"/>
  <c r="AC301" i="1"/>
  <c r="Y299" i="1"/>
  <c r="AC295" i="1"/>
  <c r="Y293" i="1"/>
  <c r="AC289" i="1"/>
  <c r="Y287" i="1"/>
  <c r="AC283" i="1"/>
  <c r="Y281" i="1"/>
  <c r="AC277" i="1"/>
  <c r="Y275" i="1"/>
  <c r="AC271" i="1"/>
  <c r="X341" i="1"/>
  <c r="X335" i="1"/>
  <c r="X329" i="1"/>
  <c r="X323" i="1"/>
  <c r="X317" i="1"/>
  <c r="X311" i="1"/>
  <c r="X305" i="1"/>
  <c r="X299" i="1"/>
  <c r="X293" i="1"/>
  <c r="X287" i="1"/>
  <c r="X281" i="1"/>
  <c r="X275" i="1"/>
  <c r="X269" i="1"/>
  <c r="X263" i="1"/>
  <c r="X257" i="1"/>
  <c r="X251" i="1"/>
  <c r="X245" i="1"/>
  <c r="X239" i="1"/>
  <c r="AC342" i="1"/>
  <c r="X337" i="1"/>
  <c r="Y328" i="1"/>
  <c r="AC324" i="1"/>
  <c r="X319" i="1"/>
  <c r="Y310" i="1"/>
  <c r="Y300" i="1"/>
  <c r="AC298" i="1"/>
  <c r="X297" i="1"/>
  <c r="AC290" i="1"/>
  <c r="Y284" i="1"/>
  <c r="Y276" i="1"/>
  <c r="AC274" i="1"/>
  <c r="X273" i="1"/>
  <c r="X267" i="1"/>
  <c r="AC340" i="1"/>
  <c r="X328" i="1"/>
  <c r="Y326" i="1"/>
  <c r="AC322" i="1"/>
  <c r="X310" i="1"/>
  <c r="Y308" i="1"/>
  <c r="AC306" i="1"/>
  <c r="Y295" i="1"/>
  <c r="Y292" i="1"/>
  <c r="AC285" i="1"/>
  <c r="X284" i="1"/>
  <c r="AC282" i="1"/>
  <c r="Y271" i="1"/>
  <c r="AC265" i="1"/>
  <c r="AC262" i="1"/>
  <c r="Y261" i="1"/>
  <c r="AC252" i="1"/>
  <c r="Y251" i="1"/>
  <c r="AC249" i="1"/>
  <c r="Y248" i="1"/>
  <c r="X244" i="1"/>
  <c r="X240" i="1"/>
  <c r="Y342" i="1"/>
  <c r="AC338" i="1"/>
  <c r="Y333" i="1"/>
  <c r="AC329" i="1"/>
  <c r="Y324" i="1"/>
  <c r="AC320" i="1"/>
  <c r="Y315" i="1"/>
  <c r="AC311" i="1"/>
  <c r="Y344" i="1"/>
  <c r="X333" i="1"/>
  <c r="Y331" i="1"/>
  <c r="AC327" i="1"/>
  <c r="X315" i="1"/>
  <c r="Y313" i="1"/>
  <c r="AC309" i="1"/>
  <c r="Y306" i="1"/>
  <c r="AC304" i="1"/>
  <c r="X303" i="1"/>
  <c r="AC296" i="1"/>
  <c r="Y290" i="1"/>
  <c r="Y282" i="1"/>
  <c r="AC280" i="1"/>
  <c r="X279" i="1"/>
  <c r="AC272" i="1"/>
  <c r="AC269" i="1"/>
  <c r="Y268" i="1"/>
  <c r="Y265" i="1"/>
  <c r="AC259" i="1"/>
  <c r="AC256" i="1"/>
  <c r="Y255" i="1"/>
  <c r="AC246" i="1"/>
  <c r="Y340" i="1"/>
  <c r="AC336" i="1"/>
  <c r="X331" i="1"/>
  <c r="Y322" i="1"/>
  <c r="AC318" i="1"/>
  <c r="X313" i="1"/>
  <c r="Y301" i="1"/>
  <c r="Y298" i="1"/>
  <c r="AC291" i="1"/>
  <c r="X290" i="1"/>
  <c r="AC288" i="1"/>
  <c r="Y277" i="1"/>
  <c r="Y274" i="1"/>
  <c r="X268" i="1"/>
  <c r="AC266" i="1"/>
  <c r="X265" i="1"/>
  <c r="X255" i="1"/>
  <c r="Y252" i="1"/>
  <c r="X241" i="1"/>
  <c r="Y237" i="1"/>
  <c r="AC233" i="1"/>
  <c r="Y231" i="1"/>
  <c r="AC227" i="1"/>
  <c r="Y225" i="1"/>
  <c r="AC221" i="1"/>
  <c r="Y219" i="1"/>
  <c r="AC215" i="1"/>
  <c r="Y213" i="1"/>
  <c r="X340" i="1"/>
  <c r="Y338" i="1"/>
  <c r="AC334" i="1"/>
  <c r="X322" i="1"/>
  <c r="Y320" i="1"/>
  <c r="AC316" i="1"/>
  <c r="X301" i="1"/>
  <c r="AC299" i="1"/>
  <c r="X298" i="1"/>
  <c r="Y285" i="1"/>
  <c r="X277" i="1"/>
  <c r="AC275" i="1"/>
  <c r="AC341" i="1"/>
  <c r="Y336" i="1"/>
  <c r="AC339" i="1"/>
  <c r="X327" i="1"/>
  <c r="Y325" i="1"/>
  <c r="AC321" i="1"/>
  <c r="X309" i="1"/>
  <c r="Y307" i="1"/>
  <c r="Y304" i="1"/>
  <c r="AC297" i="1"/>
  <c r="X296" i="1"/>
  <c r="AC294" i="1"/>
  <c r="Y283" i="1"/>
  <c r="Y280" i="1"/>
  <c r="AC273" i="1"/>
  <c r="X272" i="1"/>
  <c r="AC270" i="1"/>
  <c r="Y269" i="1"/>
  <c r="AC267" i="1"/>
  <c r="Y266" i="1"/>
  <c r="AC257" i="1"/>
  <c r="Y256" i="1"/>
  <c r="Y334" i="1"/>
  <c r="AC330" i="1"/>
  <c r="X325" i="1"/>
  <c r="Y316" i="1"/>
  <c r="AC312" i="1"/>
  <c r="X307" i="1"/>
  <c r="AC305" i="1"/>
  <c r="X304" i="1"/>
  <c r="Y291" i="1"/>
  <c r="X283" i="1"/>
  <c r="AC281" i="1"/>
  <c r="X280" i="1"/>
  <c r="X266" i="1"/>
  <c r="X256" i="1"/>
  <c r="AC254" i="1"/>
  <c r="X253" i="1"/>
  <c r="AC244" i="1"/>
  <c r="X238" i="1"/>
  <c r="AC235" i="1"/>
  <c r="Y233" i="1"/>
  <c r="AC229" i="1"/>
  <c r="Y227" i="1"/>
  <c r="AC223" i="1"/>
  <c r="Y221" i="1"/>
  <c r="AC217" i="1"/>
  <c r="Y215" i="1"/>
  <c r="AC211" i="1"/>
  <c r="Y209" i="1"/>
  <c r="AC205" i="1"/>
  <c r="X334" i="1"/>
  <c r="Y332" i="1"/>
  <c r="AC328" i="1"/>
  <c r="X316" i="1"/>
  <c r="Y314" i="1"/>
  <c r="AC310" i="1"/>
  <c r="Y302" i="1"/>
  <c r="Y294" i="1"/>
  <c r="AC292" i="1"/>
  <c r="X291" i="1"/>
  <c r="AC284" i="1"/>
  <c r="Y278" i="1"/>
  <c r="AC264" i="1"/>
  <c r="Y263" i="1"/>
  <c r="AC261" i="1"/>
  <c r="Y260" i="1"/>
  <c r="AC251" i="1"/>
  <c r="Y250" i="1"/>
  <c r="Y247" i="1"/>
  <c r="Y243" i="1"/>
  <c r="AC240" i="1"/>
  <c r="X233" i="1"/>
  <c r="X227" i="1"/>
  <c r="X221" i="1"/>
  <c r="X215" i="1"/>
  <c r="Y339" i="1"/>
  <c r="AC335" i="1"/>
  <c r="Y330" i="1"/>
  <c r="AC326" i="1"/>
  <c r="Y321" i="1"/>
  <c r="AC317" i="1"/>
  <c r="Y312" i="1"/>
  <c r="AC308" i="1"/>
  <c r="AC303" i="1"/>
  <c r="X302" i="1"/>
  <c r="AC300" i="1"/>
  <c r="Y289" i="1"/>
  <c r="Y286" i="1"/>
  <c r="AC279" i="1"/>
  <c r="X278" i="1"/>
  <c r="AC276" i="1"/>
  <c r="Y270" i="1"/>
  <c r="X260" i="1"/>
  <c r="X250" i="1"/>
  <c r="AC248" i="1"/>
  <c r="X247" i="1"/>
  <c r="X243" i="1"/>
  <c r="Y239" i="1"/>
  <c r="AC236" i="1"/>
  <c r="Y234" i="1"/>
  <c r="AC230" i="1"/>
  <c r="Y228" i="1"/>
  <c r="AC224" i="1"/>
  <c r="Y222" i="1"/>
  <c r="AC218" i="1"/>
  <c r="Y216" i="1"/>
  <c r="AC212" i="1"/>
  <c r="X339" i="1"/>
  <c r="Y337" i="1"/>
  <c r="AC333" i="1"/>
  <c r="X321" i="1"/>
  <c r="Y319" i="1"/>
  <c r="AC315" i="1"/>
  <c r="Y297" i="1"/>
  <c r="X289" i="1"/>
  <c r="AC287" i="1"/>
  <c r="X286" i="1"/>
  <c r="Y273" i="1"/>
  <c r="AC268" i="1"/>
  <c r="Y267" i="1"/>
  <c r="AC258" i="1"/>
  <c r="Y257" i="1"/>
  <c r="AC255" i="1"/>
  <c r="Y254" i="1"/>
  <c r="AC245" i="1"/>
  <c r="X234" i="1"/>
  <c r="AC302" i="1"/>
  <c r="X274" i="1"/>
  <c r="X259" i="1"/>
  <c r="Y242" i="1"/>
  <c r="AC239" i="1"/>
  <c r="X229" i="1"/>
  <c r="Y220" i="1"/>
  <c r="AC216" i="1"/>
  <c r="X210" i="1"/>
  <c r="Y206" i="1"/>
  <c r="AC203" i="1"/>
  <c r="Y201" i="1"/>
  <c r="AC197" i="1"/>
  <c r="Y195" i="1"/>
  <c r="AC191" i="1"/>
  <c r="Y189" i="1"/>
  <c r="AC185" i="1"/>
  <c r="Y183" i="1"/>
  <c r="AC179" i="1"/>
  <c r="Y177" i="1"/>
  <c r="AC173" i="1"/>
  <c r="Y171" i="1"/>
  <c r="AC167" i="1"/>
  <c r="Y165" i="1"/>
  <c r="AC161" i="1"/>
  <c r="Y159" i="1"/>
  <c r="AC155" i="1"/>
  <c r="Y153" i="1"/>
  <c r="AC149" i="1"/>
  <c r="Y147" i="1"/>
  <c r="AC143" i="1"/>
  <c r="Y141" i="1"/>
  <c r="AC137" i="1"/>
  <c r="AC332" i="1"/>
  <c r="X292" i="1"/>
  <c r="X242" i="1"/>
  <c r="AC234" i="1"/>
  <c r="AC232" i="1"/>
  <c r="X220" i="1"/>
  <c r="Y218" i="1"/>
  <c r="AC214" i="1"/>
  <c r="X206" i="1"/>
  <c r="Y258" i="1"/>
  <c r="X254" i="1"/>
  <c r="AC250" i="1"/>
  <c r="AC247" i="1"/>
  <c r="Y244" i="1"/>
  <c r="AC241" i="1"/>
  <c r="X218" i="1"/>
  <c r="X216" i="1"/>
  <c r="Y211" i="1"/>
  <c r="AC208" i="1"/>
  <c r="Y202" i="1"/>
  <c r="AC198" i="1"/>
  <c r="Y196" i="1"/>
  <c r="AC192" i="1"/>
  <c r="Y190" i="1"/>
  <c r="AC186" i="1"/>
  <c r="Y184" i="1"/>
  <c r="AC180" i="1"/>
  <c r="Y178" i="1"/>
  <c r="AC174" i="1"/>
  <c r="Y172" i="1"/>
  <c r="AC168" i="1"/>
  <c r="Y166" i="1"/>
  <c r="AC162" i="1"/>
  <c r="Y160" i="1"/>
  <c r="AC156" i="1"/>
  <c r="Y154" i="1"/>
  <c r="AC150" i="1"/>
  <c r="Y148" i="1"/>
  <c r="Y262" i="1"/>
  <c r="Y236" i="1"/>
  <c r="X225" i="1"/>
  <c r="Y223" i="1"/>
  <c r="AC219" i="1"/>
  <c r="X211" i="1"/>
  <c r="Y207" i="1"/>
  <c r="AC204" i="1"/>
  <c r="X202" i="1"/>
  <c r="X196" i="1"/>
  <c r="X190" i="1"/>
  <c r="X184" i="1"/>
  <c r="X178" i="1"/>
  <c r="X172" i="1"/>
  <c r="X166" i="1"/>
  <c r="X160" i="1"/>
  <c r="X154" i="1"/>
  <c r="X148" i="1"/>
  <c r="X142" i="1"/>
  <c r="Y327" i="1"/>
  <c r="Y309" i="1"/>
  <c r="Y272" i="1"/>
  <c r="X262" i="1"/>
  <c r="AC253" i="1"/>
  <c r="Y241" i="1"/>
  <c r="AC238" i="1"/>
  <c r="X236" i="1"/>
  <c r="Y232" i="1"/>
  <c r="AC228" i="1"/>
  <c r="X223" i="1"/>
  <c r="Y214" i="1"/>
  <c r="X207" i="1"/>
  <c r="Y203" i="1"/>
  <c r="AC199" i="1"/>
  <c r="Y197" i="1"/>
  <c r="AC193" i="1"/>
  <c r="Y279" i="1"/>
  <c r="X271" i="1"/>
  <c r="AC243" i="1"/>
  <c r="X232" i="1"/>
  <c r="Y230" i="1"/>
  <c r="AC226" i="1"/>
  <c r="X214" i="1"/>
  <c r="Y212" i="1"/>
  <c r="AC209" i="1"/>
  <c r="X203" i="1"/>
  <c r="Y249" i="1"/>
  <c r="Y238" i="1"/>
  <c r="AC231" i="1"/>
  <c r="X219" i="1"/>
  <c r="Y217" i="1"/>
  <c r="AC213" i="1"/>
  <c r="X208" i="1"/>
  <c r="X204" i="1"/>
  <c r="X198" i="1"/>
  <c r="X192" i="1"/>
  <c r="X186" i="1"/>
  <c r="X180" i="1"/>
  <c r="X174" i="1"/>
  <c r="X168" i="1"/>
  <c r="X162" i="1"/>
  <c r="X156" i="1"/>
  <c r="X150" i="1"/>
  <c r="X144" i="1"/>
  <c r="Y296" i="1"/>
  <c r="AC286" i="1"/>
  <c r="AC260" i="1"/>
  <c r="X249" i="1"/>
  <c r="Y240" i="1"/>
  <c r="AC237" i="1"/>
  <c r="Y235" i="1"/>
  <c r="Y226" i="1"/>
  <c r="AC222" i="1"/>
  <c r="X217" i="1"/>
  <c r="AC210" i="1"/>
  <c r="AC206" i="1"/>
  <c r="AC201" i="1"/>
  <c r="Y318" i="1"/>
  <c r="X295" i="1"/>
  <c r="Y264" i="1"/>
  <c r="AC242" i="1"/>
  <c r="X235" i="1"/>
  <c r="X226" i="1"/>
  <c r="Y224" i="1"/>
  <c r="AC220" i="1"/>
  <c r="X209" i="1"/>
  <c r="Y205" i="1"/>
  <c r="X199" i="1"/>
  <c r="X193" i="1"/>
  <c r="X187" i="1"/>
  <c r="X181" i="1"/>
  <c r="X175" i="1"/>
  <c r="X169" i="1"/>
  <c r="X163" i="1"/>
  <c r="X157" i="1"/>
  <c r="X151" i="1"/>
  <c r="X145" i="1"/>
  <c r="X139" i="1"/>
  <c r="AC323" i="1"/>
  <c r="Y259" i="1"/>
  <c r="X213" i="1"/>
  <c r="AC207" i="1"/>
  <c r="X195" i="1"/>
  <c r="AC190" i="1"/>
  <c r="AC188" i="1"/>
  <c r="Y176" i="1"/>
  <c r="Y174" i="1"/>
  <c r="X170" i="1"/>
  <c r="AC157" i="1"/>
  <c r="AC153" i="1"/>
  <c r="AC145" i="1"/>
  <c r="Y137" i="1"/>
  <c r="AC133" i="1"/>
  <c r="Y131" i="1"/>
  <c r="AC127" i="1"/>
  <c r="Y125" i="1"/>
  <c r="AC121" i="1"/>
  <c r="Y119" i="1"/>
  <c r="AC115" i="1"/>
  <c r="Y113" i="1"/>
  <c r="AC109" i="1"/>
  <c r="AC278" i="1"/>
  <c r="X212" i="1"/>
  <c r="X197" i="1"/>
  <c r="Y182" i="1"/>
  <c r="Y180" i="1"/>
  <c r="X176" i="1"/>
  <c r="AC163" i="1"/>
  <c r="AC159" i="1"/>
  <c r="Y149" i="1"/>
  <c r="Y140" i="1"/>
  <c r="AC138" i="1"/>
  <c r="X137" i="1"/>
  <c r="X131" i="1"/>
  <c r="X125" i="1"/>
  <c r="X119" i="1"/>
  <c r="X113" i="1"/>
  <c r="X107" i="1"/>
  <c r="X101" i="1"/>
  <c r="X95" i="1"/>
  <c r="X89" i="1"/>
  <c r="X83" i="1"/>
  <c r="X77" i="1"/>
  <c r="AC314" i="1"/>
  <c r="AC194" i="1"/>
  <c r="Y188" i="1"/>
  <c r="Y186" i="1"/>
  <c r="X182" i="1"/>
  <c r="AC169" i="1"/>
  <c r="AC165" i="1"/>
  <c r="Y155" i="1"/>
  <c r="Y151" i="1"/>
  <c r="X149" i="1"/>
  <c r="X147" i="1"/>
  <c r="X140" i="1"/>
  <c r="AC134" i="1"/>
  <c r="Y132" i="1"/>
  <c r="AC225" i="1"/>
  <c r="Y199" i="1"/>
  <c r="Y192" i="1"/>
  <c r="X188" i="1"/>
  <c r="AC175" i="1"/>
  <c r="AC171" i="1"/>
  <c r="Y161" i="1"/>
  <c r="Y157" i="1"/>
  <c r="X155" i="1"/>
  <c r="X153" i="1"/>
  <c r="Y145" i="1"/>
  <c r="AC141" i="1"/>
  <c r="X132" i="1"/>
  <c r="X126" i="1"/>
  <c r="X120" i="1"/>
  <c r="X114" i="1"/>
  <c r="X108" i="1"/>
  <c r="X102" i="1"/>
  <c r="X96" i="1"/>
  <c r="X90" i="1"/>
  <c r="X84" i="1"/>
  <c r="X78" i="1"/>
  <c r="X72" i="1"/>
  <c r="Y253" i="1"/>
  <c r="AC196" i="1"/>
  <c r="Y194" i="1"/>
  <c r="AC181" i="1"/>
  <c r="AC177" i="1"/>
  <c r="Y167" i="1"/>
  <c r="X224" i="1"/>
  <c r="X205" i="1"/>
  <c r="X194" i="1"/>
  <c r="AC187" i="1"/>
  <c r="AC183" i="1"/>
  <c r="Y173" i="1"/>
  <c r="Y169" i="1"/>
  <c r="X167" i="1"/>
  <c r="X165" i="1"/>
  <c r="AC148" i="1"/>
  <c r="X143" i="1"/>
  <c r="AC139" i="1"/>
  <c r="X138" i="1"/>
  <c r="X133" i="1"/>
  <c r="X127" i="1"/>
  <c r="X121" i="1"/>
  <c r="X115" i="1"/>
  <c r="X109" i="1"/>
  <c r="X103" i="1"/>
  <c r="Y303" i="1"/>
  <c r="X231" i="1"/>
  <c r="Y210" i="1"/>
  <c r="X201" i="1"/>
  <c r="AC189" i="1"/>
  <c r="Y179" i="1"/>
  <c r="Y175" i="1"/>
  <c r="X173" i="1"/>
  <c r="X171" i="1"/>
  <c r="AC154" i="1"/>
  <c r="AC152" i="1"/>
  <c r="AC146" i="1"/>
  <c r="X141" i="1"/>
  <c r="AC136" i="1"/>
  <c r="Y134" i="1"/>
  <c r="AC130" i="1"/>
  <c r="Y128" i="1"/>
  <c r="AC124" i="1"/>
  <c r="Y122" i="1"/>
  <c r="AC118" i="1"/>
  <c r="Y116" i="1"/>
  <c r="AC112" i="1"/>
  <c r="X230" i="1"/>
  <c r="Y204" i="1"/>
  <c r="Y185" i="1"/>
  <c r="Y181" i="1"/>
  <c r="X179" i="1"/>
  <c r="X177" i="1"/>
  <c r="AC160" i="1"/>
  <c r="AC158" i="1"/>
  <c r="AC144" i="1"/>
  <c r="X134" i="1"/>
  <c r="X128" i="1"/>
  <c r="X122" i="1"/>
  <c r="X116" i="1"/>
  <c r="X110" i="1"/>
  <c r="X104" i="1"/>
  <c r="X98" i="1"/>
  <c r="X92" i="1"/>
  <c r="X86" i="1"/>
  <c r="X80" i="1"/>
  <c r="X222" i="1"/>
  <c r="AC293" i="1"/>
  <c r="AC263" i="1"/>
  <c r="X248" i="1"/>
  <c r="X237" i="1"/>
  <c r="Y229" i="1"/>
  <c r="AC195" i="1"/>
  <c r="Y193" i="1"/>
  <c r="X191" i="1"/>
  <c r="X189" i="1"/>
  <c r="AC172" i="1"/>
  <c r="AC170" i="1"/>
  <c r="Y158" i="1"/>
  <c r="Y156" i="1"/>
  <c r="X152" i="1"/>
  <c r="X146" i="1"/>
  <c r="Y139" i="1"/>
  <c r="X135" i="1"/>
  <c r="X129" i="1"/>
  <c r="X123" i="1"/>
  <c r="X117" i="1"/>
  <c r="X111" i="1"/>
  <c r="X105" i="1"/>
  <c r="X99" i="1"/>
  <c r="X93" i="1"/>
  <c r="X87" i="1"/>
  <c r="X81" i="1"/>
  <c r="X75" i="1"/>
  <c r="X200" i="1"/>
  <c r="AC182" i="1"/>
  <c r="AC147" i="1"/>
  <c r="Y142" i="1"/>
  <c r="Y130" i="1"/>
  <c r="Y108" i="1"/>
  <c r="X106" i="1"/>
  <c r="Y100" i="1"/>
  <c r="AC96" i="1"/>
  <c r="Y91" i="1"/>
  <c r="AC87" i="1"/>
  <c r="Y82" i="1"/>
  <c r="AC78" i="1"/>
  <c r="Y70" i="1"/>
  <c r="AC66" i="1"/>
  <c r="Y64" i="1"/>
  <c r="AC60" i="1"/>
  <c r="Y58" i="1"/>
  <c r="AC54" i="1"/>
  <c r="Y52" i="1"/>
  <c r="AC48" i="1"/>
  <c r="Y46" i="1"/>
  <c r="AC42" i="1"/>
  <c r="Y40" i="1"/>
  <c r="AC36" i="1"/>
  <c r="Y34" i="1"/>
  <c r="AC30" i="1"/>
  <c r="Y28" i="1"/>
  <c r="Y288" i="1"/>
  <c r="Y198" i="1"/>
  <c r="X159" i="1"/>
  <c r="Y133" i="1"/>
  <c r="X130" i="1"/>
  <c r="Y127" i="1"/>
  <c r="Y124" i="1"/>
  <c r="Y110" i="1"/>
  <c r="X100" i="1"/>
  <c r="X91" i="1"/>
  <c r="X82" i="1"/>
  <c r="AC72" i="1"/>
  <c r="X70" i="1"/>
  <c r="X64" i="1"/>
  <c r="X58" i="1"/>
  <c r="X52" i="1"/>
  <c r="X285" i="1"/>
  <c r="AC164" i="1"/>
  <c r="Y152" i="1"/>
  <c r="Y146" i="1"/>
  <c r="X124" i="1"/>
  <c r="Y121" i="1"/>
  <c r="Y118" i="1"/>
  <c r="Y98" i="1"/>
  <c r="AC94" i="1"/>
  <c r="Y89" i="1"/>
  <c r="AC85" i="1"/>
  <c r="Y80" i="1"/>
  <c r="AC76" i="1"/>
  <c r="Y75" i="1"/>
  <c r="Y71" i="1"/>
  <c r="AC67" i="1"/>
  <c r="Y65" i="1"/>
  <c r="AC61" i="1"/>
  <c r="Y59" i="1"/>
  <c r="AC55" i="1"/>
  <c r="Y53" i="1"/>
  <c r="X261" i="1"/>
  <c r="Y164" i="1"/>
  <c r="X158" i="1"/>
  <c r="AC140" i="1"/>
  <c r="Y136" i="1"/>
  <c r="AC132" i="1"/>
  <c r="AC129" i="1"/>
  <c r="AC126" i="1"/>
  <c r="X118" i="1"/>
  <c r="Y115" i="1"/>
  <c r="Y112" i="1"/>
  <c r="AC107" i="1"/>
  <c r="AC105" i="1"/>
  <c r="AC103" i="1"/>
  <c r="AC101" i="1"/>
  <c r="Y96" i="1"/>
  <c r="AC92" i="1"/>
  <c r="Y87" i="1"/>
  <c r="AC83" i="1"/>
  <c r="Y78" i="1"/>
  <c r="X71" i="1"/>
  <c r="X65" i="1"/>
  <c r="X59" i="1"/>
  <c r="X53" i="1"/>
  <c r="X47" i="1"/>
  <c r="X41" i="1"/>
  <c r="X35" i="1"/>
  <c r="X29" i="1"/>
  <c r="X23" i="1"/>
  <c r="X17" i="1"/>
  <c r="X11" i="1"/>
  <c r="Y187" i="1"/>
  <c r="X164" i="1"/>
  <c r="AC151" i="1"/>
  <c r="X136" i="1"/>
  <c r="Y129" i="1"/>
  <c r="AC123" i="1"/>
  <c r="AC120" i="1"/>
  <c r="X112" i="1"/>
  <c r="AC99" i="1"/>
  <c r="Y94" i="1"/>
  <c r="AC90" i="1"/>
  <c r="Y85" i="1"/>
  <c r="AC81" i="1"/>
  <c r="AC73" i="1"/>
  <c r="Y246" i="1"/>
  <c r="Y208" i="1"/>
  <c r="AC178" i="1"/>
  <c r="Y163" i="1"/>
  <c r="AC135" i="1"/>
  <c r="Y126" i="1"/>
  <c r="Y123" i="1"/>
  <c r="AC117" i="1"/>
  <c r="AC114" i="1"/>
  <c r="Y105" i="1"/>
  <c r="Y103" i="1"/>
  <c r="X94" i="1"/>
  <c r="X85" i="1"/>
  <c r="Y76" i="1"/>
  <c r="Y72" i="1"/>
  <c r="X66" i="1"/>
  <c r="Y245" i="1"/>
  <c r="Y170" i="1"/>
  <c r="Y150" i="1"/>
  <c r="Y135" i="1"/>
  <c r="AC131" i="1"/>
  <c r="Y120" i="1"/>
  <c r="Y117" i="1"/>
  <c r="AC111" i="1"/>
  <c r="Y109" i="1"/>
  <c r="Y107" i="1"/>
  <c r="Y101" i="1"/>
  <c r="AC97" i="1"/>
  <c r="Y92" i="1"/>
  <c r="AC88" i="1"/>
  <c r="Y83" i="1"/>
  <c r="AC79" i="1"/>
  <c r="X76" i="1"/>
  <c r="AC69" i="1"/>
  <c r="Y67" i="1"/>
  <c r="X185" i="1"/>
  <c r="Y162" i="1"/>
  <c r="Y144" i="1"/>
  <c r="AC128" i="1"/>
  <c r="AC125" i="1"/>
  <c r="Y114" i="1"/>
  <c r="Y99" i="1"/>
  <c r="AC95" i="1"/>
  <c r="Y90" i="1"/>
  <c r="AC86" i="1"/>
  <c r="Y81" i="1"/>
  <c r="AC77" i="1"/>
  <c r="AC74" i="1"/>
  <c r="Y73" i="1"/>
  <c r="X67" i="1"/>
  <c r="X61" i="1"/>
  <c r="X55" i="1"/>
  <c r="X49" i="1"/>
  <c r="X43" i="1"/>
  <c r="X37" i="1"/>
  <c r="X31" i="1"/>
  <c r="X25" i="1"/>
  <c r="X19" i="1"/>
  <c r="X13" i="1"/>
  <c r="X7" i="1"/>
  <c r="X228" i="1"/>
  <c r="AC202" i="1"/>
  <c r="AC184" i="1"/>
  <c r="Y168" i="1"/>
  <c r="X161" i="1"/>
  <c r="Y143" i="1"/>
  <c r="Y138" i="1"/>
  <c r="AC116" i="1"/>
  <c r="AC113" i="1"/>
  <c r="AC108" i="1"/>
  <c r="AC106" i="1"/>
  <c r="AC104" i="1"/>
  <c r="X97" i="1"/>
  <c r="X88" i="1"/>
  <c r="X79" i="1"/>
  <c r="X68" i="1"/>
  <c r="X62" i="1"/>
  <c r="X56" i="1"/>
  <c r="X50" i="1"/>
  <c r="X44" i="1"/>
  <c r="X38" i="1"/>
  <c r="X32" i="1"/>
  <c r="X26" i="1"/>
  <c r="X20" i="1"/>
  <c r="X14" i="1"/>
  <c r="Y200" i="1"/>
  <c r="AC110" i="1"/>
  <c r="Y106" i="1"/>
  <c r="AC166" i="1"/>
  <c r="AC102" i="1"/>
  <c r="Y88" i="1"/>
  <c r="AC56" i="1"/>
  <c r="Y54" i="1"/>
  <c r="Y50" i="1"/>
  <c r="AC46" i="1"/>
  <c r="Y41" i="1"/>
  <c r="AC37" i="1"/>
  <c r="Y32" i="1"/>
  <c r="AC28" i="1"/>
  <c r="AC23" i="1"/>
  <c r="X22" i="1"/>
  <c r="X8" i="1"/>
  <c r="Y30" i="1"/>
  <c r="AC15" i="1"/>
  <c r="AC11" i="1"/>
  <c r="Y11" i="1"/>
  <c r="AC89" i="1"/>
  <c r="Y22" i="1"/>
  <c r="Y95" i="1"/>
  <c r="Y74" i="1"/>
  <c r="Y66" i="1"/>
  <c r="X54" i="1"/>
  <c r="Y48" i="1"/>
  <c r="AC44" i="1"/>
  <c r="Y39" i="1"/>
  <c r="AC35" i="1"/>
  <c r="Y25" i="1"/>
  <c r="Y17" i="1"/>
  <c r="AC26" i="1"/>
  <c r="AC10" i="1"/>
  <c r="AC6" i="1"/>
  <c r="X9" i="1"/>
  <c r="AC13" i="1"/>
  <c r="Y10" i="1"/>
  <c r="AC84" i="1"/>
  <c r="Y68" i="1"/>
  <c r="X42" i="1"/>
  <c r="Y21" i="1"/>
  <c r="X36" i="1"/>
  <c r="X57" i="1"/>
  <c r="Y102" i="1"/>
  <c r="AC80" i="1"/>
  <c r="X74" i="1"/>
  <c r="AC63" i="1"/>
  <c r="Y61" i="1"/>
  <c r="X48" i="1"/>
  <c r="X39" i="1"/>
  <c r="X30" i="1"/>
  <c r="Y20" i="1"/>
  <c r="AC18" i="1"/>
  <c r="Y12" i="1"/>
  <c r="Y9" i="1"/>
  <c r="X12" i="1"/>
  <c r="Y5" i="1"/>
  <c r="X5" i="1"/>
  <c r="Y57" i="1"/>
  <c r="Y14" i="1"/>
  <c r="Y111" i="1"/>
  <c r="AC93" i="1"/>
  <c r="Y79" i="1"/>
  <c r="X73" i="1"/>
  <c r="Y69" i="1"/>
  <c r="AC58" i="1"/>
  <c r="Y56" i="1"/>
  <c r="AC51" i="1"/>
  <c r="X46" i="1"/>
  <c r="Y37" i="1"/>
  <c r="AC33" i="1"/>
  <c r="X28" i="1"/>
  <c r="Y15" i="1"/>
  <c r="AC16" i="1"/>
  <c r="Y60" i="1"/>
  <c r="X33" i="1"/>
  <c r="Y6" i="1"/>
  <c r="AC59" i="1"/>
  <c r="Y43" i="1"/>
  <c r="AC200" i="1"/>
  <c r="AC100" i="1"/>
  <c r="Y86" i="1"/>
  <c r="X69" i="1"/>
  <c r="AC65" i="1"/>
  <c r="Y63" i="1"/>
  <c r="AC53" i="1"/>
  <c r="AC49" i="1"/>
  <c r="Y44" i="1"/>
  <c r="AC40" i="1"/>
  <c r="Y35" i="1"/>
  <c r="AC31" i="1"/>
  <c r="Y23" i="1"/>
  <c r="AC21" i="1"/>
  <c r="X15" i="1"/>
  <c r="AC7" i="1"/>
  <c r="Y191" i="1"/>
  <c r="AC62" i="1"/>
  <c r="X51" i="1"/>
  <c r="X10" i="1"/>
  <c r="AC70" i="1"/>
  <c r="X45" i="1"/>
  <c r="Y104" i="1"/>
  <c r="Y8" i="1"/>
  <c r="Y93" i="1"/>
  <c r="AC68" i="1"/>
  <c r="X63" i="1"/>
  <c r="Y51" i="1"/>
  <c r="AC47" i="1"/>
  <c r="Y42" i="1"/>
  <c r="AC38" i="1"/>
  <c r="Y33" i="1"/>
  <c r="AC29" i="1"/>
  <c r="Y26" i="1"/>
  <c r="AC24" i="1"/>
  <c r="Y18" i="1"/>
  <c r="X18" i="1"/>
  <c r="AC12" i="1"/>
  <c r="AC122" i="1"/>
  <c r="AC91" i="1"/>
  <c r="Y77" i="1"/>
  <c r="AC71" i="1"/>
  <c r="X60" i="1"/>
  <c r="Y49" i="1"/>
  <c r="AC45" i="1"/>
  <c r="X40" i="1"/>
  <c r="Y31" i="1"/>
  <c r="AC27" i="1"/>
  <c r="X21" i="1"/>
  <c r="AC19" i="1"/>
  <c r="Y13" i="1"/>
  <c r="X6" i="1"/>
  <c r="AC34" i="1"/>
  <c r="Y24" i="1"/>
  <c r="AC14" i="1"/>
  <c r="Y36" i="1"/>
  <c r="X24" i="1"/>
  <c r="X16" i="1"/>
  <c r="AC25" i="1"/>
  <c r="AC39" i="1"/>
  <c r="AC5" i="1"/>
  <c r="X183" i="1"/>
  <c r="AC142" i="1"/>
  <c r="AC98" i="1"/>
  <c r="Y84" i="1"/>
  <c r="AC57" i="1"/>
  <c r="Y55" i="1"/>
  <c r="Y47" i="1"/>
  <c r="AC43" i="1"/>
  <c r="Y38" i="1"/>
  <c r="Y29" i="1"/>
  <c r="AC22" i="1"/>
  <c r="Y16" i="1"/>
  <c r="AC8" i="1"/>
  <c r="AC41" i="1"/>
  <c r="Y27" i="1"/>
  <c r="AC17" i="1"/>
  <c r="Y7" i="1"/>
  <c r="AC20" i="1"/>
  <c r="AC176" i="1"/>
  <c r="AC119" i="1"/>
  <c r="Y97" i="1"/>
  <c r="AC64" i="1"/>
  <c r="Y62" i="1"/>
  <c r="AC52" i="1"/>
  <c r="AC50" i="1"/>
  <c r="Y45" i="1"/>
  <c r="AC32" i="1"/>
  <c r="AC82" i="1"/>
  <c r="X27" i="1"/>
  <c r="AC9" i="1"/>
  <c r="AC75" i="1"/>
  <c r="Y19" i="1"/>
  <c r="X34" i="1"/>
  <c r="AE75" i="1" l="1"/>
  <c r="AE9" i="1"/>
  <c r="AE82" i="1"/>
  <c r="AE32" i="1"/>
  <c r="AE50" i="1"/>
  <c r="AE52" i="1"/>
  <c r="AE64" i="1"/>
  <c r="AE119" i="1"/>
  <c r="AE176" i="1"/>
  <c r="AE20" i="1"/>
  <c r="AE17" i="1"/>
  <c r="AE41" i="1"/>
  <c r="AE8" i="1"/>
  <c r="AE22" i="1"/>
  <c r="AE43" i="1"/>
  <c r="AE57" i="1"/>
  <c r="AE98" i="1"/>
  <c r="AE142" i="1"/>
  <c r="AE5" i="1"/>
  <c r="AE39" i="1"/>
  <c r="AE25" i="1"/>
  <c r="AE14" i="1"/>
  <c r="AE34" i="1"/>
  <c r="AE19" i="1"/>
  <c r="AE27" i="1"/>
  <c r="AE45" i="1"/>
  <c r="AE71" i="1"/>
  <c r="AE91" i="1"/>
  <c r="AE122" i="1"/>
  <c r="AE12" i="1"/>
  <c r="AE24" i="1"/>
  <c r="AE29" i="1"/>
  <c r="AE38" i="1"/>
  <c r="AE47" i="1"/>
  <c r="AE68" i="1"/>
  <c r="AE70" i="1"/>
  <c r="AE62" i="1"/>
  <c r="AE7" i="1"/>
  <c r="AE21" i="1"/>
  <c r="AE31" i="1"/>
  <c r="AE40" i="1"/>
  <c r="AE49" i="1"/>
  <c r="AE53" i="1"/>
  <c r="AE65" i="1"/>
  <c r="AE100" i="1"/>
  <c r="AE200" i="1"/>
  <c r="AE59" i="1"/>
  <c r="AE16" i="1"/>
  <c r="AE33" i="1"/>
  <c r="AE51" i="1"/>
  <c r="AE58" i="1"/>
  <c r="AE93" i="1"/>
  <c r="AE18" i="1"/>
  <c r="AE63" i="1"/>
  <c r="AE80" i="1"/>
  <c r="AE84" i="1"/>
  <c r="AE13" i="1"/>
  <c r="AE6" i="1"/>
  <c r="AE10" i="1"/>
  <c r="AE26" i="1"/>
  <c r="AE35" i="1"/>
  <c r="AE44" i="1"/>
  <c r="AE89" i="1"/>
  <c r="AE11" i="1"/>
  <c r="AE15" i="1"/>
  <c r="AE23" i="1"/>
  <c r="AE28" i="1"/>
  <c r="AE37" i="1"/>
  <c r="AE46" i="1"/>
  <c r="AE56" i="1"/>
  <c r="AE102" i="1"/>
  <c r="AE166" i="1"/>
  <c r="AE110" i="1"/>
  <c r="AE104" i="1"/>
  <c r="AE106" i="1"/>
  <c r="AE108" i="1"/>
  <c r="AE113" i="1"/>
  <c r="AE116" i="1"/>
  <c r="AE184" i="1"/>
  <c r="AE202" i="1"/>
  <c r="AE74" i="1"/>
  <c r="AE77" i="1"/>
  <c r="AE86" i="1"/>
  <c r="AE95" i="1"/>
  <c r="AE125" i="1"/>
  <c r="AE128" i="1"/>
  <c r="AE69" i="1"/>
  <c r="AE79" i="1"/>
  <c r="AE88" i="1"/>
  <c r="AE97" i="1"/>
  <c r="AE111" i="1"/>
  <c r="AE131" i="1"/>
  <c r="AE114" i="1"/>
  <c r="AE117" i="1"/>
  <c r="AE135" i="1"/>
  <c r="AE178" i="1"/>
  <c r="AE73" i="1"/>
  <c r="AE81" i="1"/>
  <c r="AE90" i="1"/>
  <c r="AE99" i="1"/>
  <c r="AE120" i="1"/>
  <c r="AE123" i="1"/>
  <c r="AE151" i="1"/>
  <c r="AE83" i="1"/>
  <c r="AE92" i="1"/>
  <c r="AE101" i="1"/>
  <c r="AE103" i="1"/>
  <c r="AE105" i="1"/>
  <c r="AE107" i="1"/>
  <c r="AE126" i="1"/>
  <c r="AE129" i="1"/>
  <c r="AE132" i="1"/>
  <c r="AE140" i="1"/>
  <c r="AE55" i="1"/>
  <c r="AE61" i="1"/>
  <c r="AE67" i="1"/>
  <c r="AE76" i="1"/>
  <c r="AE85" i="1"/>
  <c r="AE94" i="1"/>
  <c r="AE164" i="1"/>
  <c r="AE72" i="1"/>
  <c r="AE30" i="1"/>
  <c r="AE36" i="1"/>
  <c r="AE42" i="1"/>
  <c r="AE48" i="1"/>
  <c r="AE54" i="1"/>
  <c r="AE60" i="1"/>
  <c r="AE66" i="1"/>
  <c r="AE78" i="1"/>
  <c r="AE87" i="1"/>
  <c r="AE96" i="1"/>
  <c r="AE147" i="1"/>
  <c r="AE182" i="1"/>
  <c r="AE170" i="1"/>
  <c r="AE172" i="1"/>
  <c r="AE195" i="1"/>
  <c r="AE263" i="1"/>
  <c r="AE293" i="1"/>
  <c r="AE144" i="1"/>
  <c r="AE158" i="1"/>
  <c r="AE160" i="1"/>
  <c r="AE112" i="1"/>
  <c r="AE118" i="1"/>
  <c r="AE124" i="1"/>
  <c r="AE130" i="1"/>
  <c r="AE136" i="1"/>
  <c r="AE146" i="1"/>
  <c r="AE152" i="1"/>
  <c r="AE154" i="1"/>
  <c r="AE189" i="1"/>
  <c r="AE139" i="1"/>
  <c r="AE148" i="1"/>
  <c r="AE183" i="1"/>
  <c r="AE187" i="1"/>
  <c r="AE177" i="1"/>
  <c r="AE181" i="1"/>
  <c r="AE196" i="1"/>
  <c r="AE141" i="1"/>
  <c r="AE171" i="1"/>
  <c r="AE175" i="1"/>
  <c r="AE225" i="1"/>
  <c r="AE134" i="1"/>
  <c r="AE165" i="1"/>
  <c r="AE169" i="1"/>
  <c r="AE194" i="1"/>
  <c r="AE314" i="1"/>
  <c r="AE138" i="1"/>
  <c r="AE159" i="1"/>
  <c r="AE163" i="1"/>
  <c r="AE278" i="1"/>
  <c r="AE109" i="1"/>
  <c r="AE115" i="1"/>
  <c r="AE121" i="1"/>
  <c r="AE127" i="1"/>
  <c r="AE133" i="1"/>
  <c r="AE145" i="1"/>
  <c r="AE153" i="1"/>
  <c r="AE157" i="1"/>
  <c r="AE188" i="1"/>
  <c r="AE190" i="1"/>
  <c r="AE207" i="1"/>
  <c r="AE323" i="1"/>
  <c r="AE220" i="1"/>
  <c r="AE242" i="1"/>
  <c r="AE201" i="1"/>
  <c r="AE206" i="1"/>
  <c r="AE210" i="1"/>
  <c r="AE222" i="1"/>
  <c r="AE237" i="1"/>
  <c r="AE260" i="1"/>
  <c r="AE286" i="1"/>
  <c r="AE213" i="1"/>
  <c r="AE231" i="1"/>
  <c r="AE209" i="1"/>
  <c r="AE226" i="1"/>
  <c r="AE243" i="1"/>
  <c r="AE193" i="1"/>
  <c r="AE199" i="1"/>
  <c r="AE228" i="1"/>
  <c r="AE238" i="1"/>
  <c r="AE253" i="1"/>
  <c r="AE204" i="1"/>
  <c r="AE219" i="1"/>
  <c r="AE150" i="1"/>
  <c r="AE156" i="1"/>
  <c r="AE162" i="1"/>
  <c r="AE168" i="1"/>
  <c r="AE174" i="1"/>
  <c r="AE180" i="1"/>
  <c r="AE186" i="1"/>
  <c r="AE192" i="1"/>
  <c r="AE198" i="1"/>
  <c r="AE208" i="1"/>
  <c r="AE241" i="1"/>
  <c r="AE247" i="1"/>
  <c r="AE250" i="1"/>
  <c r="AE214" i="1"/>
  <c r="AE232" i="1"/>
  <c r="AE234" i="1"/>
  <c r="AE332" i="1"/>
  <c r="AE137" i="1"/>
  <c r="AE143" i="1"/>
  <c r="AE149" i="1"/>
  <c r="AE155" i="1"/>
  <c r="AE161" i="1"/>
  <c r="AE167" i="1"/>
  <c r="AE173" i="1"/>
  <c r="AE179" i="1"/>
  <c r="AE185" i="1"/>
  <c r="AE191" i="1"/>
  <c r="AE197" i="1"/>
  <c r="AE203" i="1"/>
  <c r="AE216" i="1"/>
  <c r="AE239" i="1"/>
  <c r="AE302" i="1"/>
  <c r="AE245" i="1"/>
  <c r="AE255" i="1"/>
  <c r="AE258" i="1"/>
  <c r="AE268" i="1"/>
  <c r="AE287" i="1"/>
  <c r="AE315" i="1"/>
  <c r="AE333" i="1"/>
  <c r="AE212" i="1"/>
  <c r="AE218" i="1"/>
  <c r="AE224" i="1"/>
  <c r="AE230" i="1"/>
  <c r="AE236" i="1"/>
  <c r="AE248" i="1"/>
  <c r="AE276" i="1"/>
  <c r="AE279" i="1"/>
  <c r="AE300" i="1"/>
  <c r="AE303" i="1"/>
  <c r="AE308" i="1"/>
  <c r="AE317" i="1"/>
  <c r="AE326" i="1"/>
  <c r="AE335" i="1"/>
  <c r="AE240" i="1"/>
  <c r="AE251" i="1"/>
  <c r="AE261" i="1"/>
  <c r="AE264" i="1"/>
  <c r="AE284" i="1"/>
  <c r="AE292" i="1"/>
  <c r="AE310" i="1"/>
  <c r="AE328" i="1"/>
  <c r="AE205" i="1"/>
  <c r="AE211" i="1"/>
  <c r="AE217" i="1"/>
  <c r="AE223" i="1"/>
  <c r="AE229" i="1"/>
  <c r="AE235" i="1"/>
  <c r="AE244" i="1"/>
  <c r="AE254" i="1"/>
  <c r="AE281" i="1"/>
  <c r="AE305" i="1"/>
  <c r="AE330" i="1"/>
  <c r="AE257" i="1"/>
  <c r="AE267" i="1"/>
  <c r="AE270" i="1"/>
  <c r="AE273" i="1"/>
  <c r="AE294" i="1"/>
  <c r="AE297" i="1"/>
  <c r="AE321" i="1"/>
  <c r="AE339" i="1"/>
  <c r="AE341" i="1"/>
  <c r="AE275" i="1"/>
  <c r="AE299" i="1"/>
  <c r="AE316" i="1"/>
  <c r="AE334" i="1"/>
  <c r="AE215" i="1"/>
  <c r="AE221" i="1"/>
  <c r="AE227" i="1"/>
  <c r="AE233" i="1"/>
  <c r="AE266" i="1"/>
  <c r="AE288" i="1"/>
  <c r="AE291" i="1"/>
  <c r="AE318" i="1"/>
  <c r="AE336" i="1"/>
  <c r="AE246" i="1"/>
  <c r="AE256" i="1"/>
  <c r="AE259" i="1"/>
  <c r="AE269" i="1"/>
  <c r="AE272" i="1"/>
  <c r="AE280" i="1"/>
  <c r="AE296" i="1"/>
  <c r="AE304" i="1"/>
  <c r="AE309" i="1"/>
  <c r="AE327" i="1"/>
  <c r="AE311" i="1"/>
  <c r="AE320" i="1"/>
  <c r="AE329" i="1"/>
  <c r="AE338" i="1"/>
  <c r="AE249" i="1"/>
  <c r="AE252" i="1"/>
  <c r="AE262" i="1"/>
  <c r="AE265" i="1"/>
  <c r="AE282" i="1"/>
  <c r="AE285" i="1"/>
  <c r="AE306" i="1"/>
  <c r="AE322" i="1"/>
  <c r="AE340" i="1"/>
  <c r="AE274" i="1"/>
  <c r="AE290" i="1"/>
  <c r="AE298" i="1"/>
  <c r="AE324" i="1"/>
  <c r="AE342" i="1"/>
  <c r="AE271" i="1"/>
  <c r="AE277" i="1"/>
  <c r="AE283" i="1"/>
  <c r="AE289" i="1"/>
  <c r="AE295" i="1"/>
  <c r="AE301" i="1"/>
  <c r="AE307" i="1"/>
  <c r="AE313" i="1"/>
  <c r="AE319" i="1"/>
  <c r="AE325" i="1"/>
  <c r="AE331" i="1"/>
  <c r="AE337" i="1"/>
  <c r="AE343" i="1"/>
  <c r="AE346" i="1"/>
  <c r="AE345" i="1"/>
  <c r="AE344" i="1"/>
  <c r="Z62" i="1"/>
  <c r="Z33" i="1"/>
  <c r="Z23" i="1"/>
  <c r="Z111" i="1"/>
  <c r="Z66" i="1"/>
  <c r="Z143" i="1"/>
  <c r="Z112" i="1"/>
  <c r="Z198" i="1"/>
  <c r="Z58" i="1"/>
  <c r="Z158" i="1"/>
  <c r="Z161" i="1"/>
  <c r="Z264" i="1"/>
  <c r="Z238" i="1"/>
  <c r="Z327" i="1"/>
  <c r="Z207" i="1"/>
  <c r="Z257" i="1"/>
  <c r="Z319" i="1"/>
  <c r="Z228" i="1"/>
  <c r="Z263" i="1"/>
  <c r="Z29" i="1"/>
  <c r="Z13" i="1"/>
  <c r="Z37" i="1"/>
  <c r="Z14" i="1"/>
  <c r="Z74" i="1"/>
  <c r="Z106" i="1"/>
  <c r="Z99" i="1"/>
  <c r="Z135" i="1"/>
  <c r="Z103" i="1"/>
  <c r="Z115" i="1"/>
  <c r="Z89" i="1"/>
  <c r="Z288" i="1"/>
  <c r="Z108" i="1"/>
  <c r="Z210" i="1"/>
  <c r="Z167" i="1"/>
  <c r="Z140" i="1"/>
  <c r="Z240" i="1"/>
  <c r="Z249" i="1"/>
  <c r="Z160" i="1"/>
  <c r="Z196" i="1"/>
  <c r="Z159" i="1"/>
  <c r="Z195" i="1"/>
  <c r="Z242" i="1"/>
  <c r="Z316" i="1"/>
  <c r="Z19" i="1"/>
  <c r="Z97" i="1"/>
  <c r="Z38" i="1"/>
  <c r="Z77" i="1"/>
  <c r="Z42" i="1"/>
  <c r="Z35" i="1"/>
  <c r="Z43" i="1"/>
  <c r="Z57" i="1"/>
  <c r="Z95" i="1"/>
  <c r="Z114" i="1"/>
  <c r="Z83" i="1"/>
  <c r="Z150" i="1"/>
  <c r="Z105" i="1"/>
  <c r="Z85" i="1"/>
  <c r="Z53" i="1"/>
  <c r="Z28" i="1"/>
  <c r="Z64" i="1"/>
  <c r="Z130" i="1"/>
  <c r="Z149" i="1"/>
  <c r="Z259" i="1"/>
  <c r="Z205" i="1"/>
  <c r="Z232" i="1"/>
  <c r="Z267" i="1"/>
  <c r="Z234" i="1"/>
  <c r="Z270" i="1"/>
  <c r="Z312" i="1"/>
  <c r="Z278" i="1"/>
  <c r="Z332" i="1"/>
  <c r="Z233" i="1"/>
  <c r="Z325" i="1"/>
  <c r="Z22" i="1"/>
  <c r="Z32" i="1"/>
  <c r="Z200" i="1"/>
  <c r="Z168" i="1"/>
  <c r="Z170" i="1"/>
  <c r="Z78" i="1"/>
  <c r="Z98" i="1"/>
  <c r="Z142" i="1"/>
  <c r="Z55" i="1"/>
  <c r="Z56" i="1"/>
  <c r="Z84" i="1"/>
  <c r="Z36" i="1"/>
  <c r="Z191" i="1"/>
  <c r="Z63" i="1"/>
  <c r="Z60" i="1"/>
  <c r="Z69" i="1"/>
  <c r="Z68" i="1"/>
  <c r="Z39" i="1"/>
  <c r="Z50" i="1"/>
  <c r="Z107" i="1"/>
  <c r="Z72" i="1"/>
  <c r="Z96" i="1"/>
  <c r="Z136" i="1"/>
  <c r="Z193" i="1"/>
  <c r="Z128" i="1"/>
  <c r="Z180" i="1"/>
  <c r="Z125" i="1"/>
  <c r="Z203" i="1"/>
  <c r="Z236" i="1"/>
  <c r="Z178" i="1"/>
  <c r="Z141" i="1"/>
  <c r="Z177" i="1"/>
  <c r="Z286" i="1"/>
  <c r="Z247" i="1"/>
  <c r="Z294" i="1"/>
  <c r="Z291" i="1"/>
  <c r="Z27" i="1"/>
  <c r="Z18" i="1"/>
  <c r="Z93" i="1"/>
  <c r="Z9" i="1"/>
  <c r="Z30" i="1"/>
  <c r="Z54" i="1"/>
  <c r="Z109" i="1"/>
  <c r="Z76" i="1"/>
  <c r="Z163" i="1"/>
  <c r="Z71" i="1"/>
  <c r="Z146" i="1"/>
  <c r="Z46" i="1"/>
  <c r="Z91" i="1"/>
  <c r="Z175" i="1"/>
  <c r="Z132" i="1"/>
  <c r="Z182" i="1"/>
  <c r="Z217" i="1"/>
  <c r="Z262" i="1"/>
  <c r="Z218" i="1"/>
  <c r="Z216" i="1"/>
  <c r="Z289" i="1"/>
  <c r="Z339" i="1"/>
  <c r="Z250" i="1"/>
  <c r="Z302" i="1"/>
  <c r="Z215" i="1"/>
  <c r="Z266" i="1"/>
  <c r="Z7" i="1"/>
  <c r="Z86" i="1"/>
  <c r="Z61" i="1"/>
  <c r="Z67" i="1"/>
  <c r="Z245" i="1"/>
  <c r="Z208" i="1"/>
  <c r="Z303" i="1"/>
  <c r="Z199" i="1"/>
  <c r="Z188" i="1"/>
  <c r="Z202" i="1"/>
  <c r="Z307" i="1"/>
  <c r="Z285" i="1"/>
  <c r="Z340" i="1"/>
  <c r="Z282" i="1"/>
  <c r="Z331" i="1"/>
  <c r="Z275" i="1"/>
  <c r="Z311" i="1"/>
  <c r="Z16" i="1"/>
  <c r="Z102" i="1"/>
  <c r="Z152" i="1"/>
  <c r="Z139" i="1"/>
  <c r="Z204" i="1"/>
  <c r="Z224" i="1"/>
  <c r="Z31" i="1"/>
  <c r="Z73" i="1"/>
  <c r="Z246" i="1"/>
  <c r="Z187" i="1"/>
  <c r="Z118" i="1"/>
  <c r="Z110" i="1"/>
  <c r="Z52" i="1"/>
  <c r="Z253" i="1"/>
  <c r="Z226" i="1"/>
  <c r="Z197" i="1"/>
  <c r="Z272" i="1"/>
  <c r="Z153" i="1"/>
  <c r="Z297" i="1"/>
  <c r="Z239" i="1"/>
  <c r="Z314" i="1"/>
  <c r="Z227" i="1"/>
  <c r="Z269" i="1"/>
  <c r="Z252" i="1"/>
  <c r="Z290" i="1"/>
  <c r="Z346" i="1"/>
  <c r="Z6" i="1"/>
  <c r="Z25" i="1"/>
  <c r="Z59" i="1"/>
  <c r="Z133" i="1"/>
  <c r="Z174" i="1"/>
  <c r="Z214" i="1"/>
  <c r="Z172" i="1"/>
  <c r="Z79" i="1"/>
  <c r="Z87" i="1"/>
  <c r="Z164" i="1"/>
  <c r="Z121" i="1"/>
  <c r="Z124" i="1"/>
  <c r="Z181" i="1"/>
  <c r="Z169" i="1"/>
  <c r="Z235" i="1"/>
  <c r="Z309" i="1"/>
  <c r="Z166" i="1"/>
  <c r="Z211" i="1"/>
  <c r="Z201" i="1"/>
  <c r="Z213" i="1"/>
  <c r="Z255" i="1"/>
  <c r="Z300" i="1"/>
  <c r="Z281" i="1"/>
  <c r="Z317" i="1"/>
  <c r="Z49" i="1"/>
  <c r="Z51" i="1"/>
  <c r="Z17" i="1"/>
  <c r="Z127" i="1"/>
  <c r="Z229" i="1"/>
  <c r="Z185" i="1"/>
  <c r="Z173" i="1"/>
  <c r="Z145" i="1"/>
  <c r="Z113" i="1"/>
  <c r="Z243" i="1"/>
  <c r="Z298" i="1"/>
  <c r="Z344" i="1"/>
  <c r="Z310" i="1"/>
  <c r="Z81" i="1"/>
  <c r="Z212" i="1"/>
  <c r="Z45" i="1"/>
  <c r="Z5" i="1"/>
  <c r="Z21" i="1"/>
  <c r="Z92" i="1"/>
  <c r="Z94" i="1"/>
  <c r="Z70" i="1"/>
  <c r="Z119" i="1"/>
  <c r="Z176" i="1"/>
  <c r="Z321" i="1"/>
  <c r="Z260" i="1"/>
  <c r="Z280" i="1"/>
  <c r="Z265" i="1"/>
  <c r="Z315" i="1"/>
  <c r="Z295" i="1"/>
  <c r="Z345" i="1"/>
  <c r="Z8" i="1"/>
  <c r="Z47" i="1"/>
  <c r="Z24" i="1"/>
  <c r="Z104" i="1"/>
  <c r="Z15" i="1"/>
  <c r="Z12" i="1"/>
  <c r="Z48" i="1"/>
  <c r="Z101" i="1"/>
  <c r="Z82" i="1"/>
  <c r="Z156" i="1"/>
  <c r="Z155" i="1"/>
  <c r="Z296" i="1"/>
  <c r="Z230" i="1"/>
  <c r="Z184" i="1"/>
  <c r="Z220" i="1"/>
  <c r="Z330" i="1"/>
  <c r="Z336" i="1"/>
  <c r="Z320" i="1"/>
  <c r="Z324" i="1"/>
  <c r="Z308" i="1"/>
  <c r="Z328" i="1"/>
  <c r="Z20" i="1"/>
  <c r="Z117" i="1"/>
  <c r="Z41" i="1"/>
  <c r="Z123" i="1"/>
  <c r="Z75" i="1"/>
  <c r="Z34" i="1"/>
  <c r="Z122" i="1"/>
  <c r="Z179" i="1"/>
  <c r="Z131" i="1"/>
  <c r="Z318" i="1"/>
  <c r="Z273" i="1"/>
  <c r="Z209" i="1"/>
  <c r="Z231" i="1"/>
  <c r="Z322" i="1"/>
  <c r="Z313" i="1"/>
  <c r="Z261" i="1"/>
  <c r="Z276" i="1"/>
  <c r="Z299" i="1"/>
  <c r="Z335" i="1"/>
  <c r="Z10" i="1"/>
  <c r="Z126" i="1"/>
  <c r="Z88" i="1"/>
  <c r="Z138" i="1"/>
  <c r="Z100" i="1"/>
  <c r="Z279" i="1"/>
  <c r="Z223" i="1"/>
  <c r="Z337" i="1"/>
  <c r="Z221" i="1"/>
  <c r="Z304" i="1"/>
  <c r="Z274" i="1"/>
  <c r="Z186" i="1"/>
  <c r="Z148" i="1"/>
  <c r="Z338" i="1"/>
  <c r="Z277" i="1"/>
  <c r="Z329" i="1"/>
  <c r="Z292" i="1"/>
  <c r="Z116" i="1"/>
  <c r="Z305" i="1"/>
  <c r="Z144" i="1"/>
  <c r="Z268" i="1"/>
  <c r="Z162" i="1"/>
  <c r="Z65" i="1"/>
  <c r="Z134" i="1"/>
  <c r="Z157" i="1"/>
  <c r="Z183" i="1"/>
  <c r="Z334" i="1"/>
  <c r="Z323" i="1"/>
  <c r="Z189" i="1"/>
  <c r="Z301" i="1"/>
  <c r="Z192" i="1"/>
  <c r="Z26" i="1"/>
  <c r="Z306" i="1"/>
  <c r="Z40" i="1"/>
  <c r="Z154" i="1"/>
  <c r="Z254" i="1"/>
  <c r="Z256" i="1"/>
  <c r="Z219" i="1"/>
  <c r="Z271" i="1"/>
  <c r="Z284" i="1"/>
  <c r="Z11" i="1"/>
  <c r="Z244" i="1"/>
  <c r="Z222" i="1"/>
  <c r="Z137" i="1"/>
  <c r="Z333" i="1"/>
  <c r="Z44" i="1"/>
  <c r="Z251" i="1"/>
  <c r="Z80" i="1"/>
  <c r="Z241" i="1"/>
  <c r="Z147" i="1"/>
  <c r="Z225" i="1"/>
  <c r="Z287" i="1"/>
  <c r="Z190" i="1"/>
  <c r="Z326" i="1"/>
  <c r="Z293" i="1"/>
  <c r="Z341" i="1"/>
  <c r="Z343" i="1"/>
  <c r="Z237" i="1"/>
  <c r="Z90" i="1"/>
  <c r="Z151" i="1"/>
  <c r="Z165" i="1"/>
  <c r="Z120" i="1"/>
  <c r="Z129" i="1"/>
  <c r="Z194" i="1"/>
  <c r="Z258" i="1"/>
  <c r="Z206" i="1"/>
  <c r="Z283" i="1"/>
  <c r="Z342" i="1"/>
  <c r="Z248" i="1"/>
  <c r="Z171" i="1"/>
  <c r="AB171" i="1"/>
  <c r="AB194" i="1"/>
  <c r="AB237" i="1"/>
  <c r="AB287" i="1"/>
  <c r="AB44" i="1"/>
  <c r="AB284" i="1"/>
  <c r="AB40" i="1"/>
  <c r="AB323" i="1"/>
  <c r="AB162" i="1"/>
  <c r="AB329" i="1"/>
  <c r="AB304" i="1"/>
  <c r="AB138" i="1"/>
  <c r="AB276" i="1"/>
  <c r="AB273" i="1"/>
  <c r="AA75" i="1"/>
  <c r="AA308" i="1"/>
  <c r="AB184" i="1"/>
  <c r="AB101" i="1"/>
  <c r="AA47" i="1"/>
  <c r="AB280" i="1"/>
  <c r="AA94" i="1"/>
  <c r="AB81" i="1"/>
  <c r="AA145" i="1"/>
  <c r="AA51" i="1"/>
  <c r="AB213" i="1"/>
  <c r="AB169" i="1"/>
  <c r="AA171" i="1"/>
  <c r="AA194" i="1"/>
  <c r="AA237" i="1"/>
  <c r="AA287" i="1"/>
  <c r="AA44" i="1"/>
  <c r="AA284" i="1"/>
  <c r="AA40" i="1"/>
  <c r="AA323" i="1"/>
  <c r="AA162" i="1"/>
  <c r="AA329" i="1"/>
  <c r="AA304" i="1"/>
  <c r="AA138" i="1"/>
  <c r="AA276" i="1"/>
  <c r="AA273" i="1"/>
  <c r="AB75" i="1"/>
  <c r="AB308" i="1"/>
  <c r="AA184" i="1"/>
  <c r="AA101" i="1"/>
  <c r="AB47" i="1"/>
  <c r="AA280" i="1"/>
  <c r="AB94" i="1"/>
  <c r="AA81" i="1"/>
  <c r="AB145" i="1"/>
  <c r="AB51" i="1"/>
  <c r="AA213" i="1"/>
  <c r="AA169" i="1"/>
  <c r="AA79" i="1"/>
  <c r="AA25" i="1"/>
  <c r="AB227" i="1"/>
  <c r="AA197" i="1"/>
  <c r="AA187" i="1"/>
  <c r="AA139" i="1"/>
  <c r="AA331" i="1"/>
  <c r="AA188" i="1"/>
  <c r="AA61" i="1"/>
  <c r="AA250" i="1"/>
  <c r="AA217" i="1"/>
  <c r="AA146" i="1"/>
  <c r="AB30" i="1"/>
  <c r="AB294" i="1"/>
  <c r="AA236" i="1"/>
  <c r="AB136" i="1"/>
  <c r="AA68" i="1"/>
  <c r="AB84" i="1"/>
  <c r="AA170" i="1"/>
  <c r="AA233" i="1"/>
  <c r="AA267" i="1"/>
  <c r="AB64" i="1"/>
  <c r="AA83" i="1"/>
  <c r="AB42" i="1"/>
  <c r="AB242" i="1"/>
  <c r="AA240" i="1"/>
  <c r="AB89" i="1"/>
  <c r="AA74" i="1"/>
  <c r="AA228" i="1"/>
  <c r="AA264" i="1"/>
  <c r="AA143" i="1"/>
  <c r="AA239" i="1"/>
  <c r="AB132" i="1"/>
  <c r="AB248" i="1"/>
  <c r="AB129" i="1"/>
  <c r="AB343" i="1"/>
  <c r="AB225" i="1"/>
  <c r="AB333" i="1"/>
  <c r="AB271" i="1"/>
  <c r="AA306" i="1"/>
  <c r="AB334" i="1"/>
  <c r="AB268" i="1"/>
  <c r="AB277" i="1"/>
  <c r="AA221" i="1"/>
  <c r="AB88" i="1"/>
  <c r="AB261" i="1"/>
  <c r="AB318" i="1"/>
  <c r="AB123" i="1"/>
  <c r="AA324" i="1"/>
  <c r="AB230" i="1"/>
  <c r="AA48" i="1"/>
  <c r="AA8" i="1"/>
  <c r="AB260" i="1"/>
  <c r="AB92" i="1"/>
  <c r="AB310" i="1"/>
  <c r="AB173" i="1"/>
  <c r="AB49" i="1"/>
  <c r="AA201" i="1"/>
  <c r="AA181" i="1"/>
  <c r="AB172" i="1"/>
  <c r="AA6" i="1"/>
  <c r="AB314" i="1"/>
  <c r="AA226" i="1"/>
  <c r="AB246" i="1"/>
  <c r="AB152" i="1"/>
  <c r="AB282" i="1"/>
  <c r="AB199" i="1"/>
  <c r="AB86" i="1"/>
  <c r="AB339" i="1"/>
  <c r="AB182" i="1"/>
  <c r="AA71" i="1"/>
  <c r="AA9" i="1"/>
  <c r="AB247" i="1"/>
  <c r="AB203" i="1"/>
  <c r="AB96" i="1"/>
  <c r="AB69" i="1"/>
  <c r="AA56" i="1"/>
  <c r="AA168" i="1"/>
  <c r="AB332" i="1"/>
  <c r="AB232" i="1"/>
  <c r="AB28" i="1"/>
  <c r="AA114" i="1"/>
  <c r="AB77" i="1"/>
  <c r="AA195" i="1"/>
  <c r="AB140" i="1"/>
  <c r="AB115" i="1"/>
  <c r="AA14" i="1"/>
  <c r="AA319" i="1"/>
  <c r="AA161" i="1"/>
  <c r="AB66" i="1"/>
  <c r="AA346" i="1"/>
  <c r="AA340" i="1"/>
  <c r="AB303" i="1"/>
  <c r="AA163" i="1"/>
  <c r="AA248" i="1"/>
  <c r="AA129" i="1"/>
  <c r="AA343" i="1"/>
  <c r="AA225" i="1"/>
  <c r="AA333" i="1"/>
  <c r="AA271" i="1"/>
  <c r="AB306" i="1"/>
  <c r="AA334" i="1"/>
  <c r="AA268" i="1"/>
  <c r="AA277" i="1"/>
  <c r="AB221" i="1"/>
  <c r="AA88" i="1"/>
  <c r="AA261" i="1"/>
  <c r="AA318" i="1"/>
  <c r="AA123" i="1"/>
  <c r="AB324" i="1"/>
  <c r="AA230" i="1"/>
  <c r="AB48" i="1"/>
  <c r="AB8" i="1"/>
  <c r="AA260" i="1"/>
  <c r="AA92" i="1"/>
  <c r="AA310" i="1"/>
  <c r="AA173" i="1"/>
  <c r="AA49" i="1"/>
  <c r="AB201" i="1"/>
  <c r="AB181" i="1"/>
  <c r="AA172" i="1"/>
  <c r="AB6" i="1"/>
  <c r="AA314" i="1"/>
  <c r="AB226" i="1"/>
  <c r="AA246" i="1"/>
  <c r="AA152" i="1"/>
  <c r="AA282" i="1"/>
  <c r="AA199" i="1"/>
  <c r="AA86" i="1"/>
  <c r="AA339" i="1"/>
  <c r="AA182" i="1"/>
  <c r="AB71" i="1"/>
  <c r="AB9" i="1"/>
  <c r="AA247" i="1"/>
  <c r="AA203" i="1"/>
  <c r="AA96" i="1"/>
  <c r="AA69" i="1"/>
  <c r="AB56" i="1"/>
  <c r="AB168" i="1"/>
  <c r="AA332" i="1"/>
  <c r="AA232" i="1"/>
  <c r="AA28" i="1"/>
  <c r="AB114" i="1"/>
  <c r="AA77" i="1"/>
  <c r="AB195" i="1"/>
  <c r="AA140" i="1"/>
  <c r="AA115" i="1"/>
  <c r="AB14" i="1"/>
  <c r="AB319" i="1"/>
  <c r="AB161" i="1"/>
  <c r="AA66" i="1"/>
  <c r="AA253" i="1"/>
  <c r="AA7" i="1"/>
  <c r="AA342" i="1"/>
  <c r="AB120" i="1"/>
  <c r="AB341" i="1"/>
  <c r="AB147" i="1"/>
  <c r="AA137" i="1"/>
  <c r="AA219" i="1"/>
  <c r="AB26" i="1"/>
  <c r="AA183" i="1"/>
  <c r="AB144" i="1"/>
  <c r="AA338" i="1"/>
  <c r="AB337" i="1"/>
  <c r="AA126" i="1"/>
  <c r="AB313" i="1"/>
  <c r="AB131" i="1"/>
  <c r="AA41" i="1"/>
  <c r="AB320" i="1"/>
  <c r="AB296" i="1"/>
  <c r="AA12" i="1"/>
  <c r="AB345" i="1"/>
  <c r="AB321" i="1"/>
  <c r="AB21" i="1"/>
  <c r="AA344" i="1"/>
  <c r="AA185" i="1"/>
  <c r="AA317" i="1"/>
  <c r="AA211" i="1"/>
  <c r="AA124" i="1"/>
  <c r="AB214" i="1"/>
  <c r="AB346" i="1"/>
  <c r="AB239" i="1"/>
  <c r="AB253" i="1"/>
  <c r="AB73" i="1"/>
  <c r="AB102" i="1"/>
  <c r="AB340" i="1"/>
  <c r="AA303" i="1"/>
  <c r="AB7" i="1"/>
  <c r="AB289" i="1"/>
  <c r="AA132" i="1"/>
  <c r="AB163" i="1"/>
  <c r="AB93" i="1"/>
  <c r="AB286" i="1"/>
  <c r="AA125" i="1"/>
  <c r="AB72" i="1"/>
  <c r="AA60" i="1"/>
  <c r="AB55" i="1"/>
  <c r="AA200" i="1"/>
  <c r="AB278" i="1"/>
  <c r="AB205" i="1"/>
  <c r="AA53" i="1"/>
  <c r="AB95" i="1"/>
  <c r="AB38" i="1"/>
  <c r="AB159" i="1"/>
  <c r="AA167" i="1"/>
  <c r="AB103" i="1"/>
  <c r="AA37" i="1"/>
  <c r="AB257" i="1"/>
  <c r="AB158" i="1"/>
  <c r="AB111" i="1"/>
  <c r="AB342" i="1"/>
  <c r="AA120" i="1"/>
  <c r="AA341" i="1"/>
  <c r="AA147" i="1"/>
  <c r="AB137" i="1"/>
  <c r="AB219" i="1"/>
  <c r="AA26" i="1"/>
  <c r="AB183" i="1"/>
  <c r="AA144" i="1"/>
  <c r="AB338" i="1"/>
  <c r="AA337" i="1"/>
  <c r="AB126" i="1"/>
  <c r="AA313" i="1"/>
  <c r="AA131" i="1"/>
  <c r="AB41" i="1"/>
  <c r="AA320" i="1"/>
  <c r="AA296" i="1"/>
  <c r="AB12" i="1"/>
  <c r="AA345" i="1"/>
  <c r="AA321" i="1"/>
  <c r="AA21" i="1"/>
  <c r="AB344" i="1"/>
  <c r="AB185" i="1"/>
  <c r="AB317" i="1"/>
  <c r="AB211" i="1"/>
  <c r="AB124" i="1"/>
  <c r="AA214" i="1"/>
  <c r="AA73" i="1"/>
  <c r="AA102" i="1"/>
  <c r="AA289" i="1"/>
  <c r="AA283" i="1"/>
  <c r="AB165" i="1"/>
  <c r="AA293" i="1"/>
  <c r="AB241" i="1"/>
  <c r="AA222" i="1"/>
  <c r="AA256" i="1"/>
  <c r="AB192" i="1"/>
  <c r="AA157" i="1"/>
  <c r="AA305" i="1"/>
  <c r="AA148" i="1"/>
  <c r="AB223" i="1"/>
  <c r="AA10" i="1"/>
  <c r="AA322" i="1"/>
  <c r="AB179" i="1"/>
  <c r="AB117" i="1"/>
  <c r="AB336" i="1"/>
  <c r="AB155" i="1"/>
  <c r="AA15" i="1"/>
  <c r="AA295" i="1"/>
  <c r="AB176" i="1"/>
  <c r="AA5" i="1"/>
  <c r="AA298" i="1"/>
  <c r="AA229" i="1"/>
  <c r="AA281" i="1"/>
  <c r="AB166" i="1"/>
  <c r="AB121" i="1"/>
  <c r="AA174" i="1"/>
  <c r="AA290" i="1"/>
  <c r="AB297" i="1"/>
  <c r="AA52" i="1"/>
  <c r="AA31" i="1"/>
  <c r="AA16" i="1"/>
  <c r="AA285" i="1"/>
  <c r="AA208" i="1"/>
  <c r="AB266" i="1"/>
  <c r="AA216" i="1"/>
  <c r="AA175" i="1"/>
  <c r="AB76" i="1"/>
  <c r="AB18" i="1"/>
  <c r="AA177" i="1"/>
  <c r="AA180" i="1"/>
  <c r="AA107" i="1"/>
  <c r="AA63" i="1"/>
  <c r="AB142" i="1"/>
  <c r="AB32" i="1"/>
  <c r="AA312" i="1"/>
  <c r="AA259" i="1"/>
  <c r="AB85" i="1"/>
  <c r="AA57" i="1"/>
  <c r="AB97" i="1"/>
  <c r="AB196" i="1"/>
  <c r="AA210" i="1"/>
  <c r="AA135" i="1"/>
  <c r="AB13" i="1"/>
  <c r="AA207" i="1"/>
  <c r="AA58" i="1"/>
  <c r="AA23" i="1"/>
  <c r="AA206" i="1"/>
  <c r="AB206" i="1"/>
  <c r="AA151" i="1"/>
  <c r="AA326" i="1"/>
  <c r="AB80" i="1"/>
  <c r="AA244" i="1"/>
  <c r="AA254" i="1"/>
  <c r="AB301" i="1"/>
  <c r="AA134" i="1"/>
  <c r="AB116" i="1"/>
  <c r="AB186" i="1"/>
  <c r="AB279" i="1"/>
  <c r="AB335" i="1"/>
  <c r="AA231" i="1"/>
  <c r="AA122" i="1"/>
  <c r="AB20" i="1"/>
  <c r="AB330" i="1"/>
  <c r="AB156" i="1"/>
  <c r="AA104" i="1"/>
  <c r="AA315" i="1"/>
  <c r="AB119" i="1"/>
  <c r="AB45" i="1"/>
  <c r="AB283" i="1"/>
  <c r="AA80" i="1"/>
  <c r="AA301" i="1"/>
  <c r="AA186" i="1"/>
  <c r="AB231" i="1"/>
  <c r="AA330" i="1"/>
  <c r="AB315" i="1"/>
  <c r="AA243" i="1"/>
  <c r="AA255" i="1"/>
  <c r="AB79" i="1"/>
  <c r="AA227" i="1"/>
  <c r="AB187" i="1"/>
  <c r="AB331" i="1"/>
  <c r="AB61" i="1"/>
  <c r="AB217" i="1"/>
  <c r="AA30" i="1"/>
  <c r="AA178" i="1"/>
  <c r="AB50" i="1"/>
  <c r="AA55" i="1"/>
  <c r="AA325" i="1"/>
  <c r="AB149" i="1"/>
  <c r="AB57" i="1"/>
  <c r="AA242" i="1"/>
  <c r="AA288" i="1"/>
  <c r="AB29" i="1"/>
  <c r="AA158" i="1"/>
  <c r="AA62" i="1"/>
  <c r="AB130" i="1"/>
  <c r="AA159" i="1"/>
  <c r="AA29" i="1"/>
  <c r="AB58" i="1"/>
  <c r="AB228" i="1"/>
  <c r="AB11" i="1"/>
  <c r="AB100" i="1"/>
  <c r="AA82" i="1"/>
  <c r="AB59" i="1"/>
  <c r="AA204" i="1"/>
  <c r="AA302" i="1"/>
  <c r="AA291" i="1"/>
  <c r="AB270" i="1"/>
  <c r="AA249" i="1"/>
  <c r="AA90" i="1"/>
  <c r="AB82" i="1"/>
  <c r="AA127" i="1"/>
  <c r="AB139" i="1"/>
  <c r="AA128" i="1"/>
  <c r="AA38" i="1"/>
  <c r="AB143" i="1"/>
  <c r="AB154" i="1"/>
  <c r="AB87" i="1"/>
  <c r="AA72" i="1"/>
  <c r="AB37" i="1"/>
  <c r="AA192" i="1"/>
  <c r="AA269" i="1"/>
  <c r="AA54" i="1"/>
  <c r="AA95" i="1"/>
  <c r="AB62" i="1"/>
  <c r="AA258" i="1"/>
  <c r="AB251" i="1"/>
  <c r="AA189" i="1"/>
  <c r="AB274" i="1"/>
  <c r="AA209" i="1"/>
  <c r="AA220" i="1"/>
  <c r="AA265" i="1"/>
  <c r="AB243" i="1"/>
  <c r="AB255" i="1"/>
  <c r="AB174" i="1"/>
  <c r="AA297" i="1"/>
  <c r="AB31" i="1"/>
  <c r="AB285" i="1"/>
  <c r="AA266" i="1"/>
  <c r="AB175" i="1"/>
  <c r="AA93" i="1"/>
  <c r="AB178" i="1"/>
  <c r="AA50" i="1"/>
  <c r="AA142" i="1"/>
  <c r="AB233" i="1"/>
  <c r="AB43" i="1"/>
  <c r="AB288" i="1"/>
  <c r="AA78" i="1"/>
  <c r="AB112" i="1"/>
  <c r="AA100" i="1"/>
  <c r="AB197" i="1"/>
  <c r="AB146" i="1"/>
  <c r="AA105" i="1"/>
  <c r="AA24" i="1"/>
  <c r="AA36" i="1"/>
  <c r="AA241" i="1"/>
  <c r="AA316" i="1"/>
  <c r="AB258" i="1"/>
  <c r="AA251" i="1"/>
  <c r="AB189" i="1"/>
  <c r="AA274" i="1"/>
  <c r="AB209" i="1"/>
  <c r="AB220" i="1"/>
  <c r="AB265" i="1"/>
  <c r="AB113" i="1"/>
  <c r="AA166" i="1"/>
  <c r="AA133" i="1"/>
  <c r="AB153" i="1"/>
  <c r="AB224" i="1"/>
  <c r="AB307" i="1"/>
  <c r="AB215" i="1"/>
  <c r="AB91" i="1"/>
  <c r="AA18" i="1"/>
  <c r="AB236" i="1"/>
  <c r="AB39" i="1"/>
  <c r="AB98" i="1"/>
  <c r="AA278" i="1"/>
  <c r="AA130" i="1"/>
  <c r="AA43" i="1"/>
  <c r="AA196" i="1"/>
  <c r="AA89" i="1"/>
  <c r="AA263" i="1"/>
  <c r="AB198" i="1"/>
  <c r="AB134" i="1"/>
  <c r="AA156" i="1"/>
  <c r="AB229" i="1"/>
  <c r="AA272" i="1"/>
  <c r="AA202" i="1"/>
  <c r="AB35" i="1"/>
  <c r="AA112" i="1"/>
  <c r="AB65" i="1"/>
  <c r="AB127" i="1"/>
  <c r="AA85" i="1"/>
  <c r="AA257" i="1"/>
  <c r="AA34" i="1"/>
  <c r="AA235" i="1"/>
  <c r="AB250" i="1"/>
  <c r="AB63" i="1"/>
  <c r="AA99" i="1"/>
  <c r="AB299" i="1"/>
  <c r="AA67" i="1"/>
  <c r="AB316" i="1"/>
  <c r="AA87" i="1"/>
  <c r="AB262" i="1"/>
  <c r="AA149" i="1"/>
  <c r="AA165" i="1"/>
  <c r="AB222" i="1"/>
  <c r="AB157" i="1"/>
  <c r="AA223" i="1"/>
  <c r="AA179" i="1"/>
  <c r="AA155" i="1"/>
  <c r="AA176" i="1"/>
  <c r="AA113" i="1"/>
  <c r="AB309" i="1"/>
  <c r="AB133" i="1"/>
  <c r="AA153" i="1"/>
  <c r="AA224" i="1"/>
  <c r="AA307" i="1"/>
  <c r="AA215" i="1"/>
  <c r="AA91" i="1"/>
  <c r="AB27" i="1"/>
  <c r="AB125" i="1"/>
  <c r="AA39" i="1"/>
  <c r="AA98" i="1"/>
  <c r="AB312" i="1"/>
  <c r="AA64" i="1"/>
  <c r="AA35" i="1"/>
  <c r="AA160" i="1"/>
  <c r="AA103" i="1"/>
  <c r="AB263" i="1"/>
  <c r="AA198" i="1"/>
  <c r="AB151" i="1"/>
  <c r="AB244" i="1"/>
  <c r="AA279" i="1"/>
  <c r="AB122" i="1"/>
  <c r="AA119" i="1"/>
  <c r="AA59" i="1"/>
  <c r="AB204" i="1"/>
  <c r="AB302" i="1"/>
  <c r="AA27" i="1"/>
  <c r="AB78" i="1"/>
  <c r="AA270" i="1"/>
  <c r="AB53" i="1"/>
  <c r="AB160" i="1"/>
  <c r="AB135" i="1"/>
  <c r="AB90" i="1"/>
  <c r="AB34" i="1"/>
  <c r="AB235" i="1"/>
  <c r="AB272" i="1"/>
  <c r="AB202" i="1"/>
  <c r="AA46" i="1"/>
  <c r="AB60" i="1"/>
  <c r="AA42" i="1"/>
  <c r="AA11" i="1"/>
  <c r="AA70" i="1"/>
  <c r="AB188" i="1"/>
  <c r="AB291" i="1"/>
  <c r="AA234" i="1"/>
  <c r="AB249" i="1"/>
  <c r="AB190" i="1"/>
  <c r="AA300" i="1"/>
  <c r="AA262" i="1"/>
  <c r="AA141" i="1"/>
  <c r="AA108" i="1"/>
  <c r="AB298" i="1"/>
  <c r="AB325" i="1"/>
  <c r="AA309" i="1"/>
  <c r="AB46" i="1"/>
  <c r="AB180" i="1"/>
  <c r="AB68" i="1"/>
  <c r="AB70" i="1"/>
  <c r="AB128" i="1"/>
  <c r="AB99" i="1"/>
  <c r="AA65" i="1"/>
  <c r="AB25" i="1"/>
  <c r="AB170" i="1"/>
  <c r="AB207" i="1"/>
  <c r="AB292" i="1"/>
  <c r="AB269" i="1"/>
  <c r="AB22" i="1"/>
  <c r="AB295" i="1"/>
  <c r="AA275" i="1"/>
  <c r="AB141" i="1"/>
  <c r="AB108" i="1"/>
  <c r="AB275" i="1"/>
  <c r="AA336" i="1"/>
  <c r="AA118" i="1"/>
  <c r="AB107" i="1"/>
  <c r="AB293" i="1"/>
  <c r="AB256" i="1"/>
  <c r="AB305" i="1"/>
  <c r="AB10" i="1"/>
  <c r="AA117" i="1"/>
  <c r="AB15" i="1"/>
  <c r="AB5" i="1"/>
  <c r="AA17" i="1"/>
  <c r="AA121" i="1"/>
  <c r="AB290" i="1"/>
  <c r="AB52" i="1"/>
  <c r="AB16" i="1"/>
  <c r="AB208" i="1"/>
  <c r="AB216" i="1"/>
  <c r="AA76" i="1"/>
  <c r="AA294" i="1"/>
  <c r="AA193" i="1"/>
  <c r="AA191" i="1"/>
  <c r="AB200" i="1"/>
  <c r="AB234" i="1"/>
  <c r="AB105" i="1"/>
  <c r="AA97" i="1"/>
  <c r="AB240" i="1"/>
  <c r="AA106" i="1"/>
  <c r="AA327" i="1"/>
  <c r="AA111" i="1"/>
  <c r="AA154" i="1"/>
  <c r="AA292" i="1"/>
  <c r="AB328" i="1"/>
  <c r="AA212" i="1"/>
  <c r="AB281" i="1"/>
  <c r="AB252" i="1"/>
  <c r="AA218" i="1"/>
  <c r="AB177" i="1"/>
  <c r="AB36" i="1"/>
  <c r="AA22" i="1"/>
  <c r="AA205" i="1"/>
  <c r="AA19" i="1"/>
  <c r="AB210" i="1"/>
  <c r="AA238" i="1"/>
  <c r="AB212" i="1"/>
  <c r="AB54" i="1"/>
  <c r="AB83" i="1"/>
  <c r="AB322" i="1"/>
  <c r="AB264" i="1"/>
  <c r="AB326" i="1"/>
  <c r="AB254" i="1"/>
  <c r="AA116" i="1"/>
  <c r="AA335" i="1"/>
  <c r="AA20" i="1"/>
  <c r="AB104" i="1"/>
  <c r="AA45" i="1"/>
  <c r="AB17" i="1"/>
  <c r="AB164" i="1"/>
  <c r="AA252" i="1"/>
  <c r="AA110" i="1"/>
  <c r="AA311" i="1"/>
  <c r="AA245" i="1"/>
  <c r="AB218" i="1"/>
  <c r="AB109" i="1"/>
  <c r="AA286" i="1"/>
  <c r="AB193" i="1"/>
  <c r="AB191" i="1"/>
  <c r="AA32" i="1"/>
  <c r="AB267" i="1"/>
  <c r="AB150" i="1"/>
  <c r="AB19" i="1"/>
  <c r="AB167" i="1"/>
  <c r="AB106" i="1"/>
  <c r="AB327" i="1"/>
  <c r="AB23" i="1"/>
  <c r="AA190" i="1"/>
  <c r="AA299" i="1"/>
  <c r="AB24" i="1"/>
  <c r="AA164" i="1"/>
  <c r="AB110" i="1"/>
  <c r="AB311" i="1"/>
  <c r="AB245" i="1"/>
  <c r="AA109" i="1"/>
  <c r="AA136" i="1"/>
  <c r="AA33" i="1"/>
  <c r="AB148" i="1"/>
  <c r="AA150" i="1"/>
  <c r="AB74" i="1"/>
  <c r="AB33" i="1"/>
  <c r="AA328" i="1"/>
  <c r="AB118" i="1"/>
  <c r="AB259" i="1"/>
  <c r="AB238" i="1"/>
  <c r="AB300" i="1"/>
  <c r="AB67" i="1"/>
  <c r="AA84" i="1"/>
  <c r="AA13" i="1"/>
  <c r="AF67" i="1" l="1"/>
  <c r="AF300" i="1"/>
  <c r="AF238" i="1"/>
  <c r="AF259" i="1"/>
  <c r="AF118" i="1"/>
  <c r="AF33" i="1"/>
  <c r="AF74" i="1"/>
  <c r="AF148" i="1"/>
  <c r="AF245" i="1"/>
  <c r="AF311" i="1"/>
  <c r="AF110" i="1"/>
  <c r="AF24" i="1"/>
  <c r="AF23" i="1"/>
  <c r="AF327" i="1"/>
  <c r="AF106" i="1"/>
  <c r="AF167" i="1"/>
  <c r="AF19" i="1"/>
  <c r="AF150" i="1"/>
  <c r="AF267" i="1"/>
  <c r="AF191" i="1"/>
  <c r="AF193" i="1"/>
  <c r="AF109" i="1"/>
  <c r="AF218" i="1"/>
  <c r="AF164" i="1"/>
  <c r="AF17" i="1"/>
  <c r="AF104" i="1"/>
  <c r="AF254" i="1"/>
  <c r="AF326" i="1"/>
  <c r="AF264" i="1"/>
  <c r="AF322" i="1"/>
  <c r="AF83" i="1"/>
  <c r="AF54" i="1"/>
  <c r="AF212" i="1"/>
  <c r="AF210" i="1"/>
  <c r="AF36" i="1"/>
  <c r="AF177" i="1"/>
  <c r="AF252" i="1"/>
  <c r="AF281" i="1"/>
  <c r="AF328" i="1"/>
  <c r="AF240" i="1"/>
  <c r="AF105" i="1"/>
  <c r="AF234" i="1"/>
  <c r="AF200" i="1"/>
  <c r="AF216" i="1"/>
  <c r="AF208" i="1"/>
  <c r="AF16" i="1"/>
  <c r="AF52" i="1"/>
  <c r="AF290" i="1"/>
  <c r="AF5" i="1"/>
  <c r="AF15" i="1"/>
  <c r="AF10" i="1"/>
  <c r="AF305" i="1"/>
  <c r="AF256" i="1"/>
  <c r="AF293" i="1"/>
  <c r="AF107" i="1"/>
  <c r="AF275" i="1"/>
  <c r="AF108" i="1"/>
  <c r="AF141" i="1"/>
  <c r="AF295" i="1"/>
  <c r="AF22" i="1"/>
  <c r="AF269" i="1"/>
  <c r="AF292" i="1"/>
  <c r="AF207" i="1"/>
  <c r="AF170" i="1"/>
  <c r="AF25" i="1"/>
  <c r="AF99" i="1"/>
  <c r="AF128" i="1"/>
  <c r="AF70" i="1"/>
  <c r="AF68" i="1"/>
  <c r="AF180" i="1"/>
  <c r="AF46" i="1"/>
  <c r="AF325" i="1"/>
  <c r="AF298" i="1"/>
  <c r="AF190" i="1"/>
  <c r="AF249" i="1"/>
  <c r="AF291" i="1"/>
  <c r="AF188" i="1"/>
  <c r="AF60" i="1"/>
  <c r="AF202" i="1"/>
  <c r="AF272" i="1"/>
  <c r="AF235" i="1"/>
  <c r="AF34" i="1"/>
  <c r="AF90" i="1"/>
  <c r="AF135" i="1"/>
  <c r="AF160" i="1"/>
  <c r="AF53" i="1"/>
  <c r="AF78" i="1"/>
  <c r="AF302" i="1"/>
  <c r="AF204" i="1"/>
  <c r="AF122" i="1"/>
  <c r="AF244" i="1"/>
  <c r="AF151" i="1"/>
  <c r="AF263" i="1"/>
  <c r="AF312" i="1"/>
  <c r="AF125" i="1"/>
  <c r="AF27" i="1"/>
  <c r="AF133" i="1"/>
  <c r="AF309" i="1"/>
  <c r="AF157" i="1"/>
  <c r="AF222" i="1"/>
  <c r="AF262" i="1"/>
  <c r="AF316" i="1"/>
  <c r="AF299" i="1"/>
  <c r="AF63" i="1"/>
  <c r="AF250" i="1"/>
  <c r="AF127" i="1"/>
  <c r="AF65" i="1"/>
  <c r="AF35" i="1"/>
  <c r="AF229" i="1"/>
  <c r="AF134" i="1"/>
  <c r="AF198" i="1"/>
  <c r="AF98" i="1"/>
  <c r="AF39" i="1"/>
  <c r="AF236" i="1"/>
  <c r="AF91" i="1"/>
  <c r="AF215" i="1"/>
  <c r="AF307" i="1"/>
  <c r="AF224" i="1"/>
  <c r="AF153" i="1"/>
  <c r="AF113" i="1"/>
  <c r="AF265" i="1"/>
  <c r="AF220" i="1"/>
  <c r="AF209" i="1"/>
  <c r="AF189" i="1"/>
  <c r="AF258" i="1"/>
  <c r="AF146" i="1"/>
  <c r="AF197" i="1"/>
  <c r="AF112" i="1"/>
  <c r="AF288" i="1"/>
  <c r="AF43" i="1"/>
  <c r="AF233" i="1"/>
  <c r="AF178" i="1"/>
  <c r="AF175" i="1"/>
  <c r="AF285" i="1"/>
  <c r="AF31" i="1"/>
  <c r="AF174" i="1"/>
  <c r="AF255" i="1"/>
  <c r="AF243" i="1"/>
  <c r="AF274" i="1"/>
  <c r="AF251" i="1"/>
  <c r="AF62" i="1"/>
  <c r="AF37" i="1"/>
  <c r="AF87" i="1"/>
  <c r="AF154" i="1"/>
  <c r="AF143" i="1"/>
  <c r="AF139" i="1"/>
  <c r="AF82" i="1"/>
  <c r="AF270" i="1"/>
  <c r="AF59" i="1"/>
  <c r="AF100" i="1"/>
  <c r="AF11" i="1"/>
  <c r="AF228" i="1"/>
  <c r="AF58" i="1"/>
  <c r="AF130" i="1"/>
  <c r="AF29" i="1"/>
  <c r="AF57" i="1"/>
  <c r="AF149" i="1"/>
  <c r="AF50" i="1"/>
  <c r="AF217" i="1"/>
  <c r="AF61" i="1"/>
  <c r="AF331" i="1"/>
  <c r="AF187" i="1"/>
  <c r="AF79" i="1"/>
  <c r="AF315" i="1"/>
  <c r="AF231" i="1"/>
  <c r="AF283" i="1"/>
  <c r="AF45" i="1"/>
  <c r="AF119" i="1"/>
  <c r="AF156" i="1"/>
  <c r="AF330" i="1"/>
  <c r="AF20" i="1"/>
  <c r="AF335" i="1"/>
  <c r="AF279" i="1"/>
  <c r="AF186" i="1"/>
  <c r="AF116" i="1"/>
  <c r="AF301" i="1"/>
  <c r="AF80" i="1"/>
  <c r="AF206" i="1"/>
  <c r="AF13" i="1"/>
  <c r="AF196" i="1"/>
  <c r="AF97" i="1"/>
  <c r="AF85" i="1"/>
  <c r="AF32" i="1"/>
  <c r="AF142" i="1"/>
  <c r="AF18" i="1"/>
  <c r="AF76" i="1"/>
  <c r="AF266" i="1"/>
  <c r="AF297" i="1"/>
  <c r="AF121" i="1"/>
  <c r="AF166" i="1"/>
  <c r="AF176" i="1"/>
  <c r="AF155" i="1"/>
  <c r="AF336" i="1"/>
  <c r="AF117" i="1"/>
  <c r="AF179" i="1"/>
  <c r="AF223" i="1"/>
  <c r="AF192" i="1"/>
  <c r="AF241" i="1"/>
  <c r="AF165" i="1"/>
  <c r="AF124" i="1"/>
  <c r="AF211" i="1"/>
  <c r="AF317" i="1"/>
  <c r="AF185" i="1"/>
  <c r="AF344" i="1"/>
  <c r="AF12" i="1"/>
  <c r="AF41" i="1"/>
  <c r="AF126" i="1"/>
  <c r="AF338" i="1"/>
  <c r="AF183" i="1"/>
  <c r="AF219" i="1"/>
  <c r="AF137" i="1"/>
  <c r="AF342" i="1"/>
  <c r="AF111" i="1"/>
  <c r="AF158" i="1"/>
  <c r="AF257" i="1"/>
  <c r="AF103" i="1"/>
  <c r="AF159" i="1"/>
  <c r="AF38" i="1"/>
  <c r="AF95" i="1"/>
  <c r="AF205" i="1"/>
  <c r="AF278" i="1"/>
  <c r="AF55" i="1"/>
  <c r="AF72" i="1"/>
  <c r="AF286" i="1"/>
  <c r="AF93" i="1"/>
  <c r="AF163" i="1"/>
  <c r="AF289" i="1"/>
  <c r="AF7" i="1"/>
  <c r="AF340" i="1"/>
  <c r="AF102" i="1"/>
  <c r="AF73" i="1"/>
  <c r="AF253" i="1"/>
  <c r="AF239" i="1"/>
  <c r="AF346" i="1"/>
  <c r="AF214" i="1"/>
  <c r="AF21" i="1"/>
  <c r="AF321" i="1"/>
  <c r="AF345" i="1"/>
  <c r="AF296" i="1"/>
  <c r="AF320" i="1"/>
  <c r="AF131" i="1"/>
  <c r="AF313" i="1"/>
  <c r="AF337" i="1"/>
  <c r="AF144" i="1"/>
  <c r="AF26" i="1"/>
  <c r="AF147" i="1"/>
  <c r="AF341" i="1"/>
  <c r="AF120" i="1"/>
  <c r="AF161" i="1"/>
  <c r="AF319" i="1"/>
  <c r="AF14" i="1"/>
  <c r="AF195" i="1"/>
  <c r="AF114" i="1"/>
  <c r="AF168" i="1"/>
  <c r="AF56" i="1"/>
  <c r="AF9" i="1"/>
  <c r="AF71" i="1"/>
  <c r="AF226" i="1"/>
  <c r="AF6" i="1"/>
  <c r="AF181" i="1"/>
  <c r="AF201" i="1"/>
  <c r="AF8" i="1"/>
  <c r="AF48" i="1"/>
  <c r="AF324" i="1"/>
  <c r="AF221" i="1"/>
  <c r="AF306" i="1"/>
  <c r="AF303" i="1"/>
  <c r="AF66" i="1"/>
  <c r="AF115" i="1"/>
  <c r="AF140" i="1"/>
  <c r="AF77" i="1"/>
  <c r="AF28" i="1"/>
  <c r="AF232" i="1"/>
  <c r="AF332" i="1"/>
  <c r="AF69" i="1"/>
  <c r="AF96" i="1"/>
  <c r="AF203" i="1"/>
  <c r="AF247" i="1"/>
  <c r="AF182" i="1"/>
  <c r="AF339" i="1"/>
  <c r="AF86" i="1"/>
  <c r="AF199" i="1"/>
  <c r="AF282" i="1"/>
  <c r="AF152" i="1"/>
  <c r="AF246" i="1"/>
  <c r="AF314" i="1"/>
  <c r="AF172" i="1"/>
  <c r="AF49" i="1"/>
  <c r="AF173" i="1"/>
  <c r="AF310" i="1"/>
  <c r="AF92" i="1"/>
  <c r="AF260" i="1"/>
  <c r="AF230" i="1"/>
  <c r="AF123" i="1"/>
  <c r="AF318" i="1"/>
  <c r="AF261" i="1"/>
  <c r="AF88" i="1"/>
  <c r="AF277" i="1"/>
  <c r="AF268" i="1"/>
  <c r="AF334" i="1"/>
  <c r="AF271" i="1"/>
  <c r="AF333" i="1"/>
  <c r="AF225" i="1"/>
  <c r="AF343" i="1"/>
  <c r="AF129" i="1"/>
  <c r="AF248" i="1"/>
  <c r="AF132" i="1"/>
  <c r="AF89" i="1"/>
  <c r="AF242" i="1"/>
  <c r="AF42" i="1"/>
  <c r="AF64" i="1"/>
  <c r="AF84" i="1"/>
  <c r="AF136" i="1"/>
  <c r="AF294" i="1"/>
  <c r="AF30" i="1"/>
  <c r="AF227" i="1"/>
  <c r="AF51" i="1"/>
  <c r="AF145" i="1"/>
  <c r="AF94" i="1"/>
  <c r="AF47" i="1"/>
  <c r="AF308" i="1"/>
  <c r="AF75" i="1"/>
  <c r="AF169" i="1"/>
  <c r="AF213" i="1"/>
  <c r="AF81" i="1"/>
  <c r="AF280" i="1"/>
  <c r="AF101" i="1"/>
  <c r="AF184" i="1"/>
  <c r="AF273" i="1"/>
  <c r="AF276" i="1"/>
  <c r="AF138" i="1"/>
  <c r="AF304" i="1"/>
  <c r="AF329" i="1"/>
  <c r="AF162" i="1"/>
  <c r="AF323" i="1"/>
  <c r="AF40" i="1"/>
  <c r="AF284" i="1"/>
  <c r="AF44" i="1"/>
  <c r="AF287" i="1"/>
  <c r="AF237" i="1"/>
  <c r="AF194" i="1"/>
  <c r="AF171" i="1"/>
  <c r="AG329" i="1" l="1"/>
  <c r="AH329" i="1"/>
  <c r="AH246" i="1"/>
  <c r="AG246" i="1"/>
  <c r="AG93" i="1"/>
  <c r="AH93" i="1"/>
  <c r="AH231" i="1"/>
  <c r="AG231" i="1"/>
  <c r="AG307" i="1"/>
  <c r="AH307" i="1"/>
  <c r="AG250" i="1"/>
  <c r="AH250" i="1"/>
  <c r="AH212" i="1"/>
  <c r="AG212" i="1"/>
  <c r="AG47" i="1"/>
  <c r="AH47" i="1"/>
  <c r="AG28" i="1"/>
  <c r="AH28" i="1"/>
  <c r="AG21" i="1"/>
  <c r="AH21" i="1"/>
  <c r="AH297" i="1"/>
  <c r="AG297" i="1"/>
  <c r="AG112" i="1"/>
  <c r="AH112" i="1"/>
  <c r="AH272" i="1"/>
  <c r="AG272" i="1"/>
  <c r="AG191" i="1"/>
  <c r="AH191" i="1"/>
  <c r="AH273" i="1"/>
  <c r="AG273" i="1"/>
  <c r="AH230" i="1"/>
  <c r="AG230" i="1"/>
  <c r="AH71" i="1"/>
  <c r="AG71" i="1"/>
  <c r="AG192" i="1"/>
  <c r="AH192" i="1"/>
  <c r="AH279" i="1"/>
  <c r="AG279" i="1"/>
  <c r="AG59" i="1"/>
  <c r="AH59" i="1"/>
  <c r="AG262" i="1"/>
  <c r="AH262" i="1"/>
  <c r="AG256" i="1"/>
  <c r="AH256" i="1"/>
  <c r="AH101" i="1"/>
  <c r="AG101" i="1"/>
  <c r="AG30" i="1"/>
  <c r="AH30" i="1"/>
  <c r="AH92" i="1"/>
  <c r="AG92" i="1"/>
  <c r="AH303" i="1"/>
  <c r="AG303" i="1"/>
  <c r="AH337" i="1"/>
  <c r="AG337" i="1"/>
  <c r="AH40" i="1"/>
  <c r="AG40" i="1"/>
  <c r="AH213" i="1"/>
  <c r="AG213" i="1"/>
  <c r="AG84" i="1"/>
  <c r="AH84" i="1"/>
  <c r="AG334" i="1"/>
  <c r="AH334" i="1"/>
  <c r="AH49" i="1"/>
  <c r="AG49" i="1"/>
  <c r="AG96" i="1"/>
  <c r="AH96" i="1"/>
  <c r="AG324" i="1"/>
  <c r="AH324" i="1"/>
  <c r="AH320" i="1"/>
  <c r="AG320" i="1"/>
  <c r="AH7" i="1"/>
  <c r="AG7" i="1"/>
  <c r="AG103" i="1"/>
  <c r="AH103" i="1"/>
  <c r="AH344" i="1"/>
  <c r="AG344" i="1"/>
  <c r="AG155" i="1"/>
  <c r="AH155" i="1"/>
  <c r="AG196" i="1"/>
  <c r="AH196" i="1"/>
  <c r="AG119" i="1"/>
  <c r="AH119" i="1"/>
  <c r="AH57" i="1"/>
  <c r="AG57" i="1"/>
  <c r="AG154" i="1"/>
  <c r="AH154" i="1"/>
  <c r="AG178" i="1"/>
  <c r="AH178" i="1"/>
  <c r="AG113" i="1"/>
  <c r="AH113" i="1"/>
  <c r="AG35" i="1"/>
  <c r="AH35" i="1"/>
  <c r="AG27" i="1"/>
  <c r="AH27" i="1"/>
  <c r="AH135" i="1"/>
  <c r="AG135" i="1"/>
  <c r="AH325" i="1"/>
  <c r="AG325" i="1"/>
  <c r="AH22" i="1"/>
  <c r="AG22" i="1"/>
  <c r="AH290" i="1"/>
  <c r="AG290" i="1"/>
  <c r="AH177" i="1"/>
  <c r="AG177" i="1"/>
  <c r="AH13" i="1"/>
  <c r="AG13" i="1"/>
  <c r="AH195" i="1"/>
  <c r="AG195" i="1"/>
  <c r="AH164" i="1"/>
  <c r="AG164" i="1"/>
  <c r="AG24" i="1"/>
  <c r="AH24" i="1"/>
  <c r="AH323" i="1"/>
  <c r="AG323" i="1"/>
  <c r="AH169" i="1"/>
  <c r="AG169" i="1"/>
  <c r="AH64" i="1"/>
  <c r="AG64" i="1"/>
  <c r="AG268" i="1"/>
  <c r="AH268" i="1"/>
  <c r="AG172" i="1"/>
  <c r="AH172" i="1"/>
  <c r="AH69" i="1"/>
  <c r="AG69" i="1"/>
  <c r="AG48" i="1"/>
  <c r="AH48" i="1"/>
  <c r="AH14" i="1"/>
  <c r="AG14" i="1"/>
  <c r="AH296" i="1"/>
  <c r="AG296" i="1"/>
  <c r="AH289" i="1"/>
  <c r="AG289" i="1"/>
  <c r="AH257" i="1"/>
  <c r="AG257" i="1"/>
  <c r="AG185" i="1"/>
  <c r="AH185" i="1"/>
  <c r="AH176" i="1"/>
  <c r="AG176" i="1"/>
  <c r="AG45" i="1"/>
  <c r="AH45" i="1"/>
  <c r="AG29" i="1"/>
  <c r="AH29" i="1"/>
  <c r="AG87" i="1"/>
  <c r="AH87" i="1"/>
  <c r="AH233" i="1"/>
  <c r="AG233" i="1"/>
  <c r="AH153" i="1"/>
  <c r="AG153" i="1"/>
  <c r="AG65" i="1"/>
  <c r="AH65" i="1"/>
  <c r="AG125" i="1"/>
  <c r="AH125" i="1"/>
  <c r="AG90" i="1"/>
  <c r="AH90" i="1"/>
  <c r="AH46" i="1"/>
  <c r="AG46" i="1"/>
  <c r="AH295" i="1"/>
  <c r="AG295" i="1"/>
  <c r="AH52" i="1"/>
  <c r="AG52" i="1"/>
  <c r="AG36" i="1"/>
  <c r="AH36" i="1"/>
  <c r="AH218" i="1"/>
  <c r="AG218" i="1"/>
  <c r="AH110" i="1"/>
  <c r="AG110" i="1"/>
  <c r="AH162" i="1"/>
  <c r="AG162" i="1"/>
  <c r="AH75" i="1"/>
  <c r="AG75" i="1"/>
  <c r="AG42" i="1"/>
  <c r="AH42" i="1"/>
  <c r="AG277" i="1"/>
  <c r="AH277" i="1"/>
  <c r="AH314" i="1"/>
  <c r="AG314" i="1"/>
  <c r="AH332" i="1"/>
  <c r="AG332" i="1"/>
  <c r="AH8" i="1"/>
  <c r="AG8" i="1"/>
  <c r="AG319" i="1"/>
  <c r="AH319" i="1"/>
  <c r="AH345" i="1"/>
  <c r="AG345" i="1"/>
  <c r="AH163" i="1"/>
  <c r="AG163" i="1"/>
  <c r="AH158" i="1"/>
  <c r="AG158" i="1"/>
  <c r="AH317" i="1"/>
  <c r="AG317" i="1"/>
  <c r="AG166" i="1"/>
  <c r="AH166" i="1"/>
  <c r="AH206" i="1"/>
  <c r="AG206" i="1"/>
  <c r="AG283" i="1"/>
  <c r="AH283" i="1"/>
  <c r="AG130" i="1"/>
  <c r="AH130" i="1"/>
  <c r="AH37" i="1"/>
  <c r="AG37" i="1"/>
  <c r="AH43" i="1"/>
  <c r="AG43" i="1"/>
  <c r="AH224" i="1"/>
  <c r="AG224" i="1"/>
  <c r="AG127" i="1"/>
  <c r="AH127" i="1"/>
  <c r="AG312" i="1"/>
  <c r="AH312" i="1"/>
  <c r="AG34" i="1"/>
  <c r="AH34" i="1"/>
  <c r="AG180" i="1"/>
  <c r="AH180" i="1"/>
  <c r="AH141" i="1"/>
  <c r="AG141" i="1"/>
  <c r="AH16" i="1"/>
  <c r="AG16" i="1"/>
  <c r="AH210" i="1"/>
  <c r="AG210" i="1"/>
  <c r="AG109" i="1"/>
  <c r="AH109" i="1"/>
  <c r="AG311" i="1"/>
  <c r="AH311" i="1"/>
  <c r="AH308" i="1"/>
  <c r="AG308" i="1"/>
  <c r="AH201" i="1"/>
  <c r="AG201" i="1"/>
  <c r="AH111" i="1"/>
  <c r="AG111" i="1"/>
  <c r="AH288" i="1"/>
  <c r="AG288" i="1"/>
  <c r="AH235" i="1"/>
  <c r="AG235" i="1"/>
  <c r="AG245" i="1"/>
  <c r="AH245" i="1"/>
  <c r="AH152" i="1"/>
  <c r="AG152" i="1"/>
  <c r="AG124" i="1"/>
  <c r="AH124" i="1"/>
  <c r="AH228" i="1"/>
  <c r="AG228" i="1"/>
  <c r="AH63" i="1"/>
  <c r="AG63" i="1"/>
  <c r="AH216" i="1"/>
  <c r="AG216" i="1"/>
  <c r="AH138" i="1"/>
  <c r="AG138" i="1"/>
  <c r="AH132" i="1"/>
  <c r="AG132" i="1"/>
  <c r="AG318" i="1"/>
  <c r="AH318" i="1"/>
  <c r="AH282" i="1"/>
  <c r="AG282" i="1"/>
  <c r="AH77" i="1"/>
  <c r="AG77" i="1"/>
  <c r="AG6" i="1"/>
  <c r="AH6" i="1"/>
  <c r="AH341" i="1"/>
  <c r="AG341" i="1"/>
  <c r="AH214" i="1"/>
  <c r="AG214" i="1"/>
  <c r="AH72" i="1"/>
  <c r="AG72" i="1"/>
  <c r="AH137" i="1"/>
  <c r="AG137" i="1"/>
  <c r="AG165" i="1"/>
  <c r="AH165" i="1"/>
  <c r="AH266" i="1"/>
  <c r="AG266" i="1"/>
  <c r="AH116" i="1"/>
  <c r="AG116" i="1"/>
  <c r="AG79" i="1"/>
  <c r="AH79" i="1"/>
  <c r="AG11" i="1"/>
  <c r="AH11" i="1"/>
  <c r="AG274" i="1"/>
  <c r="AH274" i="1"/>
  <c r="AG197" i="1"/>
  <c r="AH197" i="1"/>
  <c r="AG91" i="1"/>
  <c r="AH91" i="1"/>
  <c r="AH299" i="1"/>
  <c r="AG299" i="1"/>
  <c r="AH244" i="1"/>
  <c r="AG244" i="1"/>
  <c r="AG202" i="1"/>
  <c r="AH202" i="1"/>
  <c r="AH128" i="1"/>
  <c r="AG128" i="1"/>
  <c r="AG107" i="1"/>
  <c r="AH107" i="1"/>
  <c r="AH200" i="1"/>
  <c r="AG200" i="1"/>
  <c r="AH83" i="1"/>
  <c r="AG83" i="1"/>
  <c r="AG267" i="1"/>
  <c r="AH267" i="1"/>
  <c r="AH74" i="1"/>
  <c r="AG74" i="1"/>
  <c r="AH171" i="1"/>
  <c r="AG171" i="1"/>
  <c r="AG276" i="1"/>
  <c r="AH276" i="1"/>
  <c r="AH145" i="1"/>
  <c r="AG145" i="1"/>
  <c r="AG248" i="1"/>
  <c r="AH248" i="1"/>
  <c r="AH123" i="1"/>
  <c r="AG123" i="1"/>
  <c r="AH199" i="1"/>
  <c r="AG199" i="1"/>
  <c r="AG140" i="1"/>
  <c r="AH140" i="1"/>
  <c r="AH226" i="1"/>
  <c r="AG226" i="1"/>
  <c r="AG147" i="1"/>
  <c r="AH147" i="1"/>
  <c r="AH346" i="1"/>
  <c r="AG346" i="1"/>
  <c r="AH55" i="1"/>
  <c r="AG55" i="1"/>
  <c r="AH219" i="1"/>
  <c r="AG219" i="1"/>
  <c r="AH241" i="1"/>
  <c r="AG241" i="1"/>
  <c r="AG76" i="1"/>
  <c r="AH76" i="1"/>
  <c r="AH186" i="1"/>
  <c r="AG186" i="1"/>
  <c r="AH187" i="1"/>
  <c r="AG187" i="1"/>
  <c r="AG100" i="1"/>
  <c r="AH100" i="1"/>
  <c r="AG243" i="1"/>
  <c r="AH243" i="1"/>
  <c r="AG146" i="1"/>
  <c r="AH146" i="1"/>
  <c r="AH236" i="1"/>
  <c r="AG236" i="1"/>
  <c r="AG316" i="1"/>
  <c r="AH316" i="1"/>
  <c r="AH122" i="1"/>
  <c r="AG122" i="1"/>
  <c r="AG60" i="1"/>
  <c r="AH60" i="1"/>
  <c r="AG99" i="1"/>
  <c r="AH99" i="1"/>
  <c r="AH293" i="1"/>
  <c r="AG293" i="1"/>
  <c r="AG234" i="1"/>
  <c r="AH234" i="1"/>
  <c r="AG322" i="1"/>
  <c r="AH322" i="1"/>
  <c r="AH150" i="1"/>
  <c r="AG150" i="1"/>
  <c r="AG33" i="1"/>
  <c r="AH33" i="1"/>
  <c r="AH232" i="1"/>
  <c r="AG232" i="1"/>
  <c r="AG80" i="1"/>
  <c r="AH80" i="1"/>
  <c r="AG108" i="1"/>
  <c r="AH108" i="1"/>
  <c r="AG304" i="1"/>
  <c r="AH304" i="1"/>
  <c r="AH120" i="1"/>
  <c r="AG120" i="1"/>
  <c r="AG301" i="1"/>
  <c r="AH301" i="1"/>
  <c r="AH275" i="1"/>
  <c r="AG275" i="1"/>
  <c r="AG51" i="1"/>
  <c r="AH51" i="1"/>
  <c r="AH239" i="1"/>
  <c r="AG239" i="1"/>
  <c r="AG39" i="1"/>
  <c r="AH39" i="1"/>
  <c r="AG118" i="1"/>
  <c r="AH118" i="1"/>
  <c r="AG88" i="1"/>
  <c r="AH88" i="1"/>
  <c r="AH321" i="1"/>
  <c r="AG321" i="1"/>
  <c r="AG121" i="1"/>
  <c r="AH121" i="1"/>
  <c r="AH58" i="1"/>
  <c r="AG58" i="1"/>
  <c r="AH263" i="1"/>
  <c r="AG263" i="1"/>
  <c r="AG208" i="1"/>
  <c r="AH208" i="1"/>
  <c r="AG89" i="1"/>
  <c r="AH89" i="1"/>
  <c r="AH181" i="1"/>
  <c r="AG181" i="1"/>
  <c r="AG342" i="1"/>
  <c r="AH342" i="1"/>
  <c r="AH315" i="1"/>
  <c r="AG315" i="1"/>
  <c r="AH215" i="1"/>
  <c r="AG215" i="1"/>
  <c r="AG70" i="1"/>
  <c r="AH70" i="1"/>
  <c r="AG148" i="1"/>
  <c r="AH148" i="1"/>
  <c r="AH194" i="1"/>
  <c r="AG194" i="1"/>
  <c r="AH86" i="1"/>
  <c r="AG86" i="1"/>
  <c r="AG26" i="1"/>
  <c r="AH26" i="1"/>
  <c r="AH183" i="1"/>
  <c r="AG183" i="1"/>
  <c r="AH331" i="1"/>
  <c r="AG331" i="1"/>
  <c r="AG255" i="1"/>
  <c r="AH255" i="1"/>
  <c r="AG204" i="1"/>
  <c r="AH204" i="1"/>
  <c r="AH188" i="1"/>
  <c r="AG188" i="1"/>
  <c r="AG105" i="1"/>
  <c r="AH105" i="1"/>
  <c r="AH264" i="1"/>
  <c r="AG264" i="1"/>
  <c r="AH19" i="1"/>
  <c r="AG19" i="1"/>
  <c r="AG237" i="1"/>
  <c r="AH237" i="1"/>
  <c r="AG184" i="1"/>
  <c r="AH184" i="1"/>
  <c r="AH227" i="1"/>
  <c r="AG227" i="1"/>
  <c r="AH343" i="1"/>
  <c r="AG343" i="1"/>
  <c r="AH260" i="1"/>
  <c r="AG260" i="1"/>
  <c r="AH339" i="1"/>
  <c r="AG339" i="1"/>
  <c r="AG66" i="1"/>
  <c r="AH66" i="1"/>
  <c r="AH9" i="1"/>
  <c r="AG9" i="1"/>
  <c r="AG144" i="1"/>
  <c r="AH144" i="1"/>
  <c r="AH253" i="1"/>
  <c r="AG253" i="1"/>
  <c r="AH205" i="1"/>
  <c r="AG205" i="1"/>
  <c r="AH338" i="1"/>
  <c r="AG338" i="1"/>
  <c r="AH223" i="1"/>
  <c r="AG223" i="1"/>
  <c r="AG142" i="1"/>
  <c r="AH142" i="1"/>
  <c r="AH335" i="1"/>
  <c r="AG335" i="1"/>
  <c r="AH61" i="1"/>
  <c r="AG61" i="1"/>
  <c r="AH270" i="1"/>
  <c r="AG270" i="1"/>
  <c r="AH174" i="1"/>
  <c r="AG174" i="1"/>
  <c r="AH189" i="1"/>
  <c r="AG189" i="1"/>
  <c r="AG98" i="1"/>
  <c r="AH98" i="1"/>
  <c r="AH222" i="1"/>
  <c r="AG222" i="1"/>
  <c r="AH302" i="1"/>
  <c r="AG302" i="1"/>
  <c r="AH291" i="1"/>
  <c r="AG291" i="1"/>
  <c r="AH170" i="1"/>
  <c r="AG170" i="1"/>
  <c r="AH305" i="1"/>
  <c r="AG305" i="1"/>
  <c r="AH240" i="1"/>
  <c r="AG240" i="1"/>
  <c r="AH326" i="1"/>
  <c r="AG326" i="1"/>
  <c r="AG167" i="1"/>
  <c r="AH167" i="1"/>
  <c r="AH259" i="1"/>
  <c r="AG259" i="1"/>
  <c r="AH238" i="1"/>
  <c r="AG238" i="1"/>
  <c r="AH44" i="1"/>
  <c r="AG44" i="1"/>
  <c r="AG280" i="1"/>
  <c r="AH280" i="1"/>
  <c r="AH294" i="1"/>
  <c r="AG294" i="1"/>
  <c r="AH333" i="1"/>
  <c r="AG333" i="1"/>
  <c r="AG310" i="1"/>
  <c r="AH310" i="1"/>
  <c r="AH247" i="1"/>
  <c r="AG247" i="1"/>
  <c r="AH306" i="1"/>
  <c r="AG306" i="1"/>
  <c r="AH168" i="1"/>
  <c r="AG168" i="1"/>
  <c r="AH313" i="1"/>
  <c r="AG313" i="1"/>
  <c r="AG102" i="1"/>
  <c r="AH102" i="1"/>
  <c r="AH38" i="1"/>
  <c r="AG38" i="1"/>
  <c r="AG41" i="1"/>
  <c r="AH41" i="1"/>
  <c r="AH117" i="1"/>
  <c r="AG117" i="1"/>
  <c r="AG85" i="1"/>
  <c r="AH85" i="1"/>
  <c r="AG330" i="1"/>
  <c r="AH330" i="1"/>
  <c r="AH50" i="1"/>
  <c r="AG50" i="1"/>
  <c r="AH139" i="1"/>
  <c r="AG139" i="1"/>
  <c r="AH285" i="1"/>
  <c r="AG285" i="1"/>
  <c r="AH220" i="1"/>
  <c r="AG220" i="1"/>
  <c r="AH134" i="1"/>
  <c r="AG134" i="1"/>
  <c r="AH309" i="1"/>
  <c r="AG309" i="1"/>
  <c r="AG53" i="1"/>
  <c r="AH53" i="1"/>
  <c r="AG190" i="1"/>
  <c r="AH190" i="1"/>
  <c r="AG292" i="1"/>
  <c r="AH292" i="1"/>
  <c r="AG15" i="1"/>
  <c r="AH15" i="1"/>
  <c r="AH281" i="1"/>
  <c r="AG281" i="1"/>
  <c r="AH104" i="1"/>
  <c r="AG104" i="1"/>
  <c r="AH327" i="1"/>
  <c r="AG327" i="1"/>
  <c r="AG300" i="1"/>
  <c r="AH300" i="1"/>
  <c r="AH242" i="1"/>
  <c r="AG242" i="1"/>
  <c r="AG161" i="1"/>
  <c r="AH161" i="1"/>
  <c r="AH211" i="1"/>
  <c r="AG211" i="1"/>
  <c r="AH62" i="1"/>
  <c r="AG62" i="1"/>
  <c r="AH68" i="1"/>
  <c r="AG68" i="1"/>
  <c r="AH193" i="1"/>
  <c r="AG193" i="1"/>
  <c r="AG261" i="1"/>
  <c r="AH261" i="1"/>
  <c r="AG286" i="1"/>
  <c r="AH286" i="1"/>
  <c r="AH251" i="1"/>
  <c r="AG251" i="1"/>
  <c r="AH151" i="1"/>
  <c r="AG151" i="1"/>
  <c r="AG54" i="1"/>
  <c r="AH54" i="1"/>
  <c r="AG94" i="1"/>
  <c r="AH94" i="1"/>
  <c r="AH129" i="1"/>
  <c r="AG129" i="1"/>
  <c r="AG115" i="1"/>
  <c r="AH115" i="1"/>
  <c r="AH278" i="1"/>
  <c r="AG278" i="1"/>
  <c r="AG18" i="1"/>
  <c r="AH18" i="1"/>
  <c r="AH258" i="1"/>
  <c r="AG258" i="1"/>
  <c r="AH25" i="1"/>
  <c r="AG25" i="1"/>
  <c r="AH287" i="1"/>
  <c r="AG287" i="1"/>
  <c r="AH225" i="1"/>
  <c r="AG225" i="1"/>
  <c r="AH182" i="1"/>
  <c r="AG182" i="1"/>
  <c r="AH56" i="1"/>
  <c r="AG56" i="1"/>
  <c r="AH73" i="1"/>
  <c r="AG73" i="1"/>
  <c r="AH95" i="1"/>
  <c r="AG95" i="1"/>
  <c r="AH126" i="1"/>
  <c r="AG126" i="1"/>
  <c r="AG179" i="1"/>
  <c r="AH179" i="1"/>
  <c r="AH32" i="1"/>
  <c r="AG32" i="1"/>
  <c r="AH20" i="1"/>
  <c r="AG20" i="1"/>
  <c r="AH217" i="1"/>
  <c r="AG217" i="1"/>
  <c r="AG82" i="1"/>
  <c r="AH82" i="1"/>
  <c r="AH31" i="1"/>
  <c r="AG31" i="1"/>
  <c r="AH209" i="1"/>
  <c r="AG209" i="1"/>
  <c r="AH198" i="1"/>
  <c r="AG198" i="1"/>
  <c r="AH157" i="1"/>
  <c r="AG157" i="1"/>
  <c r="AG78" i="1"/>
  <c r="AH78" i="1"/>
  <c r="AG249" i="1"/>
  <c r="AH249" i="1"/>
  <c r="AH207" i="1"/>
  <c r="AG207" i="1"/>
  <c r="AG10" i="1"/>
  <c r="AH10" i="1"/>
  <c r="AG328" i="1"/>
  <c r="AH328" i="1"/>
  <c r="AG254" i="1"/>
  <c r="AH254" i="1"/>
  <c r="AG106" i="1"/>
  <c r="AH106" i="1"/>
  <c r="AH284" i="1"/>
  <c r="AG284" i="1"/>
  <c r="AG81" i="1"/>
  <c r="AH81" i="1"/>
  <c r="AH136" i="1"/>
  <c r="AG136" i="1"/>
  <c r="AH271" i="1"/>
  <c r="AG271" i="1"/>
  <c r="AG173" i="1"/>
  <c r="AH173" i="1"/>
  <c r="AH203" i="1"/>
  <c r="AG203" i="1"/>
  <c r="AG221" i="1"/>
  <c r="AH221" i="1"/>
  <c r="AH114" i="1"/>
  <c r="AG114" i="1"/>
  <c r="AG131" i="1"/>
  <c r="AH131" i="1"/>
  <c r="AG340" i="1"/>
  <c r="AH340" i="1"/>
  <c r="AG159" i="1"/>
  <c r="AH159" i="1"/>
  <c r="AG12" i="1"/>
  <c r="AH12" i="1"/>
  <c r="AG336" i="1"/>
  <c r="AH336" i="1"/>
  <c r="AG97" i="1"/>
  <c r="AH97" i="1"/>
  <c r="AG156" i="1"/>
  <c r="AH156" i="1"/>
  <c r="AG149" i="1"/>
  <c r="AH149" i="1"/>
  <c r="AG143" i="1"/>
  <c r="AH143" i="1"/>
  <c r="AH175" i="1"/>
  <c r="AG175" i="1"/>
  <c r="AH265" i="1"/>
  <c r="AG265" i="1"/>
  <c r="AH229" i="1"/>
  <c r="AG229" i="1"/>
  <c r="AG133" i="1"/>
  <c r="AH133" i="1"/>
  <c r="AG160" i="1"/>
  <c r="AH160" i="1"/>
  <c r="AG298" i="1"/>
  <c r="AH298" i="1"/>
  <c r="AG269" i="1"/>
  <c r="AH269" i="1"/>
  <c r="AG5" i="1"/>
  <c r="AF2" i="1"/>
  <c r="AH5" i="1"/>
  <c r="AH252" i="1"/>
  <c r="AG252" i="1"/>
  <c r="AG17" i="1"/>
  <c r="AH17" i="1"/>
  <c r="AG23" i="1"/>
  <c r="AH23" i="1"/>
  <c r="AH67" i="1"/>
  <c r="AG67" i="1"/>
</calcChain>
</file>

<file path=xl/sharedStrings.xml><?xml version="1.0" encoding="utf-8"?>
<sst xmlns="http://schemas.openxmlformats.org/spreadsheetml/2006/main" count="1748" uniqueCount="1414">
  <si>
    <t>CDS Bond Basis Historical results</t>
  </si>
  <si>
    <t>Maturity-Matched Basis</t>
  </si>
  <si>
    <t>Basis vs 5Y CDS</t>
  </si>
  <si>
    <t>*Live Basis vs 5y CDS</t>
  </si>
  <si>
    <t>CDS_Ticker</t>
  </si>
  <si>
    <t>CDS_Index</t>
  </si>
  <si>
    <t>bond_name</t>
  </si>
  <si>
    <t>bbg_cds_ticker</t>
  </si>
  <si>
    <t>bond_ISIN</t>
  </si>
  <si>
    <t>date_start</t>
  </si>
  <si>
    <t>date_end</t>
  </si>
  <si>
    <t>cds_mat</t>
  </si>
  <si>
    <t>latest_CDS</t>
  </si>
  <si>
    <t>latest_5y</t>
  </si>
  <si>
    <t>latest_bond_g</t>
  </si>
  <si>
    <t>latest_benchmark</t>
  </si>
  <si>
    <t>obs</t>
  </si>
  <si>
    <t>basis</t>
  </si>
  <si>
    <t>min</t>
  </si>
  <si>
    <t>max</t>
  </si>
  <si>
    <t>avg</t>
  </si>
  <si>
    <t>range_pct</t>
  </si>
  <si>
    <t>basis_5y</t>
  </si>
  <si>
    <t>min_5y</t>
  </si>
  <si>
    <t>max_5y</t>
  </si>
  <si>
    <t>avg_5y</t>
  </si>
  <si>
    <t>range_5y_pct</t>
  </si>
  <si>
    <t>bond_live</t>
  </si>
  <si>
    <t>bond_bench</t>
  </si>
  <si>
    <t>bench_price</t>
  </si>
  <si>
    <t>spread_live</t>
  </si>
  <si>
    <t>g_live</t>
  </si>
  <si>
    <t>live_cds_5y</t>
  </si>
  <si>
    <t>cds_override</t>
  </si>
  <si>
    <t>cds_5y</t>
  </si>
  <si>
    <t>live_basis</t>
  </si>
  <si>
    <t>live_range_pct</t>
  </si>
  <si>
    <t>dev_mean</t>
  </si>
  <si>
    <t>BAC</t>
  </si>
  <si>
    <t>Banks</t>
  </si>
  <si>
    <t>BAC 4.695 04/23/32</t>
  </si>
  <si>
    <t>BOFA CDS USD SR 5Y D14 Corp</t>
  </si>
  <si>
    <t>US06051GNA30</t>
  </si>
  <si>
    <t>C</t>
  </si>
  <si>
    <t>C 4.846 06/18/32</t>
  </si>
  <si>
    <t>CINC CDS USD SR 5Y D14 Corp</t>
  </si>
  <si>
    <t>US17325FBV94</t>
  </si>
  <si>
    <t>GS</t>
  </si>
  <si>
    <t>GS 4.972 06/03/32</t>
  </si>
  <si>
    <t>GS CDS USD SR 5Y D14 Corp</t>
  </si>
  <si>
    <t>US38141GF335</t>
  </si>
  <si>
    <t>JPM</t>
  </si>
  <si>
    <t>JPM 4.622 04/23/32</t>
  </si>
  <si>
    <t>JPMCC CDS USD SR 5Y D14 Corp</t>
  </si>
  <si>
    <t>US46647PFM32</t>
  </si>
  <si>
    <t>MS</t>
  </si>
  <si>
    <t>MS 4.809 04/16/32</t>
  </si>
  <si>
    <t>MS CDS USD SR 5Y D14 Corp</t>
  </si>
  <si>
    <t>US61748UAW27</t>
  </si>
  <si>
    <t>WFC</t>
  </si>
  <si>
    <t>WFC 4.844 05/20/32</t>
  </si>
  <si>
    <t>WELLFARGO CDS USD SR 5Y D14 Corp</t>
  </si>
  <si>
    <t>US95000U4J91</t>
  </si>
  <si>
    <t>APODS</t>
  </si>
  <si>
    <t>Fin</t>
  </si>
  <si>
    <t>APODS 6.7 07/29/31</t>
  </si>
  <si>
    <t>CZ061134 Curncy</t>
  </si>
  <si>
    <t>US03770DAD57</t>
  </si>
  <si>
    <t>ARCC</t>
  </si>
  <si>
    <t>ARCC 5.8 03/08/32</t>
  </si>
  <si>
    <t>CZ061117 Curncy</t>
  </si>
  <si>
    <t>US04010LBH50</t>
  </si>
  <si>
    <t>BCRED</t>
  </si>
  <si>
    <t>BCRED 6 01/29/32</t>
  </si>
  <si>
    <t>CZ061066 Curncy</t>
  </si>
  <si>
    <t>US09261HBX44</t>
  </si>
  <si>
    <t>CFG</t>
  </si>
  <si>
    <t>CFG 5.253 03/05/31</t>
  </si>
  <si>
    <t>CZ023012 Curncy</t>
  </si>
  <si>
    <t>US174610BJ37</t>
  </si>
  <si>
    <t>CM</t>
  </si>
  <si>
    <t>CM 4.58 09/08/31</t>
  </si>
  <si>
    <t>CT718565 Curncy</t>
  </si>
  <si>
    <t>US13607QFE70</t>
  </si>
  <si>
    <t>EQR</t>
  </si>
  <si>
    <t>EQR 4.95 06/15/32</t>
  </si>
  <si>
    <t>CT426366 Curncy</t>
  </si>
  <si>
    <t>US26884ABQ58</t>
  </si>
  <si>
    <t>HIG</t>
  </si>
  <si>
    <t>HIG 2.8 08/19/29</t>
  </si>
  <si>
    <t>CHIG1U5 Curncy</t>
  </si>
  <si>
    <t>US416515BE33</t>
  </si>
  <si>
    <t>JEF</t>
  </si>
  <si>
    <t>JEF 2 5/8 10/15/31</t>
  </si>
  <si>
    <t>CY090578 Curncy</t>
  </si>
  <si>
    <t>US47233JGT97</t>
  </si>
  <si>
    <t>MMC</t>
  </si>
  <si>
    <t>MRSH 4.85 11/15/31</t>
  </si>
  <si>
    <t>CMMC1U5  Curncy</t>
  </si>
  <si>
    <t>US571748CB69</t>
  </si>
  <si>
    <t>MTB</t>
  </si>
  <si>
    <t>MTB 5.179 07/08/31</t>
  </si>
  <si>
    <t>CT718525 Curncy</t>
  </si>
  <si>
    <t>US55261FAY07</t>
  </si>
  <si>
    <t>SYF</t>
  </si>
  <si>
    <t>SYF 4.947 02/25/32</t>
  </si>
  <si>
    <t>CZ061100 Curncy</t>
  </si>
  <si>
    <t>US87165BAZ67</t>
  </si>
  <si>
    <t>TFC</t>
  </si>
  <si>
    <t>TFC 5.071 05/20/31</t>
  </si>
  <si>
    <t>CT406031 Curncy</t>
  </si>
  <si>
    <t>US89788MAU62</t>
  </si>
  <si>
    <t>USB</t>
  </si>
  <si>
    <t>USB 5.083 05/15/31</t>
  </si>
  <si>
    <t>CX376136 Curncy</t>
  </si>
  <si>
    <t>US91159HJV33</t>
  </si>
  <si>
    <t>AAL</t>
  </si>
  <si>
    <t>HY</t>
  </si>
  <si>
    <t>AAL 7 1/4 02/15/28</t>
  </si>
  <si>
    <t>AMR/AMERICAN CDS USD SR 5Y D14 Corp</t>
  </si>
  <si>
    <t>US023771T329</t>
  </si>
  <si>
    <t>ADT</t>
  </si>
  <si>
    <t>ADT 4 7/8 07/15/32</t>
  </si>
  <si>
    <t>ADT CDS USD SR 5Y D14 Corp</t>
  </si>
  <si>
    <t>US74166NAA28</t>
  </si>
  <si>
    <t>ALIANT</t>
  </si>
  <si>
    <t>ALIANT 7 3/8 10/01/32</t>
  </si>
  <si>
    <t>CY907103 Curncy</t>
  </si>
  <si>
    <t>US01883LAH69</t>
  </si>
  <si>
    <t>AMKR</t>
  </si>
  <si>
    <t>AMKR 5 7/8 10/01/33</t>
  </si>
  <si>
    <t>AMKR CDS USD SR 5Y D14 Corp</t>
  </si>
  <si>
    <t>US031652BL34</t>
  </si>
  <si>
    <t>ARMK</t>
  </si>
  <si>
    <t>ARMK 4 3/8 04/15/33</t>
  </si>
  <si>
    <t>ARMK CDS USD SR 5Y D14 Corp</t>
  </si>
  <si>
    <t>XS3023482436</t>
  </si>
  <si>
    <t>ASH</t>
  </si>
  <si>
    <t>ASH 3 3/8 09/01/31</t>
  </si>
  <si>
    <t>ASH CDS USD SR 5Y D14 Corp</t>
  </si>
  <si>
    <t>USU0442LAA45</t>
  </si>
  <si>
    <t>ASUCOR</t>
  </si>
  <si>
    <t>ASUCOR 8 12/31/32</t>
  </si>
  <si>
    <t>CZ060913 Curncy</t>
  </si>
  <si>
    <t>US045941AA96</t>
  </si>
  <si>
    <t>AVNT</t>
  </si>
  <si>
    <t>AVNT 6 1/4 11/01/31</t>
  </si>
  <si>
    <t>AVNT CDS USD SR 5Y D14 Corp</t>
  </si>
  <si>
    <t>US05368VAB27</t>
  </si>
  <si>
    <t>AXL</t>
  </si>
  <si>
    <t>AXL 7 3/4 10/15/33</t>
  </si>
  <si>
    <t>AXL CDS USD SR 5Y D14 Corp</t>
  </si>
  <si>
    <t>US02406PBD15</t>
  </si>
  <si>
    <t>BALL</t>
  </si>
  <si>
    <t>BALL 5 1/2 09/15/33</t>
  </si>
  <si>
    <t>BALL CDS USD SR 5Y D14 Corp</t>
  </si>
  <si>
    <t>US058498BA38</t>
  </si>
  <si>
    <t>BBWI</t>
  </si>
  <si>
    <t>BBWI 6 5/8 10/01/30</t>
  </si>
  <si>
    <t>BBWI CDS USD SR 5Y D14 Corp</t>
  </si>
  <si>
    <t>USU51407AE17</t>
  </si>
  <si>
    <t>BHCCN</t>
  </si>
  <si>
    <t>BHCCN 5 1/4 02/15/31</t>
  </si>
  <si>
    <t>BHCCN CDS USD SR 5Y D14 Corp</t>
  </si>
  <si>
    <t>US071734AL17</t>
  </si>
  <si>
    <t>BMCAUS</t>
  </si>
  <si>
    <t>BMCAUS 6 1/2 08/15/32</t>
  </si>
  <si>
    <t>CY876759 Curncy</t>
  </si>
  <si>
    <t>US853191AA25</t>
  </si>
  <si>
    <t>BOMB</t>
  </si>
  <si>
    <t>BBDBCN 7 1/4 07/01/31</t>
  </si>
  <si>
    <t>BOMB INC CDS USD SR 5Y D14 Corp</t>
  </si>
  <si>
    <t>US097751CB51</t>
  </si>
  <si>
    <t>BYD</t>
  </si>
  <si>
    <t>BYD 4 3/4 06/15/31</t>
  </si>
  <si>
    <t>BYD CDS USD SUB 5Y D14 Corp</t>
  </si>
  <si>
    <t>USU1022EAF52</t>
  </si>
  <si>
    <t>BZH</t>
  </si>
  <si>
    <t>BZH 8 01/15/32</t>
  </si>
  <si>
    <t>BZH CDS USD SR 5Y D14 Corp</t>
  </si>
  <si>
    <t>US07556QBV68</t>
  </si>
  <si>
    <t>CAR</t>
  </si>
  <si>
    <t>CAR 8 3/8 06/15/32</t>
  </si>
  <si>
    <t>CD CDS USD SR 5Y D14 Corp</t>
  </si>
  <si>
    <t>US053773BK25</t>
  </si>
  <si>
    <t>CCL</t>
  </si>
  <si>
    <t>CCL 5 3/4 08/01/32</t>
  </si>
  <si>
    <t>CCLPLC CDS USD SR 5Y D14 Corp</t>
  </si>
  <si>
    <t>US143658CA82</t>
  </si>
  <si>
    <t>CCO</t>
  </si>
  <si>
    <t>CCO 7 1/2 06/01/29</t>
  </si>
  <si>
    <t>CCO CDS USD SR 5Y D14 Corp</t>
  </si>
  <si>
    <t>USU1828LAC29</t>
  </si>
  <si>
    <t>CCO_H</t>
  </si>
  <si>
    <t>CHTR 7 3/8 03/01/31</t>
  </si>
  <si>
    <t>CCO_H CDS USD SR 5Y D14 Corp</t>
  </si>
  <si>
    <t>US1248EPCT83</t>
  </si>
  <si>
    <t>CE</t>
  </si>
  <si>
    <t>CE 7 02/15/31</t>
  </si>
  <si>
    <t>CE CDS USD SR 5Y D14 Corp</t>
  </si>
  <si>
    <t>US15089QBC78</t>
  </si>
  <si>
    <t>CLF</t>
  </si>
  <si>
    <t>CLF 7 5/8 01/15/34</t>
  </si>
  <si>
    <t>CLF CDS USD SR 5Y D14 Corp</t>
  </si>
  <si>
    <t>US18589GAA31</t>
  </si>
  <si>
    <t>CRGYFN</t>
  </si>
  <si>
    <t>CRGYFN 7 5/8 04/01/32</t>
  </si>
  <si>
    <t>CZ060930 Curncy</t>
  </si>
  <si>
    <t>US45344LAD55</t>
  </si>
  <si>
    <t>CRWV</t>
  </si>
  <si>
    <t>CRWV 9 02/01/31</t>
  </si>
  <si>
    <t>CRWV CDS USD SR 5Y D14 Corp</t>
  </si>
  <si>
    <t>US21873SAC26</t>
  </si>
  <si>
    <t>CVNA</t>
  </si>
  <si>
    <t>CVNA 9 06/01/31</t>
  </si>
  <si>
    <t>CVNA CDS USD SR 5Y D14 Corp</t>
  </si>
  <si>
    <t>US146869AM47</t>
  </si>
  <si>
    <t>CYH</t>
  </si>
  <si>
    <t>CYH 6 1/8 04/01/30</t>
  </si>
  <si>
    <t>COMMUNITY CDS USD SR 5Y D14 Corp</t>
  </si>
  <si>
    <t>US12543DBL38</t>
  </si>
  <si>
    <t>CZR</t>
  </si>
  <si>
    <t>CZR 6 10/15/32</t>
  </si>
  <si>
    <t>CZR A CDS USD SR 5Y D14 Corp</t>
  </si>
  <si>
    <t>US12769GAD25</t>
  </si>
  <si>
    <t>DVA</t>
  </si>
  <si>
    <t>DVA 6 7/8 09/01/32</t>
  </si>
  <si>
    <t>DVA CDS USD SR 5Y D14 Corp</t>
  </si>
  <si>
    <t>US23918KAW80</t>
  </si>
  <si>
    <t>FD</t>
  </si>
  <si>
    <t>M 7 3/8 08/01/33</t>
  </si>
  <si>
    <t>FD CDS USD SR 5Y D14 Corp</t>
  </si>
  <si>
    <t>US55617LAS16</t>
  </si>
  <si>
    <t>FREMOR</t>
  </si>
  <si>
    <t>FREMOR 6 7/8 05/01/31</t>
  </si>
  <si>
    <t>CZ060947 Curncy</t>
  </si>
  <si>
    <t>US35641AAE82</t>
  </si>
  <si>
    <t>GAP</t>
  </si>
  <si>
    <t>GAP 3 7/8 10/01/31</t>
  </si>
  <si>
    <t>GAP CDS USD SR 5Y D14 Corp</t>
  </si>
  <si>
    <t>US364760AQ18</t>
  </si>
  <si>
    <t>GFLCN</t>
  </si>
  <si>
    <t>GFLCN 6 3/4 01/15/31</t>
  </si>
  <si>
    <t>GFLCN CDS USD SR 5Y D14 Corp</t>
  </si>
  <si>
    <t>US36168QAQ73</t>
  </si>
  <si>
    <t>GNW</t>
  </si>
  <si>
    <t>GNW 6 1/2 06/15/34</t>
  </si>
  <si>
    <t>GNW CDS USD SR 5Y D14 Corp</t>
  </si>
  <si>
    <t>US37247DAB29</t>
  </si>
  <si>
    <t>GT</t>
  </si>
  <si>
    <t>GT 5 1/4 07/15/31</t>
  </si>
  <si>
    <t>GT CDS USD SR 5Y D14 Corp</t>
  </si>
  <si>
    <t>US382550BR12</t>
  </si>
  <si>
    <t>GTN</t>
  </si>
  <si>
    <t>GTN 5 3/8 11/15/31</t>
  </si>
  <si>
    <t>GTN CDS USD SR 5Y D14 Corp</t>
  </si>
  <si>
    <t>US389286AA34</t>
  </si>
  <si>
    <t>HBGCN</t>
  </si>
  <si>
    <t>HBGCN 7 3/8 01/31/32</t>
  </si>
  <si>
    <t>HBGCN CDS USD SR 5Y D14 Corp</t>
  </si>
  <si>
    <t>US44332PAJ03</t>
  </si>
  <si>
    <t>HILCRP</t>
  </si>
  <si>
    <t>HILCRP 6 1/4 04/15/32</t>
  </si>
  <si>
    <t>HILCORPENERGYILP CDS USD SR 5Y D14 Corp</t>
  </si>
  <si>
    <t>US431318AZ78</t>
  </si>
  <si>
    <t>HLT</t>
  </si>
  <si>
    <t>HLT 5 3/4 09/15/33</t>
  </si>
  <si>
    <t>HLT B CDS USD SR 5Y D14 Corp</t>
  </si>
  <si>
    <t>US432833AS06</t>
  </si>
  <si>
    <t>HOUS</t>
  </si>
  <si>
    <t>HOUS 5 1/4 04/15/30</t>
  </si>
  <si>
    <t>HOUS CDS USD SR 5Y D14 Corp</t>
  </si>
  <si>
    <t>USU75355AJ39</t>
  </si>
  <si>
    <t>HOV</t>
  </si>
  <si>
    <t>HOV 8 04/01/31</t>
  </si>
  <si>
    <t>HOV CDS USD SR 5Y D14 Corp</t>
  </si>
  <si>
    <t>US48251UAP30</t>
  </si>
  <si>
    <t>HTZ</t>
  </si>
  <si>
    <t>HTZ 5 12/01/29</t>
  </si>
  <si>
    <t>HTZ CDS USD SR 5Y D14 Corp</t>
  </si>
  <si>
    <t>USU42804AX95</t>
  </si>
  <si>
    <t>IHRT</t>
  </si>
  <si>
    <t>IHRT 10 7/8 05/01/30</t>
  </si>
  <si>
    <t>IHRT CDS USD SR 5Y D14 Corp</t>
  </si>
  <si>
    <t>USU45057AQ67</t>
  </si>
  <si>
    <t>IRM</t>
  </si>
  <si>
    <t>IRM 6 1/4 01/15/33</t>
  </si>
  <si>
    <t>IRM CDS USD SR 5Y D14 Corp</t>
  </si>
  <si>
    <t>US46284VAQ41</t>
  </si>
  <si>
    <t>JWN</t>
  </si>
  <si>
    <t>JWN 4 1/4 08/01/31</t>
  </si>
  <si>
    <t>JWN CDS USD SR 5Y D14 Corp</t>
  </si>
  <si>
    <t>US655664AY65</t>
  </si>
  <si>
    <t>KBH</t>
  </si>
  <si>
    <t>KBH 4 06/15/31</t>
  </si>
  <si>
    <t>KBH CDS USD SR 5Y D14 Corp</t>
  </si>
  <si>
    <t>US48666KAZ21</t>
  </si>
  <si>
    <t>KSS</t>
  </si>
  <si>
    <t>KSS 3 3/8 05/01/31</t>
  </si>
  <si>
    <t>KSS CDS USD SR 5Y D14 Corp</t>
  </si>
  <si>
    <t>US500255AX28</t>
  </si>
  <si>
    <t>LUMN</t>
  </si>
  <si>
    <t>LUMN 4 1/2 01/15/29</t>
  </si>
  <si>
    <t>LUMEN CDS USD SR 5Y D14 Corp</t>
  </si>
  <si>
    <t>USU1566PAD79</t>
  </si>
  <si>
    <t>LW</t>
  </si>
  <si>
    <t>LW 4 3/8 01/31/32</t>
  </si>
  <si>
    <t>LW CDS USD SR 5Y D14 Corp</t>
  </si>
  <si>
    <t>US513272AE49</t>
  </si>
  <si>
    <t>MBI AA</t>
  </si>
  <si>
    <t>MBI 5.7 12/01/34</t>
  </si>
  <si>
    <t>MBI AA CDS USD SR 5Y D14 Corp</t>
  </si>
  <si>
    <t>US55262CAJ99</t>
  </si>
  <si>
    <t>MEDIND</t>
  </si>
  <si>
    <t>MEDIND 5 1/4 10/01/29</t>
  </si>
  <si>
    <t>CY884361 Curncy</t>
  </si>
  <si>
    <t>USU6203WAB47</t>
  </si>
  <si>
    <t>MGM</t>
  </si>
  <si>
    <t>MGM 6 1/2 04/15/32</t>
  </si>
  <si>
    <t>MGM CDS USD SR 5Y D14 Corp</t>
  </si>
  <si>
    <t>US552953CJ87</t>
  </si>
  <si>
    <t>MOH</t>
  </si>
  <si>
    <t>MOH 6 1/2 02/15/31</t>
  </si>
  <si>
    <t>CZ060964 Curncy</t>
  </si>
  <si>
    <t>US60855RAN08</t>
  </si>
  <si>
    <t>MPW</t>
  </si>
  <si>
    <t>MPW 3 1/2 03/15/31</t>
  </si>
  <si>
    <t>MPW CDS USD SR 5Y D14 Corp</t>
  </si>
  <si>
    <t>US55342UAM62</t>
  </si>
  <si>
    <t>MUR</t>
  </si>
  <si>
    <t>MUR 6 10/01/32</t>
  </si>
  <si>
    <t>MUR CDS USD SR 5Y D14 Corp</t>
  </si>
  <si>
    <t>US626717AP72</t>
  </si>
  <si>
    <t>NAVI</t>
  </si>
  <si>
    <t>NAVI 7 7/8 06/15/32</t>
  </si>
  <si>
    <t>NAVI CDS USD SR 5Y D14 Corp</t>
  </si>
  <si>
    <t>US63938CAQ15</t>
  </si>
  <si>
    <t>NBR</t>
  </si>
  <si>
    <t>NBR 8 7/8 08/15/31</t>
  </si>
  <si>
    <t>NBR CDS USD SR 5Y D14 Corp</t>
  </si>
  <si>
    <t>US62957HAQ83</t>
  </si>
  <si>
    <t>NCLH</t>
  </si>
  <si>
    <t>NCLH 5 7/8 01/15/31</t>
  </si>
  <si>
    <t>NCLH CDS USD SR 5Y D14 Corp</t>
  </si>
  <si>
    <t>US62886HBY62</t>
  </si>
  <si>
    <t>NEWALB</t>
  </si>
  <si>
    <t>ACI 5 5/8 03/31/32</t>
  </si>
  <si>
    <t>NEWALB CDS USD SR 5Y D14 Corp</t>
  </si>
  <si>
    <t>US01309QAE89</t>
  </si>
  <si>
    <t>NRG</t>
  </si>
  <si>
    <t>NRG 6 02/01/33</t>
  </si>
  <si>
    <t>NRG CDS USD SR 5Y D14 Corp</t>
  </si>
  <si>
    <t>USU66962BB30</t>
  </si>
  <si>
    <t>NWL</t>
  </si>
  <si>
    <t>NWL 6 5/8 05/15/32</t>
  </si>
  <si>
    <t>NWL CDS USD SR 5Y D14 Corp</t>
  </si>
  <si>
    <t>US651229BE57</t>
  </si>
  <si>
    <t>OGN</t>
  </si>
  <si>
    <t>OGN 5 1/8 04/30/31</t>
  </si>
  <si>
    <t>ORGANON&amp;CO CDS USD SR 5Y D14 Corp</t>
  </si>
  <si>
    <t>USU6835WAB01</t>
  </si>
  <si>
    <t>OLN</t>
  </si>
  <si>
    <t>OLN 6 5/8 04/01/33</t>
  </si>
  <si>
    <t>OLN CDS USD SR 5Y D14 Corp</t>
  </si>
  <si>
    <t>US680665AN65</t>
  </si>
  <si>
    <t>OMF</t>
  </si>
  <si>
    <t>OMF 7 1/8 11/15/31</t>
  </si>
  <si>
    <t>AMGFIN CDS USD SR 5Y D14 Corp</t>
  </si>
  <si>
    <t>US682691AG50</t>
  </si>
  <si>
    <t>PARA</t>
  </si>
  <si>
    <t>PARA 4.95 01/15/31</t>
  </si>
  <si>
    <t>PARA CDS USD SR 5Y D14 Corp</t>
  </si>
  <si>
    <t>US92556HAB33</t>
  </si>
  <si>
    <t>PBI</t>
  </si>
  <si>
    <t>PBI 7 1/4 03/15/29</t>
  </si>
  <si>
    <t>PBI CDS USD SR 5Y D14 Corp</t>
  </si>
  <si>
    <t>US724479AQ31</t>
  </si>
  <si>
    <t>PCG</t>
  </si>
  <si>
    <t>PCG 5 1/4 07/01/30</t>
  </si>
  <si>
    <t>PG&amp;E CDS USD SR 5Y D14 Corp</t>
  </si>
  <si>
    <t>US69331CAJ71</t>
  </si>
  <si>
    <t>PFSI</t>
  </si>
  <si>
    <t>PFSI 7 1/8 11/15/30</t>
  </si>
  <si>
    <t>PFSI CDS USD SR 5Y D14 Corp</t>
  </si>
  <si>
    <t>US70932MAE75</t>
  </si>
  <si>
    <t>POST</t>
  </si>
  <si>
    <t>POST 6 1/4 02/15/32</t>
  </si>
  <si>
    <t>POST CDS USD SR 5Y D14 Corp</t>
  </si>
  <si>
    <t>USU7318UAV45</t>
  </si>
  <si>
    <t>RGCARE</t>
  </si>
  <si>
    <t>RGCARE 10 06/01/32</t>
  </si>
  <si>
    <t>RGCARE CDS USD SR 5Y D14 Corp</t>
  </si>
  <si>
    <t>US53219LAX73</t>
  </si>
  <si>
    <t>RIG</t>
  </si>
  <si>
    <t>RIG 7 1/2 04/15/31</t>
  </si>
  <si>
    <t>RIGINC CDS USD SR 5Y D14 Corp</t>
  </si>
  <si>
    <t>US893830AF64</t>
  </si>
  <si>
    <t>RRD</t>
  </si>
  <si>
    <t>RRD 11 06/01/31</t>
  </si>
  <si>
    <t>RRD CDS USD SR 5Y D14 Corp</t>
  </si>
  <si>
    <t>US257867BL44</t>
  </si>
  <si>
    <t>SABHLD</t>
  </si>
  <si>
    <t>SABHLD 11 1/8 07/15/30</t>
  </si>
  <si>
    <t>SABHLD CDS USD SR 5Y D14 Corp</t>
  </si>
  <si>
    <t>US78573NAM48</t>
  </si>
  <si>
    <t>SEE</t>
  </si>
  <si>
    <t>SEE 6 7/8 07/15/33</t>
  </si>
  <si>
    <t>SEE CDS USD SR 5Y D14 Corp</t>
  </si>
  <si>
    <t>US81211KAK60</t>
  </si>
  <si>
    <t>SIRI</t>
  </si>
  <si>
    <t>SIRI 3 7/8 09/01/31</t>
  </si>
  <si>
    <t>SIRI CDS USD SR 5Y D14 Corp</t>
  </si>
  <si>
    <t>US82967NBM92</t>
  </si>
  <si>
    <t>SM</t>
  </si>
  <si>
    <t>SM 7 08/01/32</t>
  </si>
  <si>
    <t>CZ061015 Curncy</t>
  </si>
  <si>
    <t>US78454LAY65</t>
  </si>
  <si>
    <t>SPLS</t>
  </si>
  <si>
    <t>SPLS 12 3/4 01/15/30</t>
  </si>
  <si>
    <t>SPLS CDS USD SR 5Y D14 Corp</t>
  </si>
  <si>
    <t>US855030AS17</t>
  </si>
  <si>
    <t>SVC</t>
  </si>
  <si>
    <t>SVC 4 3/8 02/15/30</t>
  </si>
  <si>
    <t>HPT CDS USD SR 5Y D14 Corp</t>
  </si>
  <si>
    <t>US44106MAY84</t>
  </si>
  <si>
    <t>SWY</t>
  </si>
  <si>
    <t>SWY 7 1/4 02/01/31</t>
  </si>
  <si>
    <t>SWY CDS USD SR 5Y D14 Corp</t>
  </si>
  <si>
    <t>US786514BA67</t>
  </si>
  <si>
    <t>TDG</t>
  </si>
  <si>
    <t>TDG 6 3/8 05/31/33</t>
  </si>
  <si>
    <t>TDG CDS USD SUB 5Y D14 Corp</t>
  </si>
  <si>
    <t>US893647BY22</t>
  </si>
  <si>
    <t>TEVA</t>
  </si>
  <si>
    <t>TEVA 6 12/01/32</t>
  </si>
  <si>
    <t>TEVVF CDS USD SR 5Y D14 Corp</t>
  </si>
  <si>
    <t>US88167AAT88</t>
  </si>
  <si>
    <t>THC</t>
  </si>
  <si>
    <t>THC 6 11/15/33</t>
  </si>
  <si>
    <t>THC CDS USD SR 5Y D14 Corp</t>
  </si>
  <si>
    <t>USU88030BP28</t>
  </si>
  <si>
    <t>TIBX</t>
  </si>
  <si>
    <t>TIBX 9 09/30/29</t>
  </si>
  <si>
    <t>TIBX CDS USD SR 5Y D14 Corp</t>
  </si>
  <si>
    <t>USU18898AA16</t>
  </si>
  <si>
    <t>UAL</t>
  </si>
  <si>
    <t>UAL 5 3/8 03/01/31</t>
  </si>
  <si>
    <t>UAUA CDS USD SR 5Y D14 Corp</t>
  </si>
  <si>
    <t>US910047AL34</t>
  </si>
  <si>
    <t>UFS</t>
  </si>
  <si>
    <t>UFS 6 3/4 10/01/28</t>
  </si>
  <si>
    <t>UFS CDS USD SR 5Y D14 Corp</t>
  </si>
  <si>
    <t>USU7051JAA61</t>
  </si>
  <si>
    <t>UHS</t>
  </si>
  <si>
    <t>UHS 5.05 10/15/34</t>
  </si>
  <si>
    <t>UHS CDS USD SR 5Y D14 Corp</t>
  </si>
  <si>
    <t>US913903BC31</t>
  </si>
  <si>
    <t>UIS</t>
  </si>
  <si>
    <t>UIS 10 5/8 01/15/31</t>
  </si>
  <si>
    <t>UIS CDS USD SR 5Y D14 Corp</t>
  </si>
  <si>
    <t>US909214BX53</t>
  </si>
  <si>
    <t>URI</t>
  </si>
  <si>
    <t>URI 5 3/8 11/15/33</t>
  </si>
  <si>
    <t>URI CDS USD SR 5Y D14 Corp</t>
  </si>
  <si>
    <t>US911365BS20</t>
  </si>
  <si>
    <t>UVN</t>
  </si>
  <si>
    <t>UVN 8 1/2 07/31/31</t>
  </si>
  <si>
    <t>UVN CDS USD SR 5Y D14 Corp</t>
  </si>
  <si>
    <t>US914906AZ55</t>
  </si>
  <si>
    <t>VENLNG</t>
  </si>
  <si>
    <t>VENLNG 8 3/8 06/01/31</t>
  </si>
  <si>
    <t>VENLNG CDS USD SR 5Y D14 Corp</t>
  </si>
  <si>
    <t>US92332YAB74</t>
  </si>
  <si>
    <t>VST</t>
  </si>
  <si>
    <t>VST 4.7 01/31/31</t>
  </si>
  <si>
    <t>VST B CDS USD SR 5Y D14 Corp</t>
  </si>
  <si>
    <t>US92840VAY83</t>
  </si>
  <si>
    <t>WBD</t>
  </si>
  <si>
    <t>WBD 4.279 03/15/32</t>
  </si>
  <si>
    <t>WBD CDS USD SR 5Y D14 Corp</t>
  </si>
  <si>
    <t>US55903VBQ59</t>
  </si>
  <si>
    <t>WFRD</t>
  </si>
  <si>
    <t>WFRD 6 3/4 10/15/33</t>
  </si>
  <si>
    <t>CWFT1U5 Curncy</t>
  </si>
  <si>
    <t>US947075AW79</t>
  </si>
  <si>
    <t>WHR</t>
  </si>
  <si>
    <t>WHR 6 1/2 06/15/33</t>
  </si>
  <si>
    <t>WHRCORP CDS USD SR 5Y D14 Corp</t>
  </si>
  <si>
    <t>US963320BE54</t>
  </si>
  <si>
    <t>XPLR</t>
  </si>
  <si>
    <t>XIFR 8 3/8 01/15/31</t>
  </si>
  <si>
    <t>CZ060981 Curncy</t>
  </si>
  <si>
    <t>US98380MAA36</t>
  </si>
  <si>
    <t>XRX</t>
  </si>
  <si>
    <t>XRX 8 7/8 11/30/29</t>
  </si>
  <si>
    <t>XRX CDS USD SR 5Y D14 Corp</t>
  </si>
  <si>
    <t>US98421MAC01</t>
  </si>
  <si>
    <t>YUM</t>
  </si>
  <si>
    <t>YUM 5 3/8 04/01/32</t>
  </si>
  <si>
    <t>YUM CDS USD SR 5Y D14 Corp</t>
  </si>
  <si>
    <t>US988498AR20</t>
  </si>
  <si>
    <t>COOP</t>
  </si>
  <si>
    <t>HY_Legacy</t>
  </si>
  <si>
    <t>RKT 7 1/8 02/01/32</t>
  </si>
  <si>
    <t>COOP CDS USD SR 5Y D14 Corp</t>
  </si>
  <si>
    <t>US77311WAD39</t>
  </si>
  <si>
    <t>EQT</t>
  </si>
  <si>
    <t>EQT 4 3/4 01/15/31</t>
  </si>
  <si>
    <t>EQT CDS USD SR 5Y D14 Corp</t>
  </si>
  <si>
    <t>US26884LBD01</t>
  </si>
  <si>
    <t>EXE</t>
  </si>
  <si>
    <t>EXE 5 3/8 03/15/30</t>
  </si>
  <si>
    <t>EXE CDS USD SR 5Y D14 Corp</t>
  </si>
  <si>
    <t>US845467AS85</t>
  </si>
  <si>
    <t>LPX</t>
  </si>
  <si>
    <t>LPX 3 5/8 03/15/29</t>
  </si>
  <si>
    <t>LPX CDS USD SR 5Y D14 Corp</t>
  </si>
  <si>
    <t>USU54627AE15</t>
  </si>
  <si>
    <t>NCX</t>
  </si>
  <si>
    <t>NCX 7 12/01/31</t>
  </si>
  <si>
    <t>NCX CDS USD SR 5Y D14 Corp</t>
  </si>
  <si>
    <t>US66977WAV19</t>
  </si>
  <si>
    <t>ABBV</t>
  </si>
  <si>
    <t>IG</t>
  </si>
  <si>
    <t>ABBV 4.95 03/15/31</t>
  </si>
  <si>
    <t>ABBV CDS USD SR 5Y D14 Corp</t>
  </si>
  <si>
    <t>US00287YDT38</t>
  </si>
  <si>
    <t>ABX</t>
  </si>
  <si>
    <t>ABXCN 5.8 11/15/34</t>
  </si>
  <si>
    <t>ABX CDS USD SR 5Y D14 Corp</t>
  </si>
  <si>
    <t>US067901AA64</t>
  </si>
  <si>
    <t>AEP</t>
  </si>
  <si>
    <t>AEP 5 5/8 03/01/33</t>
  </si>
  <si>
    <t>AEP CDS USD SR 5Y D14 Corp</t>
  </si>
  <si>
    <t>US025537AX91</t>
  </si>
  <si>
    <t>AES</t>
  </si>
  <si>
    <t>AES 5.8 03/15/32</t>
  </si>
  <si>
    <t>AESCORP CDS USD SR 5Y D14 Corp</t>
  </si>
  <si>
    <t>US00130HCM51</t>
  </si>
  <si>
    <t>AIG</t>
  </si>
  <si>
    <t>AIG 5 1/8 03/27/33</t>
  </si>
  <si>
    <t>AIG CDS USD SR 5Y D14 Corp</t>
  </si>
  <si>
    <t>US026874DS37</t>
  </si>
  <si>
    <t>ALL</t>
  </si>
  <si>
    <t>ALL 5 1/4 03/30/33</t>
  </si>
  <si>
    <t>ALL CDS USD SR 5Y D14 Corp</t>
  </si>
  <si>
    <t>US020002BK68</t>
  </si>
  <si>
    <t>ALLY</t>
  </si>
  <si>
    <t>ALLY 8 11/01/31</t>
  </si>
  <si>
    <t>ALLY CDS USD SR 5Y D14 Corp</t>
  </si>
  <si>
    <t>US36186CBY84</t>
  </si>
  <si>
    <t>AMD</t>
  </si>
  <si>
    <t>AMD 3.924 06/01/32</t>
  </si>
  <si>
    <t>AMD CDS USD SR 5Y D14 Corp</t>
  </si>
  <si>
    <t>US007903BF39</t>
  </si>
  <si>
    <t>AMGN</t>
  </si>
  <si>
    <t>AMGN 5 1/4 03/02/33</t>
  </si>
  <si>
    <t>AMGN CDS USD SR 5Y D14 Corp</t>
  </si>
  <si>
    <t>US031162DR88</t>
  </si>
  <si>
    <t>AMZN</t>
  </si>
  <si>
    <t>AMZN 3.6 04/13/32</t>
  </si>
  <si>
    <t>AMZN CDS USD SR 5Y D14 Corp</t>
  </si>
  <si>
    <t>US023135CH74</t>
  </si>
  <si>
    <t>APA</t>
  </si>
  <si>
    <t>APA 4 1/4 01/15/30</t>
  </si>
  <si>
    <t>APA B CDS USD SR 5Y D14 Corp</t>
  </si>
  <si>
    <t>US03743QAZ19</t>
  </si>
  <si>
    <t>ARW</t>
  </si>
  <si>
    <t>ARW 5 7/8 04/10/34</t>
  </si>
  <si>
    <t>ARW CDS USD SR 5Y D14 Corp</t>
  </si>
  <si>
    <t>US04273WAE12</t>
  </si>
  <si>
    <t>AVGO</t>
  </si>
  <si>
    <t>AVGO 4.6 01/15/33</t>
  </si>
  <si>
    <t>AVGO B CDS USD SR 5Y D14 Corp</t>
  </si>
  <si>
    <t>US11135FDA66</t>
  </si>
  <si>
    <t>AVT</t>
  </si>
  <si>
    <t>AVT 5 1/2 06/01/32</t>
  </si>
  <si>
    <t>AVT CDS USD SR 5Y D14 Corp</t>
  </si>
  <si>
    <t>US053807AV56</t>
  </si>
  <si>
    <t>AXP</t>
  </si>
  <si>
    <t>AXP 4.42 08/03/33</t>
  </si>
  <si>
    <t>AXPRS CDS USD SR 5Y D14 Corp</t>
  </si>
  <si>
    <t>US025816DA48</t>
  </si>
  <si>
    <t>AZO</t>
  </si>
  <si>
    <t>AZO 5.4 07/15/34</t>
  </si>
  <si>
    <t>AZO CDS USD SR 5Y D14 Corp</t>
  </si>
  <si>
    <t>US053332BK78</t>
  </si>
  <si>
    <t>BA</t>
  </si>
  <si>
    <t>BA 6.528 05/01/34</t>
  </si>
  <si>
    <t>BA CO CDS USD SR 5Y D14 Corp</t>
  </si>
  <si>
    <t>US097023DS12</t>
  </si>
  <si>
    <t>BAX</t>
  </si>
  <si>
    <t>BAX 2.539 02/01/32</t>
  </si>
  <si>
    <t>BAX CDS USD SR 5Y D14 Corp</t>
  </si>
  <si>
    <t>US071813CS61</t>
  </si>
  <si>
    <t>BBY</t>
  </si>
  <si>
    <t>BBY 1.95 10/01/30</t>
  </si>
  <si>
    <t>BBY CDS USD SR 5Y D14 Corp</t>
  </si>
  <si>
    <t>US08652BAB53</t>
  </si>
  <si>
    <t>BMY</t>
  </si>
  <si>
    <t>BMY 5.9 11/15/33</t>
  </si>
  <si>
    <t>BMY CDS USD SR 5Y D14 Corp</t>
  </si>
  <si>
    <t>US110122DZ89</t>
  </si>
  <si>
    <t>BSX</t>
  </si>
  <si>
    <t>BSX 6 1/4 11/15/35</t>
  </si>
  <si>
    <t>BSX CDS USD SR 5Y D14 Corp</t>
  </si>
  <si>
    <t>US101137AE71</t>
  </si>
  <si>
    <t>BWA</t>
  </si>
  <si>
    <t>BWA 5.4 08/15/34</t>
  </si>
  <si>
    <t>BWA CDS USD SR 5Y D14 Corp</t>
  </si>
  <si>
    <t>US099724AQ98</t>
  </si>
  <si>
    <t>CAG</t>
  </si>
  <si>
    <t>CAG 5 3/4 08/01/35</t>
  </si>
  <si>
    <t>CAG CDS USD SR 5Y D14 Corp</t>
  </si>
  <si>
    <t>US205887CL48</t>
  </si>
  <si>
    <t>CAH</t>
  </si>
  <si>
    <t>CAH 5.35 11/15/34</t>
  </si>
  <si>
    <t>CAH CDS USD SR 5Y D14 Corp</t>
  </si>
  <si>
    <t>US14149YBS63</t>
  </si>
  <si>
    <t>CAT</t>
  </si>
  <si>
    <t>CAT 2.6 04/09/30</t>
  </si>
  <si>
    <t>CAT I CDS USD SR 5Y D14 Corp</t>
  </si>
  <si>
    <t>US149123CH22</t>
  </si>
  <si>
    <t>CI</t>
  </si>
  <si>
    <t>CI 5 1/8 05/15/31</t>
  </si>
  <si>
    <t>CI A CDS USD SR 5Y D14 Corp</t>
  </si>
  <si>
    <t>US125523CU21</t>
  </si>
  <si>
    <t>CMCSA</t>
  </si>
  <si>
    <t>CMCSA 5.3 06/01/34</t>
  </si>
  <si>
    <t>CMCSAC CDS USD SR 5Y D14 Corp</t>
  </si>
  <si>
    <t>US20030NEJ63</t>
  </si>
  <si>
    <t>CNQCN</t>
  </si>
  <si>
    <t>CNQCN 5.4 12/15/34</t>
  </si>
  <si>
    <t>CNQCN CDS USD SR 5Y D14 Corp</t>
  </si>
  <si>
    <t>US136385BE00</t>
  </si>
  <si>
    <t>COF</t>
  </si>
  <si>
    <t>COF 6.7 11/29/32</t>
  </si>
  <si>
    <t>COFF CDS USD SR 5Y D14 Corp</t>
  </si>
  <si>
    <t>US254709AS70</t>
  </si>
  <si>
    <t>COP</t>
  </si>
  <si>
    <t>COP 4.85 01/15/32</t>
  </si>
  <si>
    <t>COPHIL CDS USD SR 5Y D14 Corp</t>
  </si>
  <si>
    <t>US20826FBK12</t>
  </si>
  <si>
    <t>COX</t>
  </si>
  <si>
    <t>COXENT 2.6 06/15/31</t>
  </si>
  <si>
    <t>COXENT CDS USD SR 5Y D14 Corp</t>
  </si>
  <si>
    <t>US224044CN54</t>
  </si>
  <si>
    <t>CPB</t>
  </si>
  <si>
    <t>CPB 4.55 03/21/31</t>
  </si>
  <si>
    <t>CPB CDS USD SR 5Y D14 Corp</t>
  </si>
  <si>
    <t>US134462AA89</t>
  </si>
  <si>
    <t>CSCO</t>
  </si>
  <si>
    <t>CSCO 4.95 02/24/32</t>
  </si>
  <si>
    <t>CSCO CDS USD SR 5Y D14 Corp</t>
  </si>
  <si>
    <t>US17275RBY71</t>
  </si>
  <si>
    <t>CSX</t>
  </si>
  <si>
    <t>CSX 5.2 11/15/33</t>
  </si>
  <si>
    <t>CSX CDS USD SR 5Y D14 Corp</t>
  </si>
  <si>
    <t>US126408HW63</t>
  </si>
  <si>
    <t>CVS</t>
  </si>
  <si>
    <t>CVS 5 09/15/32</t>
  </si>
  <si>
    <t>CVS CDS USD SR 5Y D14 Corp</t>
  </si>
  <si>
    <t>US126650EJ50</t>
  </si>
  <si>
    <t>D</t>
  </si>
  <si>
    <t>D 5 3/8 11/15/32</t>
  </si>
  <si>
    <t>DOMINION CDS USD SR 5Y D14 Corp</t>
  </si>
  <si>
    <t>US25746UDR77</t>
  </si>
  <si>
    <t>DAL</t>
  </si>
  <si>
    <t>DAL 5 1/4 07/10/30</t>
  </si>
  <si>
    <t>DAL CDS USD SR 5Y D14 Corp</t>
  </si>
  <si>
    <t>US247361A329</t>
  </si>
  <si>
    <t>DE</t>
  </si>
  <si>
    <t>DE 5.45 01/16/35</t>
  </si>
  <si>
    <t>DE I CDS USD SR 5Y D14 Corp</t>
  </si>
  <si>
    <t>US244199BL82</t>
  </si>
  <si>
    <t>DELL</t>
  </si>
  <si>
    <t>DELL 4 3/4 10/06/32</t>
  </si>
  <si>
    <t>DELL CDS USD SR 5Y D14 Corp</t>
  </si>
  <si>
    <t>US24703DBT72</t>
  </si>
  <si>
    <t>DGX</t>
  </si>
  <si>
    <t>DGX 6.4 11/30/33</t>
  </si>
  <si>
    <t>DGX CDS USD SR 5Y D14 Corp</t>
  </si>
  <si>
    <t>US74834LBD10</t>
  </si>
  <si>
    <t>DHI</t>
  </si>
  <si>
    <t>DHI 5 10/15/34</t>
  </si>
  <si>
    <t>DHI CDS USD SR 5Y D14 Corp</t>
  </si>
  <si>
    <t>US23331ABS78</t>
  </si>
  <si>
    <t>DHR</t>
  </si>
  <si>
    <t>DHR 3 5/8 04/29/34</t>
  </si>
  <si>
    <t>DANAHER CDS USD SR 5Y D14 Corp</t>
  </si>
  <si>
    <t>XS3352083409</t>
  </si>
  <si>
    <t>DIS</t>
  </si>
  <si>
    <t>DIS 4 03/14/31</t>
  </si>
  <si>
    <t>DIS B CDS USD SR 5Y D14 Corp</t>
  </si>
  <si>
    <t>US254687GD28</t>
  </si>
  <si>
    <t>DOW</t>
  </si>
  <si>
    <t>DOW 4.8 01/15/31</t>
  </si>
  <si>
    <t>DOWCHEM CDS USD SR 5Y D14 Corp</t>
  </si>
  <si>
    <t>US260543DN04</t>
  </si>
  <si>
    <t>DRI</t>
  </si>
  <si>
    <t>DRI 6.3 10/10/33</t>
  </si>
  <si>
    <t>DRI CDS USD SR 5Y D14 Corp</t>
  </si>
  <si>
    <t>US237194AN56</t>
  </si>
  <si>
    <t>DVN</t>
  </si>
  <si>
    <t>DVN 5.2 09/15/34</t>
  </si>
  <si>
    <t>DVNCORP CDS USD SR 5Y D14 Corp</t>
  </si>
  <si>
    <t>US25179MBG78</t>
  </si>
  <si>
    <t>DXC</t>
  </si>
  <si>
    <t>DXC 4 1/4 12/09/30</t>
  </si>
  <si>
    <t>DXC CDS USD SR 5Y D14 Corp</t>
  </si>
  <si>
    <t>XS3247588109</t>
  </si>
  <si>
    <t>ELV</t>
  </si>
  <si>
    <t>ELV 4.95 11/01/31</t>
  </si>
  <si>
    <t>ELV CDS USD SR 5Y D14 Corp</t>
  </si>
  <si>
    <t>US036752BC66</t>
  </si>
  <si>
    <t>EMN</t>
  </si>
  <si>
    <t>EMN 4 1/2 02/20/31</t>
  </si>
  <si>
    <t>EMN CDS USD SR 5Y D14 Corp</t>
  </si>
  <si>
    <t>US277432BB57</t>
  </si>
  <si>
    <t>ENBCN</t>
  </si>
  <si>
    <t>ENBCN 4 1/2 02/15/31</t>
  </si>
  <si>
    <t>ENBRIDGE INC CDS USD SR 5Y D14 Corp</t>
  </si>
  <si>
    <t>US29250NCN30</t>
  </si>
  <si>
    <t>ET</t>
  </si>
  <si>
    <t>ET 5.6 09/01/34</t>
  </si>
  <si>
    <t>CY325977 MSG1 Curncy</t>
  </si>
  <si>
    <t>US29273VBA70</t>
  </si>
  <si>
    <t>EXC</t>
  </si>
  <si>
    <t>EXC 5.3 03/15/33</t>
  </si>
  <si>
    <t>EXCC CDS USD SR 5Y D14 Corp</t>
  </si>
  <si>
    <t>US30161NBK63</t>
  </si>
  <si>
    <t>EXPE</t>
  </si>
  <si>
    <t>EXPE 2.95 03/15/31</t>
  </si>
  <si>
    <t>EXPE CDS USD SR 5Y D14 Corp</t>
  </si>
  <si>
    <t>US30212PBH73</t>
  </si>
  <si>
    <t>FCO</t>
  </si>
  <si>
    <t>F 7.45 07/16/31</t>
  </si>
  <si>
    <t>FCO CDS USD SR 5Y D14 Corp</t>
  </si>
  <si>
    <t>US345370CA64</t>
  </si>
  <si>
    <t>FCX</t>
  </si>
  <si>
    <t>FCX 5.4 11/14/34</t>
  </si>
  <si>
    <t>CX355476 MSG1 Curncy</t>
  </si>
  <si>
    <t>US35671DBJ37</t>
  </si>
  <si>
    <t>FDX</t>
  </si>
  <si>
    <t>FDX 3 1/2 07/30/32</t>
  </si>
  <si>
    <t>FDX CDS USD SR 5Y D14 Corp</t>
  </si>
  <si>
    <t>XS3136900670</t>
  </si>
  <si>
    <t>FE</t>
  </si>
  <si>
    <t>FE 4 3/4 01/15/33</t>
  </si>
  <si>
    <t>FENG CDS USD SR 5Y D14 Corp</t>
  </si>
  <si>
    <t>US33767BAK52</t>
  </si>
  <si>
    <t>GE</t>
  </si>
  <si>
    <t>GE 6 3/4 03/15/32</t>
  </si>
  <si>
    <t>GECO CDS USD SR 5Y D14 Corp</t>
  </si>
  <si>
    <t>US36962GXZ26</t>
  </si>
  <si>
    <t>GIS</t>
  </si>
  <si>
    <t>GIS 2 1/4 10/14/31</t>
  </si>
  <si>
    <t>GIS CDS USD SR 5Y D14 Corp</t>
  </si>
  <si>
    <t>US370334CQ51</t>
  </si>
  <si>
    <t>GM</t>
  </si>
  <si>
    <t>GM 5.6 10/15/32</t>
  </si>
  <si>
    <t>GM CDS USD SR 5Y D14 Corp</t>
  </si>
  <si>
    <t>US37045VAZ31</t>
  </si>
  <si>
    <t>GOOG</t>
  </si>
  <si>
    <t>GOOGL 3 05/06/33</t>
  </si>
  <si>
    <t>GOOGL CDS USD SR 5Y D14 Corp</t>
  </si>
  <si>
    <t>XS3064423174</t>
  </si>
  <si>
    <t>HAL</t>
  </si>
  <si>
    <t>HAL 4.85 11/15/35</t>
  </si>
  <si>
    <t>HAL CDS USD SR 5Y D14 Corp</t>
  </si>
  <si>
    <t>US406216BJ98</t>
  </si>
  <si>
    <t>HCA</t>
  </si>
  <si>
    <t>HCA 4.6 11/15/32</t>
  </si>
  <si>
    <t>HCA CDS USD SR 5Y D14 Corp</t>
  </si>
  <si>
    <t>US404119DE60</t>
  </si>
  <si>
    <t>HD</t>
  </si>
  <si>
    <t>HD 4 1/2 09/15/32</t>
  </si>
  <si>
    <t>HD CDS USD SR 5Y D14 Corp</t>
  </si>
  <si>
    <t>US437076CS90</t>
  </si>
  <si>
    <t>HON</t>
  </si>
  <si>
    <t>HON 4 1/2 01/15/34</t>
  </si>
  <si>
    <t>HON CDS USD SR 5Y D14 Corp</t>
  </si>
  <si>
    <t>US438516CM68</t>
  </si>
  <si>
    <t>HPQ</t>
  </si>
  <si>
    <t>HPQ 5 1/2 01/15/33</t>
  </si>
  <si>
    <t>HPQ CDS USD SR 5Y D14 Corp</t>
  </si>
  <si>
    <t>US40434LAN55</t>
  </si>
  <si>
    <t>HRB</t>
  </si>
  <si>
    <t>HRB 5 3/8 09/15/32</t>
  </si>
  <si>
    <t>BLOCK FIN CDS USD SR 5Y D14 Corp</t>
  </si>
  <si>
    <t>US093662AK00</t>
  </si>
  <si>
    <t>HST</t>
  </si>
  <si>
    <t>HST 5.7 06/15/32</t>
  </si>
  <si>
    <t>HST CDS USD SR 5Y D14 Corp</t>
  </si>
  <si>
    <t>US44107TBD72</t>
  </si>
  <si>
    <t>IBM</t>
  </si>
  <si>
    <t>IBM 5 02/10/32</t>
  </si>
  <si>
    <t>IBM CDS USD SR 5Y D14 Corp</t>
  </si>
  <si>
    <t>US459200LH20</t>
  </si>
  <si>
    <t>INTC</t>
  </si>
  <si>
    <t>INTC 5 02/21/31</t>
  </si>
  <si>
    <t>INTC CDS USD SR 5Y D14 Corp</t>
  </si>
  <si>
    <t>US458140CN85</t>
  </si>
  <si>
    <t>IP</t>
  </si>
  <si>
    <t>IP 5 09/15/35</t>
  </si>
  <si>
    <t>PAPER CDS USD SR 5Y D14 Corp</t>
  </si>
  <si>
    <t>US460146CM37</t>
  </si>
  <si>
    <t>JCI</t>
  </si>
  <si>
    <t>JCI 4.9 12/01/32</t>
  </si>
  <si>
    <t>CTYC1U5 MSG1 Curncy</t>
  </si>
  <si>
    <t>US47837RAE09</t>
  </si>
  <si>
    <t>JNJ</t>
  </si>
  <si>
    <t>JNJ 4.9 06/01/31</t>
  </si>
  <si>
    <t>JNJ CDS USD SR 5Y D14 Corp</t>
  </si>
  <si>
    <t>US478160CV47</t>
  </si>
  <si>
    <t>KHC</t>
  </si>
  <si>
    <t>KHC 5.2 03/15/32</t>
  </si>
  <si>
    <t>KHC CDS USD SR 5Y D14 Corp</t>
  </si>
  <si>
    <t>US50077LBM72</t>
  </si>
  <si>
    <t>KMI</t>
  </si>
  <si>
    <t>KMI 5.4 02/01/34</t>
  </si>
  <si>
    <t>CKMI1U5 MSG1 Curncy</t>
  </si>
  <si>
    <t>US494553AE00</t>
  </si>
  <si>
    <t>KR</t>
  </si>
  <si>
    <t>KR 5 09/15/34</t>
  </si>
  <si>
    <t>KR CDS USD SR 5Y D14 Corp</t>
  </si>
  <si>
    <t>US501044DV05</t>
  </si>
  <si>
    <t>LEN</t>
  </si>
  <si>
    <t>LEN 5.2 07/30/30</t>
  </si>
  <si>
    <t>LEN CDS USD SR 5Y D14 Corp</t>
  </si>
  <si>
    <t>US526057CY87</t>
  </si>
  <si>
    <t>LMT</t>
  </si>
  <si>
    <t>LMT 4.8 08/15/34</t>
  </si>
  <si>
    <t>LMT CDS USD SR 5Y D14 Corp</t>
  </si>
  <si>
    <t>US539830CD97</t>
  </si>
  <si>
    <t>LNC</t>
  </si>
  <si>
    <t>LNC 5.852 03/15/34</t>
  </si>
  <si>
    <t>LNC CDS USD SR 5Y D14 Corp</t>
  </si>
  <si>
    <t>US534187BT58</t>
  </si>
  <si>
    <t>LOW</t>
  </si>
  <si>
    <t>LOW 5 04/15/33</t>
  </si>
  <si>
    <t>LOW CDS USD SR 5Y D14 Corp</t>
  </si>
  <si>
    <t>US548661EL74</t>
  </si>
  <si>
    <t>LUV</t>
  </si>
  <si>
    <t>LUV 5 1/4 11/15/35</t>
  </si>
  <si>
    <t>LUV CDS USD SR 5Y D14 Corp</t>
  </si>
  <si>
    <t>US844741BM99</t>
  </si>
  <si>
    <t>MCD</t>
  </si>
  <si>
    <t>MCD 4.95 08/14/33</t>
  </si>
  <si>
    <t>MCD CDS USD SR 5Y D14 Corp</t>
  </si>
  <si>
    <t>US58013MFV19</t>
  </si>
  <si>
    <t>MCK</t>
  </si>
  <si>
    <t>MCK 4.95 05/30/32</t>
  </si>
  <si>
    <t>MCK CDS USD SR 5Y D14 Corp</t>
  </si>
  <si>
    <t>US581557BX22</t>
  </si>
  <si>
    <t>MDLZ</t>
  </si>
  <si>
    <t>MDLZ 4 3/4 08/28/34</t>
  </si>
  <si>
    <t>KRAFT CDS USD SR 5Y D14 Corp</t>
  </si>
  <si>
    <t>US609207BE44</t>
  </si>
  <si>
    <t>MET</t>
  </si>
  <si>
    <t>MET 5 3/8 07/15/33</t>
  </si>
  <si>
    <t>MET CDS USD SR 5Y D14 Corp</t>
  </si>
  <si>
    <t>US59156RCE62</t>
  </si>
  <si>
    <t>META</t>
  </si>
  <si>
    <t>META 4.55 08/15/31</t>
  </si>
  <si>
    <t>META CDS USD SR 5Y D14 Corp</t>
  </si>
  <si>
    <t>US30303M8T23</t>
  </si>
  <si>
    <t>MO</t>
  </si>
  <si>
    <t>MO 6 7/8 11/01/33</t>
  </si>
  <si>
    <t>ALTRIA CDS USD SR 5Y D14 Corp</t>
  </si>
  <si>
    <t>US02209SBR31</t>
  </si>
  <si>
    <t>MPC</t>
  </si>
  <si>
    <t>MPC 5.7 03/01/35</t>
  </si>
  <si>
    <t>MPC CDS USD SR 5Y D14 Corp</t>
  </si>
  <si>
    <t>US56585ABL52</t>
  </si>
  <si>
    <t>MSFT</t>
  </si>
  <si>
    <t>MSFT 3 1/2 02/12/35</t>
  </si>
  <si>
    <t>MSFT CDS USD SR 5Y D14 Corp</t>
  </si>
  <si>
    <t>US594918BC73</t>
  </si>
  <si>
    <t>MSI</t>
  </si>
  <si>
    <t>MSI 5.6 06/01/32</t>
  </si>
  <si>
    <t>MSI CDS USD SR 5Y D14 Corp</t>
  </si>
  <si>
    <t>US620076BW88</t>
  </si>
  <si>
    <t>NEE</t>
  </si>
  <si>
    <t>NEE 5 1/4 03/15/34</t>
  </si>
  <si>
    <t>FPL CDS USD SR 5Y D14 Corp</t>
  </si>
  <si>
    <t>US65339KCU25</t>
  </si>
  <si>
    <t>NEM</t>
  </si>
  <si>
    <t>NEM 5.35 03/15/34</t>
  </si>
  <si>
    <t>NEWMONT CDS USD SR 5Y D14 Corp</t>
  </si>
  <si>
    <t>US65163LAR06</t>
  </si>
  <si>
    <t>NFLX</t>
  </si>
  <si>
    <t>NFLX 4.9 08/15/34</t>
  </si>
  <si>
    <t>NFLX CDS USD SR 5Y D14 Corp</t>
  </si>
  <si>
    <t>US64110LAZ94</t>
  </si>
  <si>
    <t>NOC</t>
  </si>
  <si>
    <t>NOC 4.7 03/15/33</t>
  </si>
  <si>
    <t>NOC CDS USD SR 5Y D14 Corp</t>
  </si>
  <si>
    <t>US666807CH36</t>
  </si>
  <si>
    <t>OMC</t>
  </si>
  <si>
    <t>OMC 5 06/02/33</t>
  </si>
  <si>
    <t>OMC CDS USD SR 5Y D14 Corp</t>
  </si>
  <si>
    <t>US681919BW57</t>
  </si>
  <si>
    <t>ORCL</t>
  </si>
  <si>
    <t>ORCL 4.95 02/04/31</t>
  </si>
  <si>
    <t>ORCLCP CDS USD SR 5Y D14 Corp</t>
  </si>
  <si>
    <t>US68389XDX03</t>
  </si>
  <si>
    <t>OVV</t>
  </si>
  <si>
    <t>OVV 6 1/4 07/15/33</t>
  </si>
  <si>
    <t>OVV A CDS USD SR 5Y D14 Corp</t>
  </si>
  <si>
    <t>US69047QAC69</t>
  </si>
  <si>
    <t>OXY</t>
  </si>
  <si>
    <t>OXY 5 3/8 01/01/32</t>
  </si>
  <si>
    <t>OXY CDS USD SR 5Y D14 Corp</t>
  </si>
  <si>
    <t>US674599EK76</t>
  </si>
  <si>
    <t>PFE</t>
  </si>
  <si>
    <t>PFE 4 1/2 11/15/32</t>
  </si>
  <si>
    <t>PFIZER CDS USD SR 5Y D14 Corp</t>
  </si>
  <si>
    <t>US717081FE83</t>
  </si>
  <si>
    <t>PG</t>
  </si>
  <si>
    <t>PG 4.55 10/24/34</t>
  </si>
  <si>
    <t>PROCTER CDS USD SR 5Y D14 Corp</t>
  </si>
  <si>
    <t>US742718GL74</t>
  </si>
  <si>
    <t>PHM</t>
  </si>
  <si>
    <t>PHM 7 7/8 06/15/32</t>
  </si>
  <si>
    <t>PULTE CDS USD SR 5Y D14 Corp</t>
  </si>
  <si>
    <t>US745867AM30</t>
  </si>
  <si>
    <t>PNC</t>
  </si>
  <si>
    <t>PNC 5.222 01/29/31</t>
  </si>
  <si>
    <t>PNC CDS USD SR 5Y D14 Corp</t>
  </si>
  <si>
    <t>US693475CB94</t>
  </si>
  <si>
    <t>PRU</t>
  </si>
  <si>
    <t>PRU 5.2 03/14/35</t>
  </si>
  <si>
    <t>PRU CDS USD SR 5Y D14 Corp</t>
  </si>
  <si>
    <t>US74432QCK94</t>
  </si>
  <si>
    <t>R</t>
  </si>
  <si>
    <t>R 6.6 12/01/33</t>
  </si>
  <si>
    <t>R CDS USD SR 5Y D14 Corp</t>
  </si>
  <si>
    <t>US78355HKY44</t>
  </si>
  <si>
    <t>RCL</t>
  </si>
  <si>
    <t>RCL 5 5/8 09/30/31</t>
  </si>
  <si>
    <t>RCL CDS USD SR 5Y D14 Corp</t>
  </si>
  <si>
    <t>USV7780TAQ68</t>
  </si>
  <si>
    <t>RDN</t>
  </si>
  <si>
    <t>RDN 6.2 05/15/29</t>
  </si>
  <si>
    <t>RDN CDS USD SR 5Y D14 Corp</t>
  </si>
  <si>
    <t>US750236AY71</t>
  </si>
  <si>
    <t>RTX</t>
  </si>
  <si>
    <t>RTX 5.15 02/27/33</t>
  </si>
  <si>
    <t>UTX CDS USD SR 5Y D14 Corp</t>
  </si>
  <si>
    <t>US75513ECR09</t>
  </si>
  <si>
    <t>SBC</t>
  </si>
  <si>
    <t>T 4.55 11/01/32</t>
  </si>
  <si>
    <t>SBC CDS USD SR 5Y D14 Corp</t>
  </si>
  <si>
    <t>US00206RNB41</t>
  </si>
  <si>
    <t>SHW</t>
  </si>
  <si>
    <t>SHW 5.15 08/15/35</t>
  </si>
  <si>
    <t>SHW CDS USD SR 5Y D14 Corp</t>
  </si>
  <si>
    <t>US824348BW54</t>
  </si>
  <si>
    <t>SO</t>
  </si>
  <si>
    <t>SO 5.7 03/15/34</t>
  </si>
  <si>
    <t>SOCO CDS USD SR 5Y D14 Corp</t>
  </si>
  <si>
    <t>US842587DT18</t>
  </si>
  <si>
    <t>SPG</t>
  </si>
  <si>
    <t>SPG 5 1/2 03/08/33</t>
  </si>
  <si>
    <t>SPG CDS USD SR 5Y D14 Corp</t>
  </si>
  <si>
    <t>US828807DU83</t>
  </si>
  <si>
    <t>SRE</t>
  </si>
  <si>
    <t>SRE 5 1/2 08/01/33</t>
  </si>
  <si>
    <t>SRE CDS USD SR 5Y D14 Corp</t>
  </si>
  <si>
    <t>US816851BR98</t>
  </si>
  <si>
    <t>TGT</t>
  </si>
  <si>
    <t>TGT 4 1/2 09/15/32</t>
  </si>
  <si>
    <t>TGT CDS USD SR 5Y D14 Corp</t>
  </si>
  <si>
    <t>US87612EBP07</t>
  </si>
  <si>
    <t>TMUS</t>
  </si>
  <si>
    <t>TMUS 5 1/8 05/15/32</t>
  </si>
  <si>
    <t>TMUS A CDS USD SR 5Y D14 Corp</t>
  </si>
  <si>
    <t>US87264ADS15</t>
  </si>
  <si>
    <t>TOL</t>
  </si>
  <si>
    <t>TOL 5.6 06/15/35</t>
  </si>
  <si>
    <t>TOL CDS USD SR 5Y D14 Corp</t>
  </si>
  <si>
    <t>US88947EAX85</t>
  </si>
  <si>
    <t>TRP</t>
  </si>
  <si>
    <t>TRPCN 4 5/8 03/01/34</t>
  </si>
  <si>
    <t>TRPCN CDS USD SR 5Y D14 Corp</t>
  </si>
  <si>
    <t>US89352HAM16</t>
  </si>
  <si>
    <t>TSN</t>
  </si>
  <si>
    <t>TSN 5.7 03/15/34</t>
  </si>
  <si>
    <t>TSN CDS USD SR 5Y D14 Corp</t>
  </si>
  <si>
    <t>US902494BM45</t>
  </si>
  <si>
    <t>UNH</t>
  </si>
  <si>
    <t>UNH 5.15 07/15/34</t>
  </si>
  <si>
    <t>UNH CDS USD SR 5Y D14 Corp</t>
  </si>
  <si>
    <t>US91324PFJ66</t>
  </si>
  <si>
    <t>UNP</t>
  </si>
  <si>
    <t>UNP 5.1 02/20/35</t>
  </si>
  <si>
    <t>UNP CDS USD SR 5Y D14 Corp</t>
  </si>
  <si>
    <t>US907818GG79</t>
  </si>
  <si>
    <t>UPS</t>
  </si>
  <si>
    <t>UPS 5.15 05/22/34</t>
  </si>
  <si>
    <t>UPS CDS USD SR 5Y D14 Corp</t>
  </si>
  <si>
    <t>US911312CD61</t>
  </si>
  <si>
    <t>VLO</t>
  </si>
  <si>
    <t>VLO 5.15 02/15/30</t>
  </si>
  <si>
    <t>VLO CDS USD SR 5Y D14 Corp</t>
  </si>
  <si>
    <t>US91913YBF60</t>
  </si>
  <si>
    <t>VZ</t>
  </si>
  <si>
    <t>VZ 5.05 05/09/33</t>
  </si>
  <si>
    <t>VZNEW CDS USD SR 5Y D14 Corp</t>
  </si>
  <si>
    <t>US92343VGT52</t>
  </si>
  <si>
    <t>WMB</t>
  </si>
  <si>
    <t>WMB 4.65 08/15/32</t>
  </si>
  <si>
    <t>WMB CDS USD SR 5Y D14 Corp</t>
  </si>
  <si>
    <t>US969457BZ28</t>
  </si>
  <si>
    <t>WMT</t>
  </si>
  <si>
    <t>WMT 4.1 04/15/33</t>
  </si>
  <si>
    <t>WMT CDS USD SR 5Y D14 Corp</t>
  </si>
  <si>
    <t>US931142FD05</t>
  </si>
  <si>
    <t>WY</t>
  </si>
  <si>
    <t>WY 3 3/8 03/09/33</t>
  </si>
  <si>
    <t>WY CDS USD SR 5Y D14 Corp</t>
  </si>
  <si>
    <t>US962166CA07</t>
  </si>
  <si>
    <t>BRK</t>
  </si>
  <si>
    <t>IG_Legacy</t>
  </si>
  <si>
    <t>BRK 2 7/8 03/15/32</t>
  </si>
  <si>
    <t>BERKSHIRE CDS USD SR 5Y D14 Corp</t>
  </si>
  <si>
    <t>US084664DA63</t>
  </si>
  <si>
    <t>HES</t>
  </si>
  <si>
    <t>HES 7.3 08/15/31</t>
  </si>
  <si>
    <t>HES CDS USD SR 5Y D14 Corp</t>
  </si>
  <si>
    <t>US023551AJ38</t>
  </si>
  <si>
    <t>LTR</t>
  </si>
  <si>
    <t>L 3.2 05/15/30</t>
  </si>
  <si>
    <t>L CDS USD SR 5Y D14 Corp</t>
  </si>
  <si>
    <t>US540424AT59</t>
  </si>
  <si>
    <t>MDC</t>
  </si>
  <si>
    <t>MDC 2 1/2 01/15/31</t>
  </si>
  <si>
    <t>MDC CDS USD SR 5Y D14 Corp</t>
  </si>
  <si>
    <t>US552676AU23</t>
  </si>
  <si>
    <t>NRUC</t>
  </si>
  <si>
    <t>NRUC 4.95 02/07/30</t>
  </si>
  <si>
    <t>NRUC CDS USD SR 5Y D14 Corp</t>
  </si>
  <si>
    <t>US63743HFX52</t>
  </si>
  <si>
    <t>NSC</t>
  </si>
  <si>
    <t>NSC 4.45 03/01/33</t>
  </si>
  <si>
    <t>NSC CDS USD SR 5Y D14 Corp</t>
  </si>
  <si>
    <t>US655844CQ90</t>
  </si>
  <si>
    <t>PKG</t>
  </si>
  <si>
    <t>PKG 5.7 12/01/33</t>
  </si>
  <si>
    <t>PKG CDS USD SR 5Y D14 Corp</t>
  </si>
  <si>
    <t>US695156AX75</t>
  </si>
  <si>
    <t>TECK</t>
  </si>
  <si>
    <t>TCKBCN 6 1/8 10/01/35</t>
  </si>
  <si>
    <t>TCKBCN CDS USD SR 5Y D14 Corp</t>
  </si>
  <si>
    <t>US878742AE55</t>
  </si>
  <si>
    <t>AALLN</t>
  </si>
  <si>
    <t>Main</t>
  </si>
  <si>
    <t>AALLN 4 1/8 03/15/32</t>
  </si>
  <si>
    <t>AALLN CDS EUR SR 5Y D14 Corp</t>
  </si>
  <si>
    <t>XS2779901482</t>
  </si>
  <si>
    <t>ABIBB</t>
  </si>
  <si>
    <t>ABIBB 3 3/8 05/19/33</t>
  </si>
  <si>
    <t>ABIB CDS EUR SR 5Y D14 Corp</t>
  </si>
  <si>
    <t>BE6364524635</t>
  </si>
  <si>
    <t>ACAFP</t>
  </si>
  <si>
    <t>ACAFP 3 1/8 02/26/32</t>
  </si>
  <si>
    <t>LCL SA CDS EUR SLA 5Y D14 Corp</t>
  </si>
  <si>
    <t>FR001400XO25</t>
  </si>
  <si>
    <t>ACFP</t>
  </si>
  <si>
    <t>ACFP 3 5/8 09/03/32</t>
  </si>
  <si>
    <t>ACFP CDS EUR SR 5Y D14 Corp</t>
  </si>
  <si>
    <t>FR0014012B88</t>
  </si>
  <si>
    <t>ADENVX</t>
  </si>
  <si>
    <t>ADENVX 3.4 10/08/32</t>
  </si>
  <si>
    <t>CADO1E5 Curncy</t>
  </si>
  <si>
    <t>XS2911666795</t>
  </si>
  <si>
    <t>ADNA</t>
  </si>
  <si>
    <t>ADNA 3 1/4 03/10/33</t>
  </si>
  <si>
    <t>KONINKLIJKE AHOLD CDS EUR SR 5 Corp</t>
  </si>
  <si>
    <t>XS3016387287</t>
  </si>
  <si>
    <t>AIFP</t>
  </si>
  <si>
    <t>AIFP 3 05/05/33</t>
  </si>
  <si>
    <t>AIFP CDS EUR SR 5Y D14 Corp</t>
  </si>
  <si>
    <t>FR0014013VX5</t>
  </si>
  <si>
    <t>AIRFP</t>
  </si>
  <si>
    <t>AIRFP 2 3/8 04/07/32</t>
  </si>
  <si>
    <t>AIRFP CDS EUR SR 5Y D14 Corp</t>
  </si>
  <si>
    <t>XS2152796426</t>
  </si>
  <si>
    <t>AKZANA</t>
  </si>
  <si>
    <t>AKZANA 4 05/24/33</t>
  </si>
  <si>
    <t>AKZANANV CDS EUR SR 5Y D14 Corp</t>
  </si>
  <si>
    <t>XS2625136531</t>
  </si>
  <si>
    <t>ALOFP</t>
  </si>
  <si>
    <t>ALOFP 0 1/2 07/27/30</t>
  </si>
  <si>
    <t>ALSTOM CDS EUR SR 5Y D14 Corp</t>
  </si>
  <si>
    <t>FR0014004R72</t>
  </si>
  <si>
    <t>ASSGEN</t>
  </si>
  <si>
    <t>GIM 3.547 01/15/34</t>
  </si>
  <si>
    <t>ASSGEN CDS EUR SR 5Y D14 Corp</t>
  </si>
  <si>
    <t>XS2747596315</t>
  </si>
  <si>
    <t>GSK</t>
  </si>
  <si>
    <t>GSK 4 7/8 04/15/35</t>
  </si>
  <si>
    <t>CGSK1E5 Curncy</t>
  </si>
  <si>
    <t>US377372AQ02</t>
  </si>
  <si>
    <t>IAGLN</t>
  </si>
  <si>
    <t>IAGLN 3.352 09/11/30</t>
  </si>
  <si>
    <t>BRIT AIR CDS EUR SR 5Y D14 Corp</t>
  </si>
  <si>
    <t>XS3170907060</t>
  </si>
  <si>
    <t>MARSPE</t>
  </si>
  <si>
    <t>MARSPE 7 1/8 12/01/37</t>
  </si>
  <si>
    <t>MARSPE CDS EUR SR 5Y D14 Corp</t>
  </si>
  <si>
    <t>US57069PAA03</t>
  </si>
  <si>
    <t>SMURFIT KAPPA</t>
  </si>
  <si>
    <t>SW 3.489 11/24/31</t>
  </si>
  <si>
    <t>CY101284 Curncy</t>
  </si>
  <si>
    <t>XS3237109965</t>
  </si>
  <si>
    <t>SSELN</t>
  </si>
  <si>
    <t>SSELN 4 09/05/31</t>
  </si>
  <si>
    <t>CT373240 Curncy</t>
  </si>
  <si>
    <t>XS2675685700</t>
  </si>
  <si>
    <t>ACCINV</t>
  </si>
  <si>
    <t>XO</t>
  </si>
  <si>
    <t>ACCINV 5 5/8 05/15/32</t>
  </si>
  <si>
    <t>ACCINV CDS EUR SR 5Y D14 Corp</t>
  </si>
  <si>
    <t>XS3049460242</t>
  </si>
  <si>
    <t>ADRBID</t>
  </si>
  <si>
    <t>ADRBID 6 1/2 10/31/31</t>
  </si>
  <si>
    <t>ADRBID CDS EUR SR 5Y D14 Corp</t>
  </si>
  <si>
    <t>XS2919880679</t>
  </si>
  <si>
    <t>AFFP</t>
  </si>
  <si>
    <t>AFFP 3 7/8 01/14/31</t>
  </si>
  <si>
    <t>AFKLM CDS EUR SR 5Y D14 Corp</t>
  </si>
  <si>
    <t>FR0014015H97</t>
  </si>
  <si>
    <t>AGKLN</t>
  </si>
  <si>
    <t>AGKLN 7 05/21/30</t>
  </si>
  <si>
    <t>CZ037560 Curncy</t>
  </si>
  <si>
    <t>US01330AAA43</t>
  </si>
  <si>
    <t>ARWLN</t>
  </si>
  <si>
    <t>ARWLN 7 5/8 12/15/29</t>
  </si>
  <si>
    <t>ARWLN CDS EUR SR 5Y D14 Corp</t>
  </si>
  <si>
    <t>XS2953568479</t>
  </si>
  <si>
    <t>ASSDLN</t>
  </si>
  <si>
    <t>ASSDLN 8 07/01/31</t>
  </si>
  <si>
    <t>ASSDLN CDS EUR SR 5Y D14 Corp</t>
  </si>
  <si>
    <t>XS3099155932</t>
  </si>
  <si>
    <t>ATLIM</t>
  </si>
  <si>
    <t>MUNDYS 3.7 09/29/31</t>
  </si>
  <si>
    <t>MUNDYS CDS EUR SR 5Y D14 Corp</t>
  </si>
  <si>
    <t>XS3192254632</t>
  </si>
  <si>
    <t>BOPRLN</t>
  </si>
  <si>
    <t>BOPRLN 9 3/8 11/07/29</t>
  </si>
  <si>
    <t>BOPRLN CDS EUR SR 5Y D14 Corp</t>
  </si>
  <si>
    <t>XS2928674840</t>
  </si>
  <si>
    <t>BRSL</t>
  </si>
  <si>
    <t>BRSL 5 3/4 01/15/33</t>
  </si>
  <si>
    <t>IGTPLC CDS EUR SR 5Y D14 Corp</t>
  </si>
  <si>
    <t>USG15914AA52</t>
  </si>
  <si>
    <t>CABBCO</t>
  </si>
  <si>
    <t>CABBCO 8 07/15/31</t>
  </si>
  <si>
    <t>CABBCO CDS EUR SR 5Y D14 Corp</t>
  </si>
  <si>
    <t>XS3420263629</t>
  </si>
  <si>
    <t>CCK</t>
  </si>
  <si>
    <t>CCK 3 3/4 09/30/31</t>
  </si>
  <si>
    <t>CCK A CDS EUR SR 5Y D14 Corp</t>
  </si>
  <si>
    <t>XS3188831658</t>
  </si>
  <si>
    <t>CECGR</t>
  </si>
  <si>
    <t>CECGR 6 1/4 07/15/29</t>
  </si>
  <si>
    <t>CECGR CDS EUR SR 5Y D14 Corp</t>
  </si>
  <si>
    <t>XS2854329104</t>
  </si>
  <si>
    <t>CEETRU</t>
  </si>
  <si>
    <t>NIMMOH 5 1/2 04/23/31</t>
  </si>
  <si>
    <t>CZ038306 Curncy</t>
  </si>
  <si>
    <t>FR0014016WB2</t>
  </si>
  <si>
    <t>CHEPDE</t>
  </si>
  <si>
    <t>CHEPDE 6 3/4 02/15/32</t>
  </si>
  <si>
    <t>CHEPDE CDS EUR SR 5Y D14 Corp</t>
  </si>
  <si>
    <t>XS3261897238</t>
  </si>
  <si>
    <t>CMACG</t>
  </si>
  <si>
    <t>CMACG 4 7/8 01/15/32</t>
  </si>
  <si>
    <t>CMACG CDS EUR SR 5Y D14 Corp</t>
  </si>
  <si>
    <t>XS3193815977</t>
  </si>
  <si>
    <t>CPIPGR</t>
  </si>
  <si>
    <t>CPIPGR 6 01/27/32</t>
  </si>
  <si>
    <t>CPIPGR CDS EUR SR 5Y D14 Corp</t>
  </si>
  <si>
    <t>XS2904791774</t>
  </si>
  <si>
    <t>CSTM</t>
  </si>
  <si>
    <t>CSTM 6 3/8 08/15/32</t>
  </si>
  <si>
    <t>CSTM CDS EUR SR 5Y D14 Corp</t>
  </si>
  <si>
    <t>USF21107AC57</t>
  </si>
  <si>
    <t>DUFNSW</t>
  </si>
  <si>
    <t>DUFNSW 4 3/4 04/18/31</t>
  </si>
  <si>
    <t>DUFNSW CDS EUR SR 5Y D14 Corp</t>
  </si>
  <si>
    <t>XS2802883731</t>
  </si>
  <si>
    <t>EOFP</t>
  </si>
  <si>
    <t>EOFP 5 3/8 03/15/31</t>
  </si>
  <si>
    <t>EOFP CDS EUR SR 5Y D14 Corp</t>
  </si>
  <si>
    <t>XS3152574763</t>
  </si>
  <si>
    <t>ERICB</t>
  </si>
  <si>
    <t>ERICB 1 05/26/29</t>
  </si>
  <si>
    <t>ERICB CDS EUR SR 5Y D14 Corp</t>
  </si>
  <si>
    <t>XS2345996743</t>
  </si>
  <si>
    <t>ETLFP</t>
  </si>
  <si>
    <t>ETLFP 5 3/4 03/15/31</t>
  </si>
  <si>
    <t>CZ028487 Curncy</t>
  </si>
  <si>
    <t>XS3224536121</t>
  </si>
  <si>
    <t>FIBCOP</t>
  </si>
  <si>
    <t>FIBCOP 5 1/8 06/30/32</t>
  </si>
  <si>
    <t>FIBCOP CDS EUR SR 5Y D14 Corp</t>
  </si>
  <si>
    <t>XS3104481414</t>
  </si>
  <si>
    <t>FRFP</t>
  </si>
  <si>
    <t>FRFP 4 5/8 03/23/32</t>
  </si>
  <si>
    <t>FRFP CDS EUR SR 5Y D14 Corp</t>
  </si>
  <si>
    <t>FR0014012SJ2</t>
  </si>
  <si>
    <t>GRFSM</t>
  </si>
  <si>
    <t>GRFSM 7 1/8 05/01/30</t>
  </si>
  <si>
    <t>GRFSM CDS EUR SR 5Y D14 Corp</t>
  </si>
  <si>
    <t>XS2961445090</t>
  </si>
  <si>
    <t>HPLGR</t>
  </si>
  <si>
    <t>HPLGR 2 1/2 04/15/28</t>
  </si>
  <si>
    <t>HPLGR CDS EUR SR 5Y D14 Corp</t>
  </si>
  <si>
    <t>XS2326548562</t>
  </si>
  <si>
    <t>ICELTD</t>
  </si>
  <si>
    <t>ICELTD 4 3/8 05/15/28</t>
  </si>
  <si>
    <t>ICELTD CDS EUR SR 5Y D14 Corp</t>
  </si>
  <si>
    <t>XS2304198331</t>
  </si>
  <si>
    <t>ILIADH</t>
  </si>
  <si>
    <t>ILIADH 6 7/8 04/15/31</t>
  </si>
  <si>
    <t>CZ060854 Curncy</t>
  </si>
  <si>
    <t>XS2810807094</t>
  </si>
  <si>
    <t>IMAIM</t>
  </si>
  <si>
    <t>IMAIM 3 3/4 01/15/28</t>
  </si>
  <si>
    <t>IMAIM CDS EUR SR 5Y D14 Corp</t>
  </si>
  <si>
    <t>XS2275090749</t>
  </si>
  <si>
    <t>INEGRP</t>
  </si>
  <si>
    <t>INEGRP 7 1/4 03/31/31</t>
  </si>
  <si>
    <t>INEOFIN CDS EUR SR 5Y D14 Corp</t>
  </si>
  <si>
    <t>XS3192215492</t>
  </si>
  <si>
    <t>INWIM</t>
  </si>
  <si>
    <t>INWIM 3 5/8 10/13/32</t>
  </si>
  <si>
    <t>CY865633 Curncy</t>
  </si>
  <si>
    <t>XS3201918318</t>
  </si>
  <si>
    <t>IONPLA</t>
  </si>
  <si>
    <t>IONPLA 6 7/8 09/30/32</t>
  </si>
  <si>
    <t>CZ060801 Curncy</t>
  </si>
  <si>
    <t>XS3194941202</t>
  </si>
  <si>
    <t>IPGIM</t>
  </si>
  <si>
    <t>IPGIM 4 1/8 07/03/31</t>
  </si>
  <si>
    <t>IPGIM CDS EUR SR 5Y D14 Corp</t>
  </si>
  <si>
    <t>XS3106096178</t>
  </si>
  <si>
    <t>LHMCFI</t>
  </si>
  <si>
    <t>LHMCFI 4 7/8 10/15/31</t>
  </si>
  <si>
    <t>LHMCFI CDS EUR SR 5Y D14 Corp</t>
  </si>
  <si>
    <t>XS3209437014</t>
  </si>
  <si>
    <t>LOXAM</t>
  </si>
  <si>
    <t>LOXAM 4 1/4 02/15/30</t>
  </si>
  <si>
    <t>LOXAM CDS EUR SUB 5Y D14 Corp</t>
  </si>
  <si>
    <t>XS2982117694</t>
  </si>
  <si>
    <t>LTMCIM</t>
  </si>
  <si>
    <t>LTMCIM 4 7/8 01/31/31</t>
  </si>
  <si>
    <t>LTMCIM CDS EUR SR 5Y D14 Corp</t>
  </si>
  <si>
    <t>XS3047452316</t>
  </si>
  <si>
    <t>LXSGR</t>
  </si>
  <si>
    <t>LXSGR 4 3/8 06/24/31</t>
  </si>
  <si>
    <t>LXSGR CDS EUR SR 5Y D14 Corp</t>
  </si>
  <si>
    <t>XS3402928637</t>
  </si>
  <si>
    <t>MATTER</t>
  </si>
  <si>
    <t>MATTER 4 1/2 01/30/30</t>
  </si>
  <si>
    <t>MATTER B CDS EUR SR 5Y D14 Corp</t>
  </si>
  <si>
    <t>XS2985311518</t>
  </si>
  <si>
    <t>METSA</t>
  </si>
  <si>
    <t>METSA 3 7/8 05/28/31</t>
  </si>
  <si>
    <t>METSA CDS EUR SR 5Y D14 Corp</t>
  </si>
  <si>
    <t>FI4000590864</t>
  </si>
  <si>
    <t>MLTIVR</t>
  </si>
  <si>
    <t>MLTIVR 7 1/8 05/17/31</t>
  </si>
  <si>
    <t>MLTIVR CDS EUR SR 5Y D14 Corp</t>
  </si>
  <si>
    <t>XS2816638873</t>
  </si>
  <si>
    <t>MMBFP</t>
  </si>
  <si>
    <t>MMBFP 4 3/4 06/12/30</t>
  </si>
  <si>
    <t>MMBFP CDS EUR SR 5Y D14 Corp</t>
  </si>
  <si>
    <t>FR001400YQA5</t>
  </si>
  <si>
    <t>NEXIIM</t>
  </si>
  <si>
    <t>NEXIIM 3 7/8 05/21/31</t>
  </si>
  <si>
    <t>NEXIIM CDS EUR SR 5Y D14 Corp</t>
  </si>
  <si>
    <t>XS3077018714</t>
  </si>
  <si>
    <t>NOKIA</t>
  </si>
  <si>
    <t>NOKIA 4 3/8 08/21/31</t>
  </si>
  <si>
    <t>NOKIA CDS EUR SR 5Y D14 Corp</t>
  </si>
  <si>
    <t>XS2488809612</t>
  </si>
  <si>
    <t>OI</t>
  </si>
  <si>
    <t>OI 4 3/4 02/15/30</t>
  </si>
  <si>
    <t>OI EURO CDS EUR SR 5Y D14 Corp</t>
  </si>
  <si>
    <t>USN6704RAK79</t>
  </si>
  <si>
    <t>OPALBD</t>
  </si>
  <si>
    <t>OPALBD 6 1/2 03/31/32</t>
  </si>
  <si>
    <t>CZ060818 Curncy</t>
  </si>
  <si>
    <t>USF6S35CAA17</t>
  </si>
  <si>
    <t>PFDLN</t>
  </si>
  <si>
    <t>PFDLN 3 1/2 10/15/26</t>
  </si>
  <si>
    <t>PFDLN CDS EUR SR 5Y D14 Corp</t>
  </si>
  <si>
    <t>XS2347091279</t>
  </si>
  <si>
    <t>PICSUR</t>
  </si>
  <si>
    <t>PICSUR 6 7/8 10/31/32</t>
  </si>
  <si>
    <t>PICSUR CDS EUR SR 5Y D14 Corp</t>
  </si>
  <si>
    <t>XS3222747266</t>
  </si>
  <si>
    <t>PPCGA</t>
  </si>
  <si>
    <t>PPCGA 4 5/8 10/31/31</t>
  </si>
  <si>
    <t>PPCGA A CDS EUR SR 5Y D14 Corp</t>
  </si>
  <si>
    <t>XS2929387996</t>
  </si>
  <si>
    <t>QPARKH</t>
  </si>
  <si>
    <t>QPARKH 3 7/8 09/01/31</t>
  </si>
  <si>
    <t>QPARKH CDS EUR SR 5Y D14 Corp</t>
  </si>
  <si>
    <t>XS3262575320</t>
  </si>
  <si>
    <t>RENAUL</t>
  </si>
  <si>
    <t>RENAUL 3 7/8 09/30/30</t>
  </si>
  <si>
    <t>RENAULT CDS EUR SR 5Y D14 Corp</t>
  </si>
  <si>
    <t>FR0014010DR1</t>
  </si>
  <si>
    <t>RXLFP</t>
  </si>
  <si>
    <t>RXLFP 5 1/4 09/15/30</t>
  </si>
  <si>
    <t>RXLFP CDS EUR SR 5Y D14 Corp</t>
  </si>
  <si>
    <t>XS2655993033</t>
  </si>
  <si>
    <t>SAZGR</t>
  </si>
  <si>
    <t>SAZGR 5 5/8 02/21/30</t>
  </si>
  <si>
    <t>SAZGR CDS EUR SR 5Y D14 Corp</t>
  </si>
  <si>
    <t>XS2920589699</t>
  </si>
  <si>
    <t>SAZKAG</t>
  </si>
  <si>
    <t>SAZKAG 4 5/8 08/15/31</t>
  </si>
  <si>
    <t>SAZKAG CDS EUR SR 5Y D14 Corp</t>
  </si>
  <si>
    <t>XS3291732918</t>
  </si>
  <si>
    <t>SBBBSS</t>
  </si>
  <si>
    <t>SBBBSS 1 1/8 09/26/29</t>
  </si>
  <si>
    <t>SBBBSS CDS EUR SR 5Y D14 Corp</t>
  </si>
  <si>
    <t>XS2962827072</t>
  </si>
  <si>
    <t>SESGFP</t>
  </si>
  <si>
    <t>SESGFP 4 7/8 06/24/33</t>
  </si>
  <si>
    <t>SESGFP CDS EUR SR 5Y D14 Corp</t>
  </si>
  <si>
    <t>XS3100773996</t>
  </si>
  <si>
    <t>SHAEFF</t>
  </si>
  <si>
    <t>SHAEFF 5 3/8 04/01/31</t>
  </si>
  <si>
    <t>SCHAAG CDS EUR SR 5Y D14 Corp</t>
  </si>
  <si>
    <t>DE000A4DFLQ6</t>
  </si>
  <si>
    <t>SPMIM</t>
  </si>
  <si>
    <t>SPMIM 4 7/8 05/30/30</t>
  </si>
  <si>
    <t>SPMIM CDS EUR SR 5Y D14 Corp</t>
  </si>
  <si>
    <t>XS2826718087</t>
  </si>
  <si>
    <t>STENA</t>
  </si>
  <si>
    <t>STENA 7 1/4 01/15/31</t>
  </si>
  <si>
    <t>STENA CDS EUR SR 5Y D14 Corp</t>
  </si>
  <si>
    <t>USL62788AE12</t>
  </si>
  <si>
    <t>STLA</t>
  </si>
  <si>
    <t>STLA 3 7/8 06/06/31</t>
  </si>
  <si>
    <t>FCA IM CDS EUR SR 5Y D14 Corp</t>
  </si>
  <si>
    <t>XS3090081897</t>
  </si>
  <si>
    <t>STYRO</t>
  </si>
  <si>
    <t>STYRO 6 3/4 04/15/30</t>
  </si>
  <si>
    <t>STYRO CDS EUR SR 5Y D14 Corp</t>
  </si>
  <si>
    <t>XS2915461458</t>
  </si>
  <si>
    <t>SUNN</t>
  </si>
  <si>
    <t>SUNN 4 7/8 07/15/31</t>
  </si>
  <si>
    <t>SUNN CDS EUR SR 5Y D14 Corp</t>
  </si>
  <si>
    <t>USN9042BAA90</t>
  </si>
  <si>
    <t>SZUGR</t>
  </si>
  <si>
    <t>SZUGR 4 1/8 01/29/32</t>
  </si>
  <si>
    <t>SZUGR CDS EUR SR 5Y D14 Corp</t>
  </si>
  <si>
    <t>XS2970728205</t>
  </si>
  <si>
    <t>TITANL</t>
  </si>
  <si>
    <t>TITANL 5 07/01/31</t>
  </si>
  <si>
    <t>CZ028589 Curncy</t>
  </si>
  <si>
    <t>XS3101363011</t>
  </si>
  <si>
    <t>TITIM</t>
  </si>
  <si>
    <t>TITIM 3 5/8 09/30/30</t>
  </si>
  <si>
    <t>TITIM CDS EUR SR 5Y D14 Corp</t>
  </si>
  <si>
    <t>XS3194057553</t>
  </si>
  <si>
    <t>TTMTIN</t>
  </si>
  <si>
    <t>TTMTIN 5 1/2 07/15/29</t>
  </si>
  <si>
    <t>JAGLN CDS EUR SR 5Y D14 Corp</t>
  </si>
  <si>
    <t>US47010BAM63</t>
  </si>
  <si>
    <t>TUICRU</t>
  </si>
  <si>
    <t>TUICRU 5 05/15/30</t>
  </si>
  <si>
    <t>TUICRU CDS EUR SR 5Y D14 Corp</t>
  </si>
  <si>
    <t>XS2941359288</t>
  </si>
  <si>
    <t>TUIGR</t>
  </si>
  <si>
    <t>TUIGR 5 7/8 03/15/29</t>
  </si>
  <si>
    <t>TUIGR CDS EUR SR 5Y D14 Corp</t>
  </si>
  <si>
    <t>XS2776523669</t>
  </si>
  <si>
    <t>VERISR</t>
  </si>
  <si>
    <t>VERISR 5 1/2 05/15/30</t>
  </si>
  <si>
    <t>VERISR CDS EUR SR 5Y D14 Corp</t>
  </si>
  <si>
    <t>XS2816753979</t>
  </si>
  <si>
    <t>VMED</t>
  </si>
  <si>
    <t>VMED 3 3/4 07/15/30</t>
  </si>
  <si>
    <t>VMED CDS EUR SR 5Y D14 Corp</t>
  </si>
  <si>
    <t>XS2189766970</t>
  </si>
  <si>
    <t>VOVCAB</t>
  </si>
  <si>
    <t>VOVCAB 4 3/4 05/08/30</t>
  </si>
  <si>
    <t>VOVCAB CDS EUR SR 5Y D14 Corp</t>
  </si>
  <si>
    <t>XS2811097075</t>
  </si>
  <si>
    <t>WLNFP</t>
  </si>
  <si>
    <t>WLNFP 5 1/2 06/10/30</t>
  </si>
  <si>
    <t>WLNFP CDS EUR SR 5Y D14 Corp</t>
  </si>
  <si>
    <t>FR0014010A08</t>
  </si>
  <si>
    <t>ZEGLN</t>
  </si>
  <si>
    <t>ZEGLN 4 1/4 01/15/32</t>
  </si>
  <si>
    <t>ZEGLN CDS EUR SR 5Y D14 Corp</t>
  </si>
  <si>
    <t>XS3430526346</t>
  </si>
  <si>
    <t>ZFFNGR</t>
  </si>
  <si>
    <t>ZFFNGR 5 1/2 02/17/32</t>
  </si>
  <si>
    <t>ZFFNGR B CDS EUR SR 5Y D14 Corp</t>
  </si>
  <si>
    <t>XS3296386264</t>
  </si>
  <si>
    <t>ZIGGO</t>
  </si>
  <si>
    <t>ZIGGO 6 1/8 11/15/32</t>
  </si>
  <si>
    <t>LGE HOLDCO VI CDS EUR SR 5Y D14 Corp</t>
  </si>
  <si>
    <t>XS2914769299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</si>
</sst>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#,##0.0;[Red]\(#,##0.0\)"/>
    <numFmt numFmtId="166" formatCode="0.0\%"/>
    <numFmt numFmtId="167" formatCode="#,##0.000"/>
  </numFmts>
  <fonts count="7" x14ac:knownFonts="1">
    <font>
      <sz val="11"/>
      <color theme="1"/>
      <name val="Calibri"/>
      <family val="2"/>
      <scheme val="minor"/>
    </font>
    <font>
      <b/>
      <i/>
      <sz val="8"/>
      <name val="Calibri"/>
    </font>
    <font>
      <b/>
      <sz val="8"/>
      <name val="Calibri"/>
    </font>
    <font>
      <b/>
      <sz val="8"/>
      <color rgb="FF1F3864"/>
      <name val="Calibri"/>
    </font>
    <font>
      <sz val="8"/>
      <color rgb="FF1F3864"/>
      <name val="Calibri"/>
    </font>
    <font>
      <sz val="8"/>
      <name val="Calibri"/>
    </font>
    <font>
      <b/>
      <sz val="8"/>
      <color rgb="FFFFFFFF"/>
      <name val="Calibri"/>
    </font>
  </fonts>
  <fills count="8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DDEBF7"/>
        <bgColor rgb="FFDDEBF7"/>
      </patternFill>
    </fill>
    <fill>
      <patternFill patternType="solid">
        <fgColor rgb="FFFCE4D6"/>
        <bgColor rgb="FFFCE4D6"/>
      </patternFill>
    </fill>
    <fill>
      <patternFill patternType="solid">
        <fgColor rgb="FFD9D9D9"/>
        <bgColor rgb="FFD9D9D9"/>
      </patternFill>
    </fill>
    <fill>
      <patternFill patternType="solid">
        <fgColor rgb="FFC6EFCE"/>
        <bgColor rgb="FFC6EFCE"/>
      </patternFill>
    </fill>
    <fill>
      <patternFill patternType="solid">
        <fgColor rgb="FF1F3864"/>
        <bgColor rgb="FF1F3864"/>
      </patternFill>
    </fill>
  </fills>
  <borders count="11">
    <border>
      <left/>
      <right/>
      <top/>
      <bottom/>
      <diagonal/>
    </border>
    <border>
      <left style="thin">
        <color rgb="FFB0B0B0"/>
      </left>
      <right/>
      <top style="thin">
        <color rgb="FFB0B0B0"/>
      </top>
      <bottom/>
      <diagonal/>
    </border>
    <border>
      <left/>
      <right/>
      <top style="thin">
        <color rgb="FFB0B0B0"/>
      </top>
      <bottom/>
      <diagonal/>
    </border>
    <border>
      <left/>
      <right style="thin">
        <color rgb="FFB0B0B0"/>
      </right>
      <top style="thin">
        <color rgb="FFB0B0B0"/>
      </top>
      <bottom/>
      <diagonal/>
    </border>
    <border>
      <left style="thin">
        <color rgb="FFB0B0B0"/>
      </left>
      <right/>
      <top/>
      <bottom/>
      <diagonal/>
    </border>
    <border>
      <left/>
      <right/>
      <top/>
      <bottom/>
      <diagonal/>
    </border>
    <border>
      <left/>
      <right style="thin">
        <color rgb="FFB0B0B0"/>
      </right>
      <top/>
      <bottom/>
      <diagonal/>
    </border>
    <border>
      <left style="thin">
        <color rgb="FFB0B0B0"/>
      </left>
      <right/>
      <top/>
      <bottom style="thin">
        <color rgb="FFB0B0B0"/>
      </bottom>
      <diagonal/>
    </border>
    <border>
      <left/>
      <right/>
      <top/>
      <bottom style="thin">
        <color rgb="FFB0B0B0"/>
      </bottom>
      <diagonal/>
    </border>
    <border>
      <left/>
      <right style="thin">
        <color rgb="FFB0B0B0"/>
      </right>
      <top/>
      <bottom style="thin">
        <color rgb="FFB0B0B0"/>
      </bottom>
      <diagonal/>
    </border>
    <border>
      <left style="medium">
        <color rgb="FF808080"/>
      </left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165" fontId="2" fillId="0" borderId="0" xfId="0" applyNumberFormat="1" applyFont="1"/>
    <xf numFmtId="0" fontId="6" fillId="7" borderId="0" xfId="0" applyFont="1" applyFill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5" fontId="5" fillId="0" borderId="5" xfId="0" applyNumberFormat="1" applyFont="1" applyBorder="1" applyAlignment="1">
      <alignment horizontal="center" vertical="center"/>
    </xf>
    <xf numFmtId="166" fontId="5" fillId="0" borderId="5" xfId="0" applyNumberFormat="1" applyFont="1" applyBorder="1" applyAlignment="1">
      <alignment horizontal="center" vertical="center"/>
    </xf>
    <xf numFmtId="166" fontId="5" fillId="0" borderId="6" xfId="0" applyNumberFormat="1" applyFont="1" applyBorder="1" applyAlignment="1">
      <alignment horizontal="center" vertical="center"/>
    </xf>
    <xf numFmtId="167" fontId="5" fillId="5" borderId="10" xfId="0" applyNumberFormat="1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67" fontId="5" fillId="5" borderId="0" xfId="0" applyNumberFormat="1" applyFont="1" applyFill="1" applyAlignment="1">
      <alignment horizontal="center" vertical="center"/>
    </xf>
    <xf numFmtId="165" fontId="5" fillId="5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66" fontId="5" fillId="5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4" fontId="5" fillId="2" borderId="0" xfId="0" applyNumberFormat="1" applyFont="1" applyFill="1" applyAlignment="1">
      <alignment horizontal="center" vertical="center"/>
    </xf>
    <xf numFmtId="165" fontId="5" fillId="2" borderId="0" xfId="0" applyNumberFormat="1" applyFont="1" applyFill="1" applyAlignment="1">
      <alignment horizontal="center" vertical="center"/>
    </xf>
    <xf numFmtId="3" fontId="5" fillId="2" borderId="0" xfId="0" applyNumberFormat="1" applyFont="1" applyFill="1" applyAlignment="1">
      <alignment horizontal="center" vertical="center"/>
    </xf>
    <xf numFmtId="165" fontId="5" fillId="2" borderId="4" xfId="0" applyNumberFormat="1" applyFont="1" applyFill="1" applyBorder="1" applyAlignment="1">
      <alignment horizontal="center" vertical="center"/>
    </xf>
    <xf numFmtId="165" fontId="5" fillId="2" borderId="5" xfId="0" applyNumberFormat="1" applyFont="1" applyFill="1" applyBorder="1" applyAlignment="1">
      <alignment horizontal="center" vertical="center"/>
    </xf>
    <xf numFmtId="166" fontId="5" fillId="2" borderId="5" xfId="0" applyNumberFormat="1" applyFont="1" applyFill="1" applyBorder="1" applyAlignment="1">
      <alignment horizontal="center" vertical="center"/>
    </xf>
    <xf numFmtId="166" fontId="5" fillId="2" borderId="6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65" fontId="5" fillId="2" borderId="7" xfId="0" applyNumberFormat="1" applyFont="1" applyFill="1" applyBorder="1" applyAlignment="1">
      <alignment horizontal="center" vertical="center"/>
    </xf>
    <xf numFmtId="165" fontId="5" fillId="2" borderId="8" xfId="0" applyNumberFormat="1" applyFont="1" applyFill="1" applyBorder="1" applyAlignment="1">
      <alignment horizontal="center" vertical="center"/>
    </xf>
    <xf numFmtId="166" fontId="5" fillId="2" borderId="8" xfId="0" applyNumberFormat="1" applyFont="1" applyFill="1" applyBorder="1" applyAlignment="1">
      <alignment horizontal="center" vertical="center"/>
    </xf>
    <xf numFmtId="166" fontId="5" fillId="2" borderId="9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/>
    <xf numFmtId="0" fontId="1" fillId="0" borderId="0" xfId="0" applyFont="1" applyAlignment="1">
      <alignment horizontal="center" vertical="center"/>
    </xf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0" fillId="0" borderId="3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BDP|16728384759239804379</stp>
        <tr r="AA55" s="1"/>
      </tp>
      <tp t="s">
        <v>#N/A N/A</v>
        <stp/>
        <stp>BDP|14281690968507919931</stp>
        <tr r="AB193" s="1"/>
      </tp>
      <tp t="s">
        <v>#N/A N/A</v>
        <stp/>
        <stp>BDP|14033645559228654520</stp>
        <tr r="AC267" s="1"/>
      </tp>
      <tp t="s">
        <v>#N/A N/A</v>
        <stp/>
        <stp>BDP|11962979067214679070</stp>
        <tr r="X278" s="1"/>
      </tp>
      <tp t="s">
        <v>#N/A N/A</v>
        <stp/>
        <stp>BDP|11423968497802424992</stp>
        <tr r="AA18" s="1"/>
      </tp>
      <tp t="s">
        <v>#N/A N/A</v>
        <stp/>
        <stp>BDP|15272226705788852563</stp>
        <tr r="AA165" s="1"/>
      </tp>
      <tp t="s">
        <v>#N/A N/A</v>
        <stp/>
        <stp>BDP|10881156276389491543</stp>
        <tr r="X221" s="1"/>
      </tp>
      <tp t="s">
        <v>#N/A N/A</v>
        <stp/>
        <stp>BDP|13831681999630416663</stp>
        <tr r="X206" s="1"/>
      </tp>
      <tp t="s">
        <v>#N/A N/A</v>
        <stp/>
        <stp>BDP|15810903818110295783</stp>
        <tr r="X172" s="1"/>
      </tp>
      <tp t="s">
        <v>#N/A N/A</v>
        <stp/>
        <stp>BDP|14829891644887884508</stp>
        <tr r="AA189" s="1"/>
      </tp>
      <tp t="s">
        <v>#N/A N/A</v>
        <stp/>
        <stp>BDP|12250861610032169388</stp>
        <tr r="AA26" s="1"/>
      </tp>
      <tp t="s">
        <v>#N/A N/A</v>
        <stp/>
        <stp>BDP|14408487855778142752</stp>
        <tr r="AC27" s="1"/>
      </tp>
      <tp t="s">
        <v>#N/A N/A</v>
        <stp/>
        <stp>BDP|11945454827298248543</stp>
        <tr r="AB155" s="1"/>
      </tp>
      <tp t="s">
        <v>#N/A N/A</v>
        <stp/>
        <stp>BDP|13626759494115249297</stp>
        <tr r="Y37" s="1"/>
      </tp>
      <tp t="s">
        <v>#N/A N/A</v>
        <stp/>
        <stp>BDP|15217793532898192340</stp>
        <tr r="X15" s="1"/>
      </tp>
      <tp t="s">
        <v>#N/A N/A</v>
        <stp/>
        <stp>BDP|10961467537114201962</stp>
        <tr r="AC134" s="1"/>
      </tp>
      <tp t="s">
        <v>#N/A N/A</v>
        <stp/>
        <stp>BDP|10567195770824700847</stp>
        <tr r="AB248" s="1"/>
      </tp>
      <tp t="s">
        <v>#N/A N/A</v>
        <stp/>
        <stp>BDP|13160486129788925763</stp>
        <tr r="AB295" s="1"/>
      </tp>
      <tp t="s">
        <v>#N/A N/A</v>
        <stp/>
        <stp>BDP|17818116045210313812</stp>
        <tr r="AB240" s="1"/>
      </tp>
      <tp t="s">
        <v>#N/A N/A</v>
        <stp/>
        <stp>BDP|17814016148751742881</stp>
        <tr r="AB182" s="1"/>
      </tp>
      <tp t="s">
        <v>#N/A N/A</v>
        <stp/>
        <stp>BDP|16796897314617369285</stp>
        <tr r="AC248" s="1"/>
      </tp>
      <tp t="s">
        <v>#N/A N/A</v>
        <stp/>
        <stp>BDP|10165667480320699400</stp>
        <tr r="Y9" s="1"/>
      </tp>
      <tp t="s">
        <v>#N/A N/A</v>
        <stp/>
        <stp>BDP|11793251815661501924</stp>
        <tr r="AA259" s="1"/>
      </tp>
      <tp t="s">
        <v>#N/A N/A</v>
        <stp/>
        <stp>BDP|10107750482425547039</stp>
        <tr r="AA278" s="1"/>
      </tp>
      <tp t="s">
        <v>#N/A N/A</v>
        <stp/>
        <stp>BDP|11348971327645430573</stp>
        <tr r="AA199" s="1"/>
      </tp>
      <tp t="s">
        <v>#N/A N/A</v>
        <stp/>
        <stp>BDP|17270427905500523905</stp>
        <tr r="Y71" s="1"/>
      </tp>
      <tp t="s">
        <v>#N/A N/A</v>
        <stp/>
        <stp>BDP|17404002410045571913</stp>
        <tr r="Y79" s="1"/>
      </tp>
      <tp t="s">
        <v>#N/A N/A</v>
        <stp/>
        <stp>BDP|14978967609740119770</stp>
        <tr r="Y135" s="1"/>
      </tp>
      <tp t="s">
        <v>#N/A N/A</v>
        <stp/>
        <stp>BDP|10034820540912510448</stp>
        <tr r="AB320" s="1"/>
      </tp>
      <tp t="s">
        <v>#N/A N/A</v>
        <stp/>
        <stp>BDP|12422416977193703867</stp>
        <tr r="AB152" s="1"/>
      </tp>
      <tp t="s">
        <v>#N/A N/A</v>
        <stp/>
        <stp>BDP|11324985678161964492</stp>
        <tr r="AC259" s="1"/>
      </tp>
      <tp t="s">
        <v>#N/A N/A</v>
        <stp/>
        <stp>BDP|15252389368459766369</stp>
        <tr r="AB282" s="1"/>
      </tp>
      <tp t="s">
        <v>#N/A N/A</v>
        <stp/>
        <stp>BDP|15230248997260230411</stp>
        <tr r="AA6" s="1"/>
      </tp>
      <tp t="s">
        <v>#N/A N/A</v>
        <stp/>
        <stp>BDP|14948648550025970867</stp>
        <tr r="X257" s="1"/>
      </tp>
      <tp t="s">
        <v>#N/A N/A</v>
        <stp/>
        <stp>BDP|15350303277783386859</stp>
        <tr r="AA187" s="1"/>
      </tp>
      <tp t="s">
        <v>#N/A N/A</v>
        <stp/>
        <stp>BDP|11285040302313437828</stp>
        <tr r="X114" s="1"/>
      </tp>
      <tp t="s">
        <v>#N/A N/A</v>
        <stp/>
        <stp>BDP|14457354785902136702</stp>
        <tr r="AB184" s="1"/>
      </tp>
      <tp t="s">
        <v>#N/A N/A</v>
        <stp/>
        <stp>BDP|15019947057790318358</stp>
        <tr r="X213" s="1"/>
      </tp>
      <tp t="s">
        <v>#N/A N/A</v>
        <stp/>
        <stp>BDP|15050632084309001827</stp>
        <tr r="AB156" s="1"/>
      </tp>
      <tp t="s">
        <v>#N/A N/A</v>
        <stp/>
        <stp>BDP|12171152755554125848</stp>
        <tr r="X97" s="1"/>
      </tp>
      <tp t="s">
        <v>#N/A N/A</v>
        <stp/>
        <stp>BDP|18233514824887119227</stp>
        <tr r="X126" s="1"/>
      </tp>
      <tp t="s">
        <v>#N/A N/A</v>
        <stp/>
        <stp>BDP|16261036005368998494</stp>
        <tr r="AC229" s="1"/>
      </tp>
      <tp t="s">
        <v>#N/A N/A</v>
        <stp/>
        <stp>BDP|14252055721735349911</stp>
        <tr r="AB201" s="1"/>
      </tp>
      <tp t="s">
        <v>#N/A N/A</v>
        <stp/>
        <stp>BDP|12326250043057816992</stp>
        <tr r="AB58" s="1"/>
      </tp>
      <tp t="s">
        <v>#N/A N/A</v>
        <stp/>
        <stp>BDP|18196581346994316780</stp>
        <tr r="AA22" s="1"/>
      </tp>
      <tp t="s">
        <v>#N/A N/A</v>
        <stp/>
        <stp>BDP|10202542043953930888</stp>
        <tr r="AA98" s="1"/>
      </tp>
      <tp t="s">
        <v>#N/A N/A</v>
        <stp/>
        <stp>BDP|15774748984988311801</stp>
        <tr r="AB286" s="1"/>
      </tp>
      <tp t="s">
        <v>#N/A N/A</v>
        <stp/>
        <stp>BDP|12224852433651523250</stp>
        <tr r="AA97" s="1"/>
      </tp>
      <tp t="s">
        <v>#N/A N/A</v>
        <stp/>
        <stp>BDP|16794304154668559217</stp>
        <tr r="X149" s="1"/>
      </tp>
      <tp t="s">
        <v>#N/A N/A</v>
        <stp/>
        <stp>BDP|11888648021529945629</stp>
        <tr r="X60" s="1"/>
      </tp>
      <tp t="s">
        <v>#N/A N/A</v>
        <stp/>
        <stp>BDP|14980413283624443696</stp>
        <tr r="AB221" s="1"/>
      </tp>
      <tp t="s">
        <v>#N/A N/A</v>
        <stp/>
        <stp>BDP|17852712701262718892</stp>
        <tr r="AA295" s="1"/>
      </tp>
      <tp t="s">
        <v>#N/A N/A</v>
        <stp/>
        <stp>BDP|10113411868551299812</stp>
        <tr r="AC5" s="1"/>
      </tp>
      <tp t="s">
        <v>#N/A N/A</v>
        <stp/>
        <stp>BDP|14324061468119297045</stp>
        <tr r="AB273" s="1"/>
      </tp>
      <tp t="s">
        <v>#N/A N/A</v>
        <stp/>
        <stp>BDP|15884374692507003365</stp>
        <tr r="Y6" s="1"/>
      </tp>
      <tp t="s">
        <v>#N/A N/A</v>
        <stp/>
        <stp>BDP|15814403681616548477</stp>
        <tr r="AB260" s="1"/>
      </tp>
      <tp t="s">
        <v>#N/A N/A</v>
        <stp/>
        <stp>BDP|16019241653043970950</stp>
        <tr r="AB105" s="1"/>
      </tp>
      <tp t="s">
        <v>#N/A N/A</v>
        <stp/>
        <stp>BDP|16542145388205323108</stp>
        <tr r="AA225" s="1"/>
      </tp>
      <tp t="s">
        <v>#N/A N/A</v>
        <stp/>
        <stp>BDP|11390564603108808743</stp>
        <tr r="AA137" s="1"/>
      </tp>
      <tp t="s">
        <v>#N/A N/A</v>
        <stp/>
        <stp>BDP|15831289664499935370</stp>
        <tr r="Y198" s="1"/>
      </tp>
      <tp t="s">
        <v>#N/A N/A</v>
        <stp/>
        <stp>BDP|13073219393917636496</stp>
        <tr r="AA34" s="1"/>
      </tp>
      <tp t="s">
        <v>#N/A N/A</v>
        <stp/>
        <stp>BDP|15689297104425677910</stp>
        <tr r="Y180" s="1"/>
      </tp>
      <tp t="s">
        <v>#N/A N/A</v>
        <stp/>
        <stp>BDP|10507812122780993106</stp>
        <tr r="AC86" s="1"/>
      </tp>
      <tp t="s">
        <v>#N/A N/A</v>
        <stp/>
        <stp>BDP|16170438448319783436</stp>
        <tr r="X55" s="1"/>
      </tp>
      <tp t="s">
        <v>#N/A N/A</v>
        <stp/>
        <stp>BDP|17716561836728544239</stp>
        <tr r="AC66" s="1"/>
      </tp>
      <tp t="s">
        <v>#N/A N/A</v>
        <stp/>
        <stp>BDP|17459011003795219951</stp>
        <tr r="AA213" s="1"/>
      </tp>
      <tp t="s">
        <v>#N/A N/A</v>
        <stp/>
        <stp>BDP|10022939047227420107</stp>
        <tr r="X275" s="1"/>
      </tp>
      <tp t="s">
        <v>#N/A N/A</v>
        <stp/>
        <stp>BDP|11430073773025353830</stp>
        <tr r="AA57" s="1"/>
      </tp>
      <tp t="s">
        <v>#N/A N/A</v>
        <stp/>
        <stp>BDP|10984976400223710198</stp>
        <tr r="AA157" s="1"/>
      </tp>
      <tp t="s">
        <v>#N/A N/A</v>
        <stp/>
        <stp>BDP|16164625365765267870</stp>
        <tr r="AC318" s="1"/>
      </tp>
      <tp t="s">
        <v>#N/A N/A</v>
        <stp/>
        <stp>BDP|14539228030207467909</stp>
        <tr r="Y48" s="1"/>
      </tp>
      <tp t="s">
        <v>#N/A N/A</v>
        <stp/>
        <stp>BDP|11663875583339876392</stp>
        <tr r="AB166" s="1"/>
      </tp>
      <tp t="s">
        <v>#N/A N/A</v>
        <stp/>
        <stp>BDP|11084679701009795533</stp>
        <tr r="X315" s="1"/>
      </tp>
      <tp t="s">
        <v>#N/A N/A</v>
        <stp/>
        <stp>BDP|14569619982569790838</stp>
        <tr r="X155" s="1"/>
      </tp>
      <tp t="s">
        <v>#N/A N/A</v>
        <stp/>
        <stp>BDP|17182034253598747142</stp>
        <tr r="AC171" s="1"/>
      </tp>
      <tp t="s">
        <v>#N/A N/A</v>
        <stp/>
        <stp>BDP|13936089894040605119</stp>
        <tr r="Y50" s="1"/>
      </tp>
      <tp t="s">
        <v>#N/A N/A</v>
        <stp/>
        <stp>BDP|10600346812298450162</stp>
        <tr r="X164" s="1"/>
      </tp>
      <tp t="s">
        <v>#N/A N/A</v>
        <stp/>
        <stp>BDP|14496834123015699001</stp>
        <tr r="Y229" s="1"/>
      </tp>
      <tp t="s">
        <v>#N/A N/A</v>
        <stp/>
        <stp>BDP|11955629951818782181</stp>
        <tr r="Y216" s="1"/>
      </tp>
      <tp t="s">
        <v>#N/A N/A</v>
        <stp/>
        <stp>BDP|16984308709196258873</stp>
        <tr r="AA17" s="1"/>
      </tp>
      <tp t="s">
        <v>#N/A N/A</v>
        <stp/>
        <stp>BDP|13212008046639319533</stp>
        <tr r="AC228" s="1"/>
      </tp>
      <tp t="s">
        <v>#N/A N/A</v>
        <stp/>
        <stp>BDP|15264180588055781218</stp>
        <tr r="AB330" s="1"/>
      </tp>
      <tp t="s">
        <v>#N/A N/A</v>
        <stp/>
        <stp>BDP|15823314585226297393</stp>
        <tr r="AA272" s="1"/>
      </tp>
      <tp t="s">
        <v>#N/A N/A</v>
        <stp/>
        <stp>BDP|10345272776459753724</stp>
        <tr r="AA130" s="1"/>
      </tp>
      <tp t="s">
        <v>#N/A N/A</v>
        <stp/>
        <stp>BDP|10891888760021198479</stp>
        <tr r="Y318" s="1"/>
      </tp>
      <tp t="s">
        <v>#N/A N/A</v>
        <stp/>
        <stp>BDP|14005336545321940990</stp>
        <tr r="AB84" s="1"/>
      </tp>
      <tp t="s">
        <v>#N/A N/A</v>
        <stp/>
        <stp>BDP|17475183024788085410</stp>
        <tr r="AB46" s="1"/>
      </tp>
      <tp t="s">
        <v>#N/A N/A</v>
        <stp/>
        <stp>BDP|10364894221264626649</stp>
        <tr r="AA156" s="1"/>
      </tp>
      <tp t="s">
        <v>#N/A N/A</v>
        <stp/>
        <stp>BDP|12590485367550662850</stp>
        <tr r="AB220" s="1"/>
      </tp>
      <tp t="s">
        <v>#N/A N/A</v>
        <stp/>
        <stp>BDP|13166327587209941948</stp>
        <tr r="Y284" s="1"/>
      </tp>
      <tp t="s">
        <v>#N/A N/A</v>
        <stp/>
        <stp>BDP|10276318288642515164</stp>
        <tr r="X138" s="1"/>
      </tp>
      <tp t="s">
        <v>#N/A N/A</v>
        <stp/>
        <stp>BDP|11071834248323061635</stp>
        <tr r="Y156" s="1"/>
      </tp>
      <tp t="s">
        <v>#N/A N/A</v>
        <stp/>
        <stp>BDP|12359859853201819659</stp>
        <tr r="AA245" s="1"/>
      </tp>
      <tp t="s">
        <v>#N/A N/A</v>
        <stp/>
        <stp>BDP|16476920545305919615</stp>
        <tr r="X318" s="1"/>
      </tp>
      <tp t="s">
        <v>#N/A N/A</v>
        <stp/>
        <stp>BDP|14131950082728877554</stp>
        <tr r="AC262" s="1"/>
      </tp>
      <tp t="s">
        <v>#N/A N/A</v>
        <stp/>
        <stp>BDP|10911254564025688945</stp>
        <tr r="X316" s="1"/>
      </tp>
      <tp t="s">
        <v>#N/A N/A</v>
        <stp/>
        <stp>BDP|17517236010098471480</stp>
        <tr r="AC124" s="1"/>
      </tp>
      <tp t="s">
        <v>#N/A N/A</v>
        <stp/>
        <stp>BDP|11577089980882768306</stp>
        <tr r="AC96" s="1"/>
      </tp>
      <tp t="s">
        <v>#N/A N/A</v>
        <stp/>
        <stp>BDP|12644199233361320927</stp>
        <tr r="AB147" s="1"/>
      </tp>
      <tp t="s">
        <v>#N/A N/A</v>
        <stp/>
        <stp>BDP|10812889777783338496</stp>
        <tr r="AC202" s="1"/>
      </tp>
      <tp t="s">
        <v>#N/A N/A</v>
        <stp/>
        <stp>BDP|10844260645828065662</stp>
        <tr r="AA204" s="1"/>
      </tp>
      <tp t="s">
        <v>#N/A N/A</v>
        <stp/>
        <stp>BDP|15298905908534178062</stp>
        <tr r="AC75" s="1"/>
      </tp>
      <tp t="s">
        <v>#N/A N/A</v>
        <stp/>
        <stp>BDP|13634582741658443262</stp>
        <tr r="X332" s="1"/>
      </tp>
      <tp t="s">
        <v>#N/A N/A</v>
        <stp/>
        <stp>BDP|12076949197098861278</stp>
        <tr r="X287" s="1"/>
      </tp>
      <tp t="s">
        <v>#N/A N/A</v>
        <stp/>
        <stp>BDP|15258221352943901942</stp>
        <tr r="AA163" s="1"/>
      </tp>
      <tp t="s">
        <v>#N/A N/A</v>
        <stp/>
        <stp>BDP|13723964219385045676</stp>
        <tr r="AB120" s="1"/>
      </tp>
      <tp t="s">
        <v>#N/A N/A</v>
        <stp/>
        <stp>BDP|15692872555291868138</stp>
        <tr r="AC28" s="1"/>
      </tp>
      <tp t="s">
        <v>#N/A N/A</v>
        <stp/>
        <stp>BDP|17800290061199987277</stp>
        <tr r="AA286" s="1"/>
      </tp>
      <tp t="s">
        <v>#N/A N/A</v>
        <stp/>
        <stp>BDP|10668923618085501578</stp>
        <tr r="AA81" s="1"/>
      </tp>
      <tp t="s">
        <v>#N/A N/A</v>
        <stp/>
        <stp>BDP|12133433599360338762</stp>
        <tr r="AB335" s="1"/>
      </tp>
      <tp t="s">
        <v>#N/A N/A</v>
        <stp/>
        <stp>BDP|13363559992064667331</stp>
        <tr r="AB52" s="1"/>
      </tp>
      <tp t="s">
        <v>#N/A N/A</v>
        <stp/>
        <stp>BDP|16616816716092863589</stp>
        <tr r="AB12" s="1"/>
      </tp>
      <tp t="s">
        <v>#N/A N/A</v>
        <stp/>
        <stp>BDP|10569864752161862486</stp>
        <tr r="Y73" s="1"/>
      </tp>
      <tp t="s">
        <v>#N/A N/A</v>
        <stp/>
        <stp>BDP|10042619805419705728</stp>
        <tr r="AC95" s="1"/>
      </tp>
      <tp t="s">
        <v>#N/A N/A</v>
        <stp/>
        <stp>BDP|16718840047437179543</stp>
        <tr r="Y45" s="1"/>
      </tp>
      <tp t="s">
        <v>#N/A N/A</v>
        <stp/>
        <stp>BDP|11309168083200397045</stp>
        <tr r="X28" s="1"/>
      </tp>
      <tp t="s">
        <v>#N/A N/A</v>
        <stp/>
        <stp>BDP|10394432991496490342</stp>
        <tr r="AC291" s="1"/>
      </tp>
      <tp t="s">
        <v>#N/A N/A</v>
        <stp/>
        <stp>BDP|12377342784830149129</stp>
        <tr r="X245" s="1"/>
      </tp>
      <tp t="s">
        <v>#N/A N/A</v>
        <stp/>
        <stp>BDP|16505969975991065158</stp>
        <tr r="Y305" s="1"/>
      </tp>
      <tp t="s">
        <v>#N/A N/A</v>
        <stp/>
        <stp>BDP|11312282839301222937</stp>
        <tr r="AB262" s="1"/>
      </tp>
      <tp t="s">
        <v>#N/A N/A</v>
        <stp/>
        <stp>BDP|10495987207458193997</stp>
        <tr r="AA65" s="1"/>
      </tp>
      <tp t="s">
        <v>#N/A N/A</v>
        <stp/>
        <stp>BDP|17281240010988261417</stp>
        <tr r="AC15" s="1"/>
      </tp>
      <tp t="s">
        <v>#N/A N/A</v>
        <stp/>
        <stp>BDP|14660615696625203661</stp>
        <tr r="AB296" s="1"/>
      </tp>
      <tp t="s">
        <v>#N/A N/A</v>
        <stp/>
        <stp>BDP|16071549153377437976</stp>
        <tr r="AA313" s="1"/>
      </tp>
      <tp t="s">
        <v>#N/A N/A</v>
        <stp/>
        <stp>BDP|10237005785377391703</stp>
        <tr r="X133" s="1"/>
      </tp>
      <tp t="s">
        <v>#N/A N/A</v>
        <stp/>
        <stp>BDP|16235066692225365213</stp>
        <tr r="AC226" s="1"/>
      </tp>
      <tp t="s">
        <v>#N/A N/A</v>
        <stp/>
        <stp>BDP|16406902263413534260</stp>
        <tr r="AC152" s="1"/>
      </tp>
      <tp t="s">
        <v>#N/A N/A</v>
        <stp/>
        <stp>BDP|18064584933090899649</stp>
        <tr r="AB92" s="1"/>
      </tp>
      <tp t="s">
        <v>#N/A N/A</v>
        <stp/>
        <stp>BDP|17010612499357960766</stp>
        <tr r="X215" s="1"/>
      </tp>
      <tp t="s">
        <v>#N/A N/A</v>
        <stp/>
        <stp>BDP|16358746311869220121</stp>
        <tr r="Y329" s="1"/>
      </tp>
      <tp t="s">
        <v>#N/A N/A</v>
        <stp/>
        <stp>BDP|16659995775831992150</stp>
        <tr r="AC103" s="1"/>
      </tp>
      <tp t="s">
        <v>#N/A N/A</v>
        <stp/>
        <stp>BDP|16261609156634189936</stp>
        <tr r="Y331" s="1"/>
      </tp>
      <tp t="s">
        <v>#N/A N/A</v>
        <stp/>
        <stp>BDP|11866701332558696453</stp>
        <tr r="AC331" s="1"/>
      </tp>
      <tp t="s">
        <v>#N/A N/A</v>
        <stp/>
        <stp>BDP|17423295315685981886</stp>
        <tr r="Y96" s="1"/>
      </tp>
      <tp t="s">
        <v>#N/A N/A</v>
        <stp/>
        <stp>BDP|15828691457337795887</stp>
        <tr r="AC203" s="1"/>
      </tp>
      <tp t="s">
        <v>#N/A N/A</v>
        <stp/>
        <stp>BDP|17623648550105866839</stp>
        <tr r="X5" s="1"/>
      </tp>
      <tp t="s">
        <v>#N/A N/A</v>
        <stp/>
        <stp>BDP|11641874418717994685</stp>
        <tr r="X305" s="1"/>
      </tp>
      <tp t="s">
        <v>#N/A N/A</v>
        <stp/>
        <stp>BDP|17566823639187042268</stp>
        <tr r="X344" s="1"/>
      </tp>
      <tp t="s">
        <v>#N/A N/A</v>
        <stp/>
        <stp>BDP|14356465283656865767</stp>
        <tr r="AB300" s="1"/>
      </tp>
      <tp t="s">
        <v>#N/A N/A</v>
        <stp/>
        <stp>BDP|10308143558734484907</stp>
        <tr r="AC327" s="1"/>
      </tp>
      <tp t="s">
        <v>#N/A N/A</v>
        <stp/>
        <stp>BDP|11077376885651060299</stp>
        <tr r="AB160" s="1"/>
      </tp>
      <tp t="s">
        <v>#N/A N/A</v>
        <stp/>
        <stp>BDP|16465279967359791283</stp>
        <tr r="AC167" s="1"/>
      </tp>
      <tp t="s">
        <v>#N/A N/A</v>
        <stp/>
        <stp>BDP|10967313270235349819</stp>
        <tr r="Y92" s="1"/>
      </tp>
      <tp t="s">
        <v>#N/A N/A</v>
        <stp/>
        <stp>BDP|15805008298937260288</stp>
        <tr r="Y301" s="1"/>
      </tp>
      <tp t="s">
        <v>#N/A N/A</v>
        <stp/>
        <stp>BDP|10760068587859894842</stp>
        <tr r="AC77" s="1"/>
      </tp>
      <tp t="s">
        <v>#N/A N/A</v>
        <stp/>
        <stp>BDP|15146926069591594252</stp>
        <tr r="AB70" s="1"/>
      </tp>
      <tp t="s">
        <v>#N/A N/A</v>
        <stp/>
        <stp>BDP|14085572151948546597</stp>
        <tr r="AC178" s="1"/>
      </tp>
      <tp t="s">
        <v>#N/A N/A</v>
        <stp/>
        <stp>BDP|16934565475125636860</stp>
        <tr r="Y40" s="1"/>
      </tp>
      <tp t="s">
        <v>#N/A N/A</v>
        <stp/>
        <stp>BDP|16566831975156995670</stp>
        <tr r="AA144" s="1"/>
      </tp>
      <tp t="s">
        <v>#N/A N/A</v>
        <stp/>
        <stp>BDP|12079692194745799179</stp>
        <tr r="X195" s="1"/>
      </tp>
      <tp t="s">
        <v>#N/A N/A</v>
        <stp/>
        <stp>BDP|12924200178998597687</stp>
        <tr r="AA214" s="1"/>
      </tp>
      <tp t="s">
        <v>#N/A N/A</v>
        <stp/>
        <stp>BDP|12073220360417207818</stp>
        <tr r="X78" s="1"/>
      </tp>
      <tp t="s">
        <v>#N/A N/A</v>
        <stp/>
        <stp>BDP|13983082146717473924</stp>
        <tr r="AA69" s="1"/>
      </tp>
      <tp t="s">
        <v>#N/A N/A</v>
        <stp/>
        <stp>BDP|15534685327478989027</stp>
        <tr r="AC188" s="1"/>
      </tp>
      <tp t="s">
        <v>#N/A N/A</v>
        <stp/>
        <stp>BDP|18431775222213830784</stp>
        <tr r="AB346" s="1"/>
      </tp>
      <tp t="s">
        <v>#N/A N/A</v>
        <stp/>
        <stp>BDP|14378818640560058124</stp>
        <tr r="AC278" s="1"/>
      </tp>
      <tp t="s">
        <v>#N/A N/A</v>
        <stp/>
        <stp>BDP|15016002055679388052</stp>
        <tr r="AA40" s="1"/>
      </tp>
      <tp t="s">
        <v>#N/A N/A</v>
        <stp/>
        <stp>BDP|11720544295626697237</stp>
        <tr r="AB138" s="1"/>
      </tp>
      <tp t="s">
        <v>#N/A N/A</v>
        <stp/>
        <stp>BDP|13402817183983768929</stp>
        <tr r="Y258" s="1"/>
      </tp>
      <tp t="s">
        <v>#N/A N/A</v>
        <stp/>
        <stp>BDP|18300352636290208110</stp>
        <tr r="AB124" s="1"/>
      </tp>
      <tp t="s">
        <v>#N/A N/A</v>
        <stp/>
        <stp>BDP|12496929463327773313</stp>
        <tr r="AC25" s="1"/>
      </tp>
      <tp t="s">
        <v>#N/A N/A</v>
        <stp/>
        <stp>BDP|15114857117414631165</stp>
        <tr r="X179" s="1"/>
      </tp>
      <tp t="s">
        <v>#N/A N/A</v>
        <stp/>
        <stp>BDP|13727267001808057028</stp>
        <tr r="X43" s="1"/>
      </tp>
      <tp t="s">
        <v>#N/A N/A</v>
        <stp/>
        <stp>BDP|12350373081160608068</stp>
        <tr r="Y302" s="1"/>
      </tp>
      <tp t="s">
        <v>#N/A N/A</v>
        <stp/>
        <stp>BDP|17568731585800366156</stp>
        <tr r="AB327" s="1"/>
      </tp>
      <tp t="s">
        <v>#N/A N/A</v>
        <stp/>
        <stp>BDP|12932073884965718686</stp>
        <tr r="Y145" s="1"/>
      </tp>
      <tp t="s">
        <v>#N/A N/A</v>
        <stp/>
        <stp>BDP|12027893925681913004</stp>
        <tr r="AC83" s="1"/>
      </tp>
      <tp t="s">
        <v>#N/A N/A</v>
        <stp/>
        <stp>BDP|18079621607123094417</stp>
        <tr r="AC159" s="1"/>
      </tp>
      <tp t="s">
        <v>#N/A N/A</v>
        <stp/>
        <stp>BDP|13219672735719127656</stp>
        <tr r="Y118" s="1"/>
      </tp>
      <tp t="s">
        <v>#N/A N/A</v>
        <stp/>
        <stp>BDP|11193820887840657861</stp>
        <tr r="Y154" s="1"/>
      </tp>
      <tp t="s">
        <v>#N/A N/A</v>
        <stp/>
        <stp>BDP|12441346783940581027</stp>
        <tr r="X281" s="1"/>
      </tp>
      <tp t="s">
        <v>#N/A N/A</v>
        <stp/>
        <stp>BDP|14614060962849586201</stp>
        <tr r="Y263" s="1"/>
      </tp>
      <tp t="s">
        <v>#N/A N/A</v>
        <stp/>
        <stp>BDP|14895918190619933472</stp>
        <tr r="AA283" s="1"/>
      </tp>
      <tp t="s">
        <v>#N/A N/A</v>
        <stp/>
        <stp>BDP|12763964491262411928</stp>
        <tr r="AA235" s="1"/>
      </tp>
      <tp t="s">
        <v>#N/A N/A</v>
        <stp/>
        <stp>BDP|13179627502108258458</stp>
        <tr r="AA143" s="1"/>
      </tp>
      <tp t="s">
        <v>#N/A N/A</v>
        <stp/>
        <stp>BDP|18194982805418998035</stp>
        <tr r="AB266" s="1"/>
      </tp>
      <tp t="s">
        <v>#N/A N/A</v>
        <stp/>
        <stp>BDP|15681564062956147954</stp>
        <tr r="AB151" s="1"/>
      </tp>
      <tp t="s">
        <v>#N/A N/A</v>
        <stp/>
        <stp>BDP|16944754491071656728</stp>
        <tr r="AC198" s="1"/>
      </tp>
      <tp t="s">
        <v>#N/A N/A</v>
        <stp/>
        <stp>BDP|15792749652218979119</stp>
        <tr r="AA254" s="1"/>
      </tp>
      <tp t="s">
        <v>#N/A N/A</v>
        <stp/>
        <stp>BDP|13772105803858495493</stp>
        <tr r="AA322" s="1"/>
      </tp>
      <tp t="s">
        <v>#N/A N/A</v>
        <stp/>
        <stp>BDP|16658457882877059390</stp>
        <tr r="AB292" s="1"/>
      </tp>
      <tp t="s">
        <v>#N/A N/A</v>
        <stp/>
        <stp>BDP|12709676088110712278</stp>
        <tr r="AA246" s="1"/>
      </tp>
      <tp t="s">
        <v>#N/A N/A</v>
        <stp/>
        <stp>BDP|14980080787656905446</stp>
        <tr r="AB214" s="1"/>
      </tp>
      <tp t="s">
        <v>#N/A N/A</v>
        <stp/>
        <stp>BDP|16392873768357782109</stp>
        <tr r="AA133" s="1"/>
      </tp>
      <tp t="s">
        <v>#N/A N/A</v>
        <stp/>
        <stp>BDP|17090111637398996341</stp>
        <tr r="AA256" s="1"/>
      </tp>
      <tp t="s">
        <v>#N/A N/A</v>
        <stp/>
        <stp>BDP|15384935400477819538</stp>
        <tr r="AC293" s="1"/>
      </tp>
      <tp t="s">
        <v>#N/A N/A</v>
        <stp/>
        <stp>BDP|13326892426146410128</stp>
        <tr r="AB111" s="1"/>
      </tp>
      <tp t="s">
        <v>#N/A N/A</v>
        <stp/>
        <stp>BDP|10012877205930120690</stp>
        <tr r="X317" s="1"/>
      </tp>
      <tp t="s">
        <v>#N/A N/A</v>
        <stp/>
        <stp>BDP|14245096485384242665</stp>
        <tr r="AA83" s="1"/>
      </tp>
      <tp t="s">
        <v>#N/A N/A</v>
        <stp/>
        <stp>BDP|16215229991434580796</stp>
        <tr r="Y54" s="1"/>
      </tp>
      <tp t="s">
        <v>#N/A N/A</v>
        <stp/>
        <stp>BDP|18352441202104053687</stp>
        <tr r="AA260" s="1"/>
      </tp>
      <tp t="s">
        <v>#N/A N/A</v>
        <stp/>
        <stp>BDP|16720195810869968180</stp>
        <tr r="AB315" s="1"/>
      </tp>
      <tp t="s">
        <v>#N/A N/A</v>
        <stp/>
        <stp>BDP|11036378857890687997</stp>
        <tr r="AB242" s="1"/>
      </tp>
      <tp t="s">
        <v>#N/A N/A</v>
        <stp/>
        <stp>BDP|16915684838269171473</stp>
        <tr r="X228" s="1"/>
      </tp>
      <tp t="s">
        <v>#N/A N/A</v>
        <stp/>
        <stp>BDP|10705944128836683322</stp>
        <tr r="X262" s="1"/>
      </tp>
      <tp t="s">
        <v>#N/A N/A</v>
        <stp/>
        <stp>BDP|13719900549667891785</stp>
        <tr r="AC190" s="1"/>
      </tp>
      <tp t="s">
        <v>#N/A N/A</v>
        <stp/>
        <stp>BDP|14090933644033829417</stp>
        <tr r="Y38" s="1"/>
      </tp>
      <tp t="s">
        <v>#N/A N/A</v>
        <stp/>
        <stp>BDP|12614350360780937942</stp>
        <tr r="Y241" s="1"/>
      </tp>
      <tp t="s">
        <v>#N/A N/A</v>
        <stp/>
        <stp>BDP|10815053520879949555</stp>
        <tr r="X341" s="1"/>
      </tp>
      <tp t="s">
        <v>#N/A N/A</v>
        <stp/>
        <stp>BDP|11431905006222580463</stp>
        <tr r="AA11" s="1"/>
      </tp>
      <tp t="s">
        <v>#N/A N/A</v>
        <stp/>
        <stp>BDP|13400282446758217397</stp>
        <tr r="AC314" s="1"/>
      </tp>
      <tp t="s">
        <v>#N/A N/A</v>
        <stp/>
        <stp>BDP|10026308651891361936</stp>
        <tr r="Y101" s="1"/>
      </tp>
      <tp t="s">
        <v>#N/A N/A</v>
        <stp/>
        <stp>BDP|12070637307163228973</stp>
        <tr r="AB136" s="1"/>
      </tp>
      <tp t="s">
        <v>#N/A N/A</v>
        <stp/>
        <stp>BDP|12238422760209716766</stp>
        <tr r="AB113" s="1"/>
      </tp>
      <tp t="s">
        <v>#N/A N/A</v>
        <stp/>
        <stp>BDP|12891463458278122574</stp>
        <tr r="AC46" s="1"/>
      </tp>
      <tp t="s">
        <v>#N/A N/A</v>
        <stp/>
        <stp>BDP|17771674190046465041</stp>
        <tr r="AA134" s="1"/>
      </tp>
      <tp t="s">
        <v>#N/A N/A</v>
        <stp/>
        <stp>BDP|13297712875254734929</stp>
        <tr r="AA280" s="1"/>
      </tp>
      <tp t="s">
        <v>#N/A N/A</v>
        <stp/>
        <stp>BDP|16015683085890721683</stp>
        <tr r="Y109" s="1"/>
      </tp>
      <tp t="s">
        <v>#N/A N/A</v>
        <stp/>
        <stp>BDP|13593242303837721879</stp>
        <tr r="Y195" s="1"/>
      </tp>
      <tp t="s">
        <v>#N/A N/A</v>
        <stp/>
        <stp>BDP|16150762664140733968</stp>
        <tr r="AB181" s="1"/>
      </tp>
      <tp t="s">
        <v>#N/A N/A</v>
        <stp/>
        <stp>BDP|15423702381302253654</stp>
        <tr r="AC123" s="1"/>
      </tp>
      <tp t="s">
        <v>#N/A N/A</v>
        <stp/>
        <stp>BDP|12859120038447040904</stp>
        <tr r="X346" s="1"/>
      </tp>
      <tp t="s">
        <v>#N/A N/A</v>
        <stp/>
        <stp>BDP|10590386322189852622</stp>
        <tr r="AB109" s="1"/>
      </tp>
      <tp t="s">
        <v>#N/A N/A</v>
        <stp/>
        <stp>BDP|10827280022308368648</stp>
        <tr r="AC199" s="1"/>
      </tp>
      <tp t="s">
        <v>#N/A N/A</v>
        <stp/>
        <stp>BDP|11541656055695935990</stp>
        <tr r="Y259" s="1"/>
      </tp>
      <tp t="s">
        <v>#N/A N/A</v>
        <stp/>
        <stp>BDP|14582987508860487354</stp>
        <tr r="Y292" s="1"/>
      </tp>
      <tp t="s">
        <v>#N/A N/A</v>
        <stp/>
        <stp>BDP|10290263742791306914</stp>
        <tr r="AC33" s="1"/>
      </tp>
      <tp t="s">
        <v>#N/A N/A</v>
        <stp/>
        <stp>BDP|13467856497575342919</stp>
        <tr r="AB63" s="1"/>
      </tp>
      <tp t="s">
        <v>#N/A N/A</v>
        <stp/>
        <stp>BDP|16974862449623171739</stp>
        <tr r="AB188" s="1"/>
      </tp>
      <tp t="s">
        <v>#N/A N/A</v>
        <stp/>
        <stp>BDP|16354621481242029445</stp>
        <tr r="AB117" s="1"/>
      </tp>
      <tp t="s">
        <v>#N/A N/A</v>
        <stp/>
        <stp>BDP|17000141402478469064</stp>
        <tr r="AA119" s="1"/>
      </tp>
      <tp t="s">
        <v>#N/A N/A</v>
        <stp/>
        <stp>BDP|11632952773447272664</stp>
        <tr r="Y315" s="1"/>
      </tp>
      <tp t="s">
        <v>#N/A N/A</v>
        <stp/>
        <stp>BDP|17470995678676070117</stp>
        <tr r="AC68" s="1"/>
      </tp>
      <tp t="s">
        <v>#N/A N/A</v>
        <stp/>
        <stp>BDP|10914890926366287238</stp>
        <tr r="X266" s="1"/>
      </tp>
      <tp t="s">
        <v>#N/A N/A</v>
        <stp/>
        <stp>BDP|14904612723449486791</stp>
        <tr r="Y235" s="1"/>
      </tp>
      <tp t="s">
        <v>#N/A N/A</v>
        <stp/>
        <stp>BDP|12974984110002129661</stp>
        <tr r="AA340" s="1"/>
      </tp>
      <tp t="s">
        <v>#N/A N/A</v>
        <stp/>
        <stp>BDP|11602602984967232792</stp>
        <tr r="X205" s="1"/>
      </tp>
      <tp t="s">
        <v>#N/A N/A</v>
        <stp/>
        <stp>BDP|14522096236158286011</stp>
        <tr r="AA197" s="1"/>
      </tp>
      <tp t="s">
        <v>#N/A N/A</v>
        <stp/>
        <stp>BDP|15759769823736991923</stp>
        <tr r="AC257" s="1"/>
      </tp>
      <tp t="s">
        <v>#N/A N/A</v>
        <stp/>
        <stp>BDP|14972863603160074355</stp>
        <tr r="AA215" s="1"/>
      </tp>
      <tp t="s">
        <v>#N/A N/A</v>
        <stp/>
        <stp>BDP|12926273444432770945</stp>
        <tr r="X153" s="1"/>
      </tp>
      <tp t="s">
        <v>#N/A N/A</v>
        <stp/>
        <stp>BDP|18187225962271001295</stp>
        <tr r="Y102" s="1"/>
      </tp>
      <tp t="s">
        <v>#N/A N/A</v>
        <stp/>
        <stp>BDP|15385636833188938723</stp>
        <tr r="Y215" s="1"/>
      </tp>
      <tp t="s">
        <v>#N/A N/A</v>
        <stp/>
        <stp>BDP|11029586700918040331</stp>
        <tr r="X293" s="1"/>
      </tp>
      <tp t="s">
        <v>#N/A N/A</v>
        <stp/>
        <stp>BDP|10579892712666085059</stp>
        <tr r="Y341" s="1"/>
      </tp>
      <tp t="s">
        <v>#N/A N/A</v>
        <stp/>
        <stp>BDP|10841248560948160364</stp>
        <tr r="AA309" s="1"/>
      </tp>
      <tp t="s">
        <v>#N/A N/A</v>
        <stp/>
        <stp>BDP|16368489193646610242</stp>
        <tr r="AB19" s="1"/>
      </tp>
      <tp t="s">
        <v>#N/A N/A</v>
        <stp/>
        <stp>BDP|17180095093377015617</stp>
        <tr r="AA289" s="1"/>
      </tp>
      <tp t="s">
        <v>#N/A N/A</v>
        <stp/>
        <stp>BDP|11214995020483986688</stp>
        <tr r="AB291" s="1"/>
      </tp>
      <tp t="s">
        <v>#N/A N/A</v>
        <stp/>
        <stp>BDP|17707969848532015738</stp>
        <tr r="AC270" s="1"/>
      </tp>
      <tp t="s">
        <v>#N/A N/A</v>
        <stp/>
        <stp>BDP|18288032762180800169</stp>
        <tr r="AA109" s="1"/>
      </tp>
      <tp t="s">
        <v>#N/A N/A</v>
        <stp/>
        <stp>BDP|12026929381934719888</stp>
        <tr r="Y320" s="1"/>
      </tp>
      <tp t="s">
        <v>#N/A N/A</v>
        <stp/>
        <stp>BDP|18331163449372497047</stp>
        <tr r="AC317" s="1"/>
      </tp>
      <tp t="s">
        <v>#N/A N/A</v>
        <stp/>
        <stp>BDP|17143005987442971237</stp>
        <tr r="AA264" s="1"/>
      </tp>
      <tp t="s">
        <v>#N/A N/A</v>
        <stp/>
        <stp>BDP|15377442939724639962</stp>
        <tr r="AB226" s="1"/>
      </tp>
      <tp t="s">
        <v>#N/A N/A</v>
        <stp/>
        <stp>BDP|13075428512248423153</stp>
        <tr r="Y232" s="1"/>
      </tp>
      <tp t="s">
        <v>#N/A N/A</v>
        <stp/>
        <stp>BDP|13622419046315006911</stp>
        <tr r="AC88" s="1"/>
      </tp>
      <tp t="s">
        <v>#N/A N/A</v>
        <stp/>
        <stp>BDP|11906754029092459919</stp>
        <tr r="Y291" s="1"/>
      </tp>
      <tp t="s">
        <v>#N/A N/A</v>
        <stp/>
        <stp>BDP|14248892857960881648</stp>
        <tr r="AC214" s="1"/>
      </tp>
      <tp t="s">
        <v>#N/A N/A</v>
        <stp/>
        <stp>BDP|13962393087167029078</stp>
        <tr r="X61" s="1"/>
      </tp>
      <tp t="s">
        <v>#N/A N/A</v>
        <stp/>
        <stp>BDP|13160679190997289443</stp>
        <tr r="X285" s="1"/>
      </tp>
      <tp t="s">
        <v>#N/A N/A</v>
        <stp/>
        <stp>BDP|12378241697144828286</stp>
        <tr r="Y59" s="1"/>
      </tp>
      <tp t="s">
        <v>#N/A N/A</v>
        <stp/>
        <stp>BDP|18169800510287486967</stp>
        <tr r="Y42" s="1"/>
      </tp>
      <tp t="s">
        <v>#N/A N/A</v>
        <stp/>
        <stp>BDP|14787857413942750059</stp>
        <tr r="X96" s="1"/>
      </tp>
      <tp t="s">
        <v>#N/A N/A</v>
        <stp/>
        <stp>BDP|14706144842939144720</stp>
        <tr r="AB29" s="1"/>
      </tp>
      <tp t="s">
        <v>#N/A N/A</v>
        <stp/>
        <stp>BDP|11265516836688616019</stp>
        <tr r="X161" s="1"/>
      </tp>
      <tp t="s">
        <v>#N/A N/A</v>
        <stp/>
        <stp>BDP|17837851263653876540</stp>
        <tr r="Y282" s="1"/>
      </tp>
      <tp t="s">
        <v>#N/A N/A</v>
        <stp/>
        <stp>BDP|14984291455848600462</stp>
        <tr r="AC104" s="1"/>
      </tp>
      <tp t="s">
        <v>#N/A N/A</v>
        <stp/>
        <stp>BDP|13986192261729786236</stp>
        <tr r="AB258" s="1"/>
      </tp>
      <tp t="s">
        <v>#N/A N/A</v>
        <stp/>
        <stp>BDP|14325883316463903116</stp>
        <tr r="Y104" s="1"/>
      </tp>
      <tp t="s">
        <v>#N/A N/A</v>
        <stp/>
        <stp>BDP|15724040093184193753</stp>
        <tr r="Y52" s="1"/>
      </tp>
      <tp t="s">
        <v>#N/A N/A</v>
        <stp/>
        <stp>BDP|14955040337871925976</stp>
        <tr r="AA207" s="1"/>
      </tp>
      <tp t="s">
        <v>#N/A N/A</v>
        <stp/>
        <stp>BDP|15637075342017235957</stp>
        <tr r="X54" s="1"/>
      </tp>
      <tp t="s">
        <v>#N/A N/A</v>
        <stp/>
        <stp>BDP|13455053896076381308</stp>
        <tr r="X274" s="1"/>
      </tp>
      <tp t="s">
        <v>#N/A N/A</v>
        <stp/>
        <stp>BDP|18025155554441225277</stp>
        <tr r="AB268" s="1"/>
      </tp>
      <tp t="s">
        <v>#N/A N/A</v>
        <stp/>
        <stp>BDP|15117815050273159469</stp>
        <tr r="AA186" s="1"/>
      </tp>
      <tp t="s">
        <v>#N/A N/A</v>
        <stp/>
        <stp>BDP|16123938113310696100</stp>
        <tr r="AB144" s="1"/>
      </tp>
      <tp t="s">
        <v>#N/A N/A</v>
        <stp/>
        <stp>BDP|14589355186191193105</stp>
        <tr r="AC119" s="1"/>
      </tp>
      <tp t="s">
        <v>#N/A N/A</v>
        <stp/>
        <stp>BDP|10091263221137073819</stp>
        <tr r="Y143" s="1"/>
      </tp>
      <tp t="s">
        <v>#N/A N/A</v>
        <stp/>
        <stp>BDP|13577742858418777565</stp>
        <tr r="Y85" s="1"/>
      </tp>
      <tp t="s">
        <v>#N/A N/A</v>
        <stp/>
        <stp>BDP|18192492770386787143</stp>
        <tr r="AC302" s="1"/>
      </tp>
      <tp t="s">
        <v>#N/A N/A</v>
        <stp/>
        <stp>BDP|15600604299452646426</stp>
        <tr r="Y268" s="1"/>
      </tp>
      <tp t="s">
        <v>#N/A N/A</v>
        <stp/>
        <stp>BDP|12160268987057835322</stp>
        <tr r="X29" s="1"/>
      </tp>
      <tp t="s">
        <v>#N/A N/A</v>
        <stp/>
        <stp>BDP|16706320590115609592</stp>
        <tr r="Y161" s="1"/>
      </tp>
      <tp t="s">
        <v>#N/A N/A</v>
        <stp/>
        <stp>BDP|11903519226788088242</stp>
        <tr r="AB289" s="1"/>
      </tp>
      <tp t="s">
        <v>#N/A N/A</v>
        <stp/>
        <stp>BDP|17358298007461476844</stp>
        <tr r="X207" s="1"/>
      </tp>
      <tp t="s">
        <v>#N/A N/A</v>
        <stp/>
        <stp>BDP|12348970074615577587</stp>
        <tr r="X169" s="1"/>
      </tp>
      <tp t="s">
        <v>#N/A N/A</v>
        <stp/>
        <stp>BDP|16966406343818497237</stp>
        <tr r="AC227" s="1"/>
      </tp>
      <tp t="s">
        <v>#N/A N/A</v>
        <stp/>
        <stp>BDP|16161790893555403132</stp>
        <tr r="X323" s="1"/>
      </tp>
      <tp t="s">
        <v>#N/A N/A</v>
        <stp/>
        <stp>BDP|14652412013035840838</stp>
        <tr r="AC194" s="1"/>
      </tp>
      <tp t="s">
        <v>#N/A N/A</v>
        <stp/>
        <stp>BDP|18251733295402905828</stp>
        <tr r="AC325" s="1"/>
      </tp>
      <tp t="s">
        <v>#N/A N/A</v>
        <stp/>
        <stp>BDP|10517656337869060085</stp>
        <tr r="AC316" s="1"/>
      </tp>
      <tp t="s">
        <v>#N/A N/A</v>
        <stp/>
        <stp>BDP|18304719028369648827</stp>
        <tr r="AA66" s="1"/>
      </tp>
      <tp t="s">
        <v>#N/A N/A</v>
        <stp/>
        <stp>BDP|14891934419032402283</stp>
        <tr r="X225" s="1"/>
      </tp>
      <tp t="s">
        <v>#N/A N/A</v>
        <stp/>
        <stp>BDP|14640783366080544931</stp>
        <tr r="X342" s="1"/>
      </tp>
      <tp t="s">
        <v>#N/A N/A</v>
        <stp/>
        <stp>BDP|10832353402639925684</stp>
        <tr r="Y20" s="1"/>
      </tp>
      <tp t="s">
        <v>#N/A N/A</v>
        <stp/>
        <stp>BDP|13476806875589522956</stp>
        <tr r="X300" s="1"/>
      </tp>
      <tp t="s">
        <v>#N/A N/A</v>
        <stp/>
        <stp>BDP|11565479939153235992</stp>
        <tr r="AB85" s="1"/>
      </tp>
      <tp t="s">
        <v>#N/A N/A</v>
        <stp/>
        <stp>BDP|16783321799863897373</stp>
        <tr r="AC220" s="1"/>
      </tp>
      <tp t="s">
        <v>#N/A N/A</v>
        <stp/>
        <stp>BDP|12020534512629524379</stp>
        <tr r="AB17" s="1"/>
      </tp>
      <tp t="s">
        <v>#N/A N/A</v>
        <stp/>
        <stp>BDP|15078361112962716901</stp>
        <tr r="AA92" s="1"/>
      </tp>
      <tp t="s">
        <v>#N/A N/A</v>
        <stp/>
        <stp>BDP|12172645397934365523</stp>
        <tr r="AC166" s="1"/>
      </tp>
      <tp t="s">
        <v>#N/A N/A</v>
        <stp/>
        <stp>BDP|11184539783329780956</stp>
        <tr r="X40" s="1"/>
      </tp>
      <tp t="s">
        <v>#N/A N/A</v>
        <stp/>
        <stp>BDP|11739578282456682673</stp>
        <tr r="X119" s="1"/>
      </tp>
      <tp t="s">
        <v>#N/A N/A</v>
        <stp/>
        <stp>BDP|11192854887984339927</stp>
        <tr r="Y116" s="1"/>
      </tp>
      <tp t="s">
        <v>#N/A N/A</v>
        <stp/>
        <stp>BDP|11380805839431628798</stp>
        <tr r="AB154" s="1"/>
      </tp>
      <tp t="s">
        <v>#N/A N/A</v>
        <stp/>
        <stp>BDP|17490813150810723674</stp>
        <tr r="AA227" s="1"/>
      </tp>
      <tp t="s">
        <v>#N/A N/A</v>
        <stp/>
        <stp>BDP|12112857912851729652</stp>
        <tr r="Y336" s="1"/>
      </tp>
      <tp t="s">
        <v>#N/A N/A</v>
        <stp/>
        <stp>BDP|17052834734238731847</stp>
        <tr r="Y222" s="1"/>
      </tp>
      <tp t="s">
        <v>#N/A N/A</v>
        <stp/>
        <stp>BDP|13717729104710094868</stp>
        <tr r="AA93" s="1"/>
      </tp>
      <tp t="s">
        <v>#N/A N/A</v>
        <stp/>
        <stp>BDP|10127304480851368644</stp>
        <tr r="AB145" s="1"/>
      </tp>
      <tp t="s">
        <v>#N/A N/A</v>
        <stp/>
        <stp>BDP|14027273710003514843</stp>
        <tr r="Y121" s="1"/>
      </tp>
      <tp t="s">
        <v>#N/A N/A</v>
        <stp/>
        <stp>BDP|13654364836897596852</stp>
        <tr r="AC210" s="1"/>
      </tp>
      <tp t="s">
        <v>#N/A N/A</v>
        <stp/>
        <stp>BDP|14618780588766929190</stp>
        <tr r="Y211" s="1"/>
      </tp>
      <tp t="s">
        <v>#N/A N/A</v>
        <stp/>
        <stp>BDP|11581704539488496019</stp>
        <tr r="AA323" s="1"/>
      </tp>
      <tp t="s">
        <v>#N/A N/A</v>
        <stp/>
        <stp>BDP|16394453198811569725</stp>
        <tr r="AB177" s="1"/>
      </tp>
      <tp t="s">
        <v>#N/A N/A</v>
        <stp/>
        <stp>BDP|12074875483559982654</stp>
        <tr r="Y78" s="1"/>
      </tp>
      <tp t="s">
        <v>#N/A N/A</v>
        <stp/>
        <stp>BDP|15059034176468985741</stp>
        <tr r="AB318" s="1"/>
      </tp>
      <tp t="s">
        <v>#N/A N/A</v>
        <stp/>
        <stp>BDP|11055203812829852628</stp>
        <tr r="AC173" s="1"/>
      </tp>
      <tp t="s">
        <v>#N/A N/A</v>
        <stp/>
        <stp>BDP|10456128082241589591</stp>
        <tr r="AB192" s="1"/>
      </tp>
      <tp t="s">
        <v>#N/A N/A</v>
        <stp/>
        <stp>BDP|14874331162848442466</stp>
        <tr r="AB6" s="1"/>
      </tp>
      <tp t="s">
        <v>#N/A N/A</v>
        <stp/>
        <stp>BDP|12124231418715964981</stp>
        <tr r="X73" s="1"/>
      </tp>
      <tp t="s">
        <v>#N/A N/A</v>
        <stp/>
        <stp>BDP|13827563457796777842</stp>
        <tr r="AC72" s="1"/>
      </tp>
      <tp t="s">
        <v>#N/A N/A</v>
        <stp/>
        <stp>BDP|16661408817668860647</stp>
        <tr r="AB43" s="1"/>
      </tp>
      <tp t="s">
        <v>#N/A N/A</v>
        <stp/>
        <stp>BDP|17195677842559018192</stp>
        <tr r="AC313" s="1"/>
      </tp>
      <tp t="s">
        <v>#N/A N/A</v>
        <stp/>
        <stp>BDP|16531896326211255052</stp>
        <tr r="Y18" s="1"/>
      </tp>
      <tp t="s">
        <v>#N/A N/A</v>
        <stp/>
        <stp>BDP|14765685225845288854</stp>
        <tr r="Y152" s="1"/>
      </tp>
      <tp t="s">
        <v>#N/A N/A</v>
        <stp/>
        <stp>BDP|11807807357612142324</stp>
        <tr r="AA68" s="1"/>
      </tp>
      <tp t="s">
        <v>#N/A N/A</v>
        <stp/>
        <stp>BDP|12447699670929401751</stp>
        <tr r="AB36" s="1"/>
      </tp>
      <tp t="s">
        <v>#N/A N/A</v>
        <stp/>
        <stp>BDP|12214195258348590399</stp>
        <tr r="Y306" s="1"/>
      </tp>
      <tp t="s">
        <v>#N/A N/A</v>
        <stp/>
        <stp>BDP|13765590349488101780</stp>
        <tr r="X260" s="1"/>
      </tp>
      <tp t="s">
        <v>#N/A N/A</v>
        <stp/>
        <stp>BDP|13914628067289236709</stp>
        <tr r="AB132" s="1"/>
      </tp>
      <tp t="s">
        <v>#N/A N/A</v>
        <stp/>
        <stp>BDP|14029947659950338509</stp>
        <tr r="X244" s="1"/>
      </tp>
      <tp t="s">
        <v>#N/A N/A</v>
        <stp/>
        <stp>BDP|14718099995611085152</stp>
        <tr r="AB311" s="1"/>
      </tp>
      <tp t="s">
        <v>#N/A N/A</v>
        <stp/>
        <stp>BDP|14082740953612347953</stp>
        <tr r="X271" s="1"/>
      </tp>
      <tp t="s">
        <v>#N/A N/A</v>
        <stp/>
        <stp>BDP|10586671480550538362</stp>
        <tr r="X216" s="1"/>
      </tp>
      <tp t="s">
        <v>#N/A N/A</v>
        <stp/>
        <stp>BDP|16026960002463710125</stp>
        <tr r="AC290" s="1"/>
      </tp>
      <tp t="s">
        <v>#N/A N/A</v>
        <stp/>
        <stp>BDP|14873475142349832042</stp>
        <tr r="X282" s="1"/>
      </tp>
      <tp t="s">
        <v>#N/A N/A</v>
        <stp/>
        <stp>BDP|13732397166668880300</stp>
        <tr r="AC58" s="1"/>
      </tp>
      <tp t="s">
        <v>#N/A N/A</v>
        <stp/>
        <stp>BDP|17781153943237063810</stp>
        <tr r="AC301" s="1"/>
      </tp>
      <tp t="s">
        <v>#N/A N/A</v>
        <stp/>
        <stp>BDP|12509248778743870914</stp>
        <tr r="AA195" s="1"/>
      </tp>
      <tp t="s">
        <v>#N/A N/A</v>
        <stp/>
        <stp>BDP|13987192298094933226</stp>
        <tr r="Y163" s="1"/>
      </tp>
      <tp t="s">
        <v>#N/A N/A</v>
        <stp/>
        <stp>BDP|17540075985787545512</stp>
        <tr r="X50" s="1"/>
      </tp>
      <tp t="s">
        <v>#N/A N/A</v>
        <stp/>
        <stp>BDP|11570626348088914649</stp>
        <tr r="AA53" s="1"/>
      </tp>
      <tp t="s">
        <v>#N/A N/A</v>
        <stp/>
        <stp>BDP|10185164502138772405</stp>
        <tr r="AB198" s="1"/>
      </tp>
      <tp t="s">
        <v>#N/A N/A</v>
        <stp/>
        <stp>BDP|14727595204339982510</stp>
        <tr r="X66" s="1"/>
      </tp>
      <tp t="s">
        <v>#N/A N/A</v>
        <stp/>
        <stp>BDP|11368565505329057026</stp>
        <tr r="AC142" s="1"/>
      </tp>
      <tp t="s">
        <v>#N/A N/A</v>
        <stp/>
        <stp>BDP|18361871917564970882</stp>
        <tr r="AC274" s="1"/>
      </tp>
      <tp t="s">
        <v>#N/A N/A</v>
        <stp/>
        <stp>BDP|12795588189532263065</stp>
        <tr r="AB299" s="1"/>
      </tp>
      <tp t="s">
        <v>#N/A N/A</v>
        <stp/>
        <stp>BDP|11711685498961783255</stp>
        <tr r="AB128" s="1"/>
      </tp>
      <tp t="s">
        <v>#N/A N/A</v>
        <stp/>
        <stp>BDP|11749863414551170412</stp>
        <tr r="Y304" s="1"/>
      </tp>
      <tp t="s">
        <v>#N/A N/A</v>
        <stp/>
        <stp>BDP|14299499179318235248</stp>
        <tr r="X186" s="1"/>
      </tp>
      <tp t="s">
        <v>#N/A N/A</v>
        <stp/>
        <stp>BDP|14560771262078783037</stp>
        <tr r="AA121" s="1"/>
      </tp>
      <tp t="s">
        <v>#N/A N/A</v>
        <stp/>
        <stp>BDP|17127876960813190708</stp>
        <tr r="X312" s="1"/>
      </tp>
      <tp t="s">
        <v>#N/A N/A</v>
        <stp/>
        <stp>BDP|11340423035028621355</stp>
        <tr r="AC225" s="1"/>
      </tp>
      <tp t="s">
        <v>#N/A N/A</v>
        <stp/>
        <stp>BDP|13402249494237786245</stp>
        <tr r="AC21" s="1"/>
      </tp>
      <tp t="s">
        <v>#N/A N/A</v>
        <stp/>
        <stp>BDP|10476990229360549676</stp>
        <tr r="AB278" s="1"/>
      </tp>
      <tp t="s">
        <v>#N/A N/A</v>
        <stp/>
        <stp>BDP|14664713145992359786</stp>
        <tr r="AB256" s="1"/>
      </tp>
      <tp t="s">
        <v>#N/A N/A</v>
        <stp/>
        <stp>BDP|12898068869010682686</stp>
        <tr r="AC163" s="1"/>
      </tp>
      <tp t="s">
        <v>#N/A N/A</v>
        <stp/>
        <stp>BDP|13658489263891014242</stp>
        <tr r="AB82" s="1"/>
      </tp>
      <tp t="s">
        <v>#N/A N/A</v>
        <stp/>
        <stp>BDP|15321023702510364794</stp>
        <tr r="AA9" s="1"/>
      </tp>
      <tp t="s">
        <v>#N/A N/A</v>
        <stp/>
        <stp>BDP|13030251709605180653</stp>
        <tr r="AA105" s="1"/>
      </tp>
      <tp t="s">
        <v>#N/A N/A</v>
        <stp/>
        <stp>BDP|12910912665827647833</stp>
        <tr r="X117" s="1"/>
      </tp>
      <tp t="s">
        <v>#N/A N/A</v>
        <stp/>
        <stp>BDP|12745591231426261052</stp>
        <tr r="Y62" s="1"/>
      </tp>
      <tp t="s">
        <v>#N/A N/A</v>
        <stp/>
        <stp>BDP|16661835256130861931</stp>
        <tr r="AA188" s="1"/>
      </tp>
      <tp t="s">
        <v>#N/A N/A</v>
        <stp/>
        <stp>BDP|11706988313522241953</stp>
        <tr r="X234" s="1"/>
      </tp>
      <tp t="s">
        <v>#N/A N/A</v>
        <stp/>
        <stp>BDP|18384489988865887308</stp>
        <tr r="X178" s="1"/>
      </tp>
      <tp t="s">
        <v>#N/A N/A</v>
        <stp/>
        <stp>BDP|16117528115176467697</stp>
        <tr r="AA67" s="1"/>
      </tp>
      <tp t="s">
        <v>#N/A N/A</v>
        <stp/>
        <stp>BDP|12142837683016995638</stp>
        <tr r="AC50" s="1"/>
      </tp>
      <tp t="s">
        <v>#N/A N/A</v>
        <stp/>
        <stp>BDP|14298088047604476627</stp>
        <tr r="AB332" s="1"/>
      </tp>
      <tp t="s">
        <v>#N/A N/A</v>
        <stp/>
        <stp>BDP|14541560507721623295</stp>
        <tr r="Y328" s="1"/>
      </tp>
      <tp t="s">
        <v>#N/A N/A</v>
        <stp/>
        <stp>BDP|13488594045761785158</stp>
        <tr r="AB125" s="1"/>
      </tp>
      <tp t="s">
        <v>#N/A N/A</v>
        <stp/>
        <stp>BDP|11357719502755221183</stp>
        <tr r="X103" s="1"/>
      </tp>
      <tp t="s">
        <v>#N/A N/A</v>
        <stp/>
        <stp>BDP|16330115729110786766</stp>
        <tr r="AA296" s="1"/>
      </tp>
      <tp t="s">
        <v>#N/A N/A</v>
        <stp/>
        <stp>BDP|12660362139738130829</stp>
        <tr r="Y132" s="1"/>
      </tp>
      <tp t="s">
        <v>#N/A N/A</v>
        <stp/>
        <stp>BDP|13199392107911474317</stp>
        <tr r="X100" s="1"/>
      </tp>
      <tp t="s">
        <v>#N/A N/A</v>
        <stp/>
        <stp>BDP|10339593290777617961</stp>
        <tr r="Y181" s="1"/>
      </tp>
      <tp t="s">
        <v>#N/A N/A</v>
        <stp/>
        <stp>BDP|14051906554912034896</stp>
        <tr r="AA205" s="1"/>
      </tp>
      <tp t="s">
        <v>#N/A N/A</v>
        <stp/>
        <stp>BDP|10904775216193725720</stp>
        <tr r="AC140" s="1"/>
      </tp>
      <tp t="s">
        <v>#N/A N/A</v>
        <stp/>
        <stp>BDP|14640598950266740045</stp>
        <tr r="X151" s="1"/>
      </tp>
      <tp t="s">
        <v>#N/A N/A</v>
        <stp/>
        <stp>BDP|13709476370753442188</stp>
        <tr r="AA287" s="1"/>
      </tp>
      <tp t="s">
        <v>#N/A N/A</v>
        <stp/>
        <stp>BDP|15886436461185231041</stp>
        <tr r="Y175" s="1"/>
      </tp>
      <tp t="s">
        <v>#N/A N/A</v>
        <stp/>
        <stp>BDP|15555160874824878537</stp>
        <tr r="AB41" s="1"/>
      </tp>
      <tp t="s">
        <v>#N/A N/A</v>
        <stp/>
        <stp>BDP|15061740999061798863</stp>
        <tr r="AB129" s="1"/>
      </tp>
      <tp t="s">
        <v>#N/A N/A</v>
        <stp/>
        <stp>BDP|16991903464762306928</stp>
        <tr r="AA284" s="1"/>
      </tp>
      <tp t="s">
        <v>#N/A N/A</v>
        <stp/>
        <stp>BDP|15265609503099757892</stp>
        <tr r="X157" s="1"/>
      </tp>
      <tp t="s">
        <v>#N/A N/A</v>
        <stp/>
        <stp>BDP|15852361980885847997</stp>
        <tr r="AA176" s="1"/>
      </tp>
      <tp t="s">
        <v>#N/A N/A</v>
        <stp/>
        <stp>BDP|17984499979617337155</stp>
        <tr r="AB275" s="1"/>
      </tp>
      <tp t="s">
        <v>#N/A N/A</v>
        <stp/>
        <stp>BDP|15526122699099061611</stp>
        <tr r="AB341" s="1"/>
      </tp>
      <tp t="s">
        <v>#N/A N/A</v>
        <stp/>
        <stp>BDP|16147656662480077488</stp>
        <tr r="AA31" s="1"/>
      </tp>
      <tp t="s">
        <v>#N/A N/A</v>
        <stp/>
        <stp>BDP|15232535607462069088</stp>
        <tr r="AC19" s="1"/>
      </tp>
      <tp t="s">
        <v>#N/A N/A</v>
        <stp/>
        <stp>BDP|16629501540276916313</stp>
        <tr r="X89" s="1"/>
      </tp>
      <tp t="s">
        <v>#N/A N/A</v>
        <stp/>
        <stp>BDP|14478772232183304138</stp>
        <tr r="X330" s="1"/>
      </tp>
      <tp t="s">
        <v>#N/A N/A</v>
        <stp/>
        <stp>BDP|16691531522953555035</stp>
        <tr r="X331" s="1"/>
      </tp>
      <tp t="s">
        <v>#N/A N/A</v>
        <stp/>
        <stp>BDP|15757225916777308316</stp>
        <tr r="AC101" s="1"/>
      </tp>
      <tp t="s">
        <v>#N/A N/A</v>
        <stp/>
        <stp>BDP|17378445545802381706</stp>
        <tr r="AB101" s="1"/>
      </tp>
      <tp t="s">
        <v>#N/A N/A</v>
        <stp/>
        <stp>BDP|17693611617393365130</stp>
        <tr r="AB244" s="1"/>
      </tp>
      <tp t="s">
        <v>#N/A N/A</v>
        <stp/>
        <stp>BDP|16045122540815731450</stp>
        <tr r="AC84" s="1"/>
      </tp>
      <tp t="s">
        <v>#N/A N/A</v>
        <stp/>
        <stp>BDP|10110252879831611683</stp>
        <tr r="X229" s="1"/>
      </tp>
      <tp t="s">
        <v>#N/A N/A</v>
        <stp/>
        <stp>BDP|13018254247971639677</stp>
        <tr r="Y223" s="1"/>
      </tp>
      <tp t="s">
        <v>#N/A N/A</v>
        <stp/>
        <stp>BDP|14660899384623806508</stp>
        <tr r="AC26" s="1"/>
      </tp>
      <tp t="s">
        <v>#N/A N/A</v>
        <stp/>
        <stp>BDP|15377619691689082106</stp>
        <tr r="AA84" s="1"/>
      </tp>
      <tp t="s">
        <v>#N/A N/A</v>
        <stp/>
        <stp>BDP|17446848575158047270</stp>
        <tr r="Y138" s="1"/>
      </tp>
      <tp t="s">
        <v>#N/A N/A</v>
        <stp/>
        <stp>BDP|12157266516871150226</stp>
        <tr r="X107" s="1"/>
      </tp>
      <tp t="s">
        <v>#N/A N/A</v>
        <stp/>
        <stp>BDP|14022361665447704468</stp>
        <tr r="X264" s="1"/>
      </tp>
      <tp t="s">
        <v>#N/A N/A</v>
        <stp/>
        <stp>BDP|18177874629359897958</stp>
        <tr r="Y122" s="1"/>
      </tp>
      <tp t="s">
        <v>#N/A N/A</v>
        <stp/>
        <stp>BDP|11304525156794532701</stp>
        <tr r="Y160" s="1"/>
      </tp>
      <tp t="s">
        <v>#N/A N/A</v>
        <stp/>
        <stp>BDP|14966219036633969425</stp>
        <tr r="X196" s="1"/>
      </tp>
      <tp t="s">
        <v>#N/A N/A</v>
        <stp/>
        <stp>BDP|11487765346106521646</stp>
        <tr r="Y265" s="1"/>
      </tp>
      <tp t="s">
        <v>#N/A N/A</v>
        <stp/>
        <stp>BDP|16472467406236244639</stp>
        <tr r="Y56" s="1"/>
      </tp>
      <tp t="s">
        <v>#N/A N/A</v>
        <stp/>
        <stp>BDP|14635366230210625638</stp>
        <tr r="AC177" s="1"/>
      </tp>
      <tp t="s">
        <v>#N/A N/A</v>
        <stp/>
        <stp>BDP|11486377057805777063</stp>
        <tr r="AC44" s="1"/>
      </tp>
      <tp t="s">
        <v>#N/A N/A</v>
        <stp/>
        <stp>BDP|10064242163531715753</stp>
        <tr r="AB172" s="1"/>
      </tp>
      <tp t="s">
        <v>#N/A N/A</v>
        <stp/>
        <stp>BDP|16329262016076524132</stp>
        <tr r="AC45" s="1"/>
      </tp>
      <tp t="s">
        <v>#N/A N/A</v>
        <stp/>
        <stp>BDP|15441605177056553033</stp>
        <tr r="X237" s="1"/>
      </tp>
      <tp t="s">
        <v>#N/A N/A</v>
        <stp/>
        <stp>BDP|13157474773641335333</stp>
        <tr r="AA154" s="1"/>
      </tp>
      <tp t="s">
        <v>#N/A N/A</v>
        <stp/>
        <stp>BDP|12674585827085564292</stp>
        <tr r="AA131" s="1"/>
      </tp>
      <tp t="s">
        <v>#N/A N/A</v>
        <stp/>
        <stp>BDP|13310320658411520684</stp>
        <tr r="Y346" s="1"/>
      </tp>
      <tp t="s">
        <v>#N/A N/A</v>
        <stp/>
        <stp>BDP|17174158016935149070</stp>
        <tr r="Y280" s="1"/>
      </tp>
      <tp t="s">
        <v>#N/A N/A</v>
        <stp/>
        <stp>BDP|13551437162333813082</stp>
        <tr r="AA61" s="1"/>
      </tp>
      <tp t="s">
        <v>#N/A N/A</v>
        <stp/>
        <stp>BDP|10814606937904831306</stp>
        <tr r="Y287" s="1"/>
      </tp>
      <tp t="s">
        <v>#N/A N/A</v>
        <stp/>
        <stp>BDP|17680965114164675952</stp>
        <tr r="AA198" s="1"/>
      </tp>
      <tp t="s">
        <v>#N/A N/A</v>
        <stp/>
        <stp>BDP|15758118711322138515</stp>
        <tr r="AB75" s="1"/>
      </tp>
      <tp t="s">
        <v>#N/A N/A</v>
        <stp/>
        <stp>BDP|10001728629932471587</stp>
        <tr r="X219" s="1"/>
      </tp>
      <tp t="s">
        <v>#N/A N/A</v>
        <stp/>
        <stp>BDP|12528536824787669035</stp>
        <tr r="AC94" s="1"/>
      </tp>
      <tp t="s">
        <v>#N/A N/A</v>
        <stp/>
        <stp>BDP|17997166808174337022</stp>
        <tr r="AB122" s="1"/>
      </tp>
      <tp t="s">
        <v>#N/A N/A</v>
        <stp/>
        <stp>BDP|16360666008747211594</stp>
        <tr r="AB23" s="1"/>
      </tp>
      <tp t="s">
        <v>#N/A N/A</v>
        <stp/>
        <stp>BDP|16671225478030591009</stp>
        <tr r="X99" s="1"/>
      </tp>
      <tp t="s">
        <v>#N/A N/A</v>
        <stp/>
        <stp>BDP|13518257793648859327</stp>
        <tr r="AB99" s="1"/>
      </tp>
      <tp t="s">
        <v>#N/A N/A</v>
        <stp/>
        <stp>BDP|10759648076774964645</stp>
        <tr r="AA145" s="1"/>
      </tp>
      <tp t="s">
        <v>#N/A N/A</v>
        <stp/>
        <stp>BDP|16856734523915931592</stp>
        <tr r="AB274" s="1"/>
      </tp>
      <tp t="s">
        <v>#N/A N/A</v>
        <stp/>
        <stp>BDP|11248405672904880503</stp>
        <tr r="AA299" s="1"/>
      </tp>
      <tp t="s">
        <v>#N/A N/A</v>
        <stp/>
        <stp>BDP|12611239789843391879</stp>
        <tr r="Y248" s="1"/>
      </tp>
      <tp t="s">
        <v>#N/A N/A</v>
        <stp/>
        <stp>BDP|17672162336324594282</stp>
        <tr r="AC162" s="1"/>
      </tp>
      <tp t="s">
        <v>#N/A N/A</v>
        <stp/>
        <stp>BDP|12381098415215528512</stp>
        <tr r="Y176" s="1"/>
      </tp>
      <tp t="s">
        <v>#N/A N/A</v>
        <stp/>
        <stp>BDP|10755688358695495587</stp>
        <tr r="AB107" s="1"/>
      </tp>
      <tp t="s">
        <v>#N/A N/A</v>
        <stp/>
        <stp>BDP|15500685316691600079</stp>
        <tr r="AC67" s="1"/>
      </tp>
      <tp t="s">
        <v>#N/A N/A</v>
        <stp/>
        <stp>BDP|15582413178406050360</stp>
        <tr r="AB159" s="1"/>
      </tp>
      <tp t="s">
        <v>#N/A N/A</v>
        <stp/>
        <stp>BDP|11901412053743155000</stp>
        <tr r="X336" s="1"/>
      </tp>
      <tp t="s">
        <v>#N/A N/A</v>
        <stp/>
        <stp>BDP|15865528113643315172</stp>
        <tr r="AB130" s="1"/>
      </tp>
      <tp t="s">
        <v>#N/A N/A</v>
        <stp/>
        <stp>BDP|12481049049846543310</stp>
        <tr r="X259" s="1"/>
      </tp>
      <tp t="s">
        <v>#N/A N/A</v>
        <stp/>
        <stp>BDP|12490387015706121559</stp>
        <tr r="Y194" s="1"/>
      </tp>
      <tp t="s">
        <v>#N/A N/A</v>
        <stp/>
        <stp>BDP|15725324234080964655</stp>
        <tr r="AC251" s="1"/>
      </tp>
      <tp t="s">
        <v>#N/A N/A</v>
        <stp/>
        <stp>BDP|14233195662083495314</stp>
        <tr r="AB279" s="1"/>
      </tp>
      <tp t="s">
        <v>#N/A N/A</v>
        <stp/>
        <stp>BDP|15913719926952395112</stp>
        <tr r="AA27" s="1"/>
      </tp>
      <tp t="s">
        <v>#N/A N/A</v>
        <stp/>
        <stp>BDP|10111463137454582092</stp>
        <tr r="AA115" s="1"/>
      </tp>
      <tp t="s">
        <v>#N/A N/A</v>
        <stp/>
        <stp>BDP|13189320008600679324</stp>
        <tr r="AA164" s="1"/>
      </tp>
      <tp t="s">
        <v>#N/A N/A</v>
        <stp/>
        <stp>BDP|16959174154841647031</stp>
        <tr r="AA177" s="1"/>
      </tp>
      <tp t="s">
        <v>#N/A N/A</v>
        <stp/>
        <stp>BDP|16063323470936473785</stp>
        <tr r="Y127" s="1"/>
      </tp>
      <tp t="s">
        <v>#N/A N/A</v>
        <stp/>
        <stp>BDP|11804717173925123750</stp>
        <tr r="Y91" s="1"/>
      </tp>
      <tp t="s">
        <v>#N/A N/A</v>
        <stp/>
        <stp>BDP|16641736786739489398</stp>
        <tr r="AC339" s="1"/>
      </tp>
      <tp t="s">
        <v>#N/A N/A</v>
        <stp/>
        <stp>BDP|10931644929213869427</stp>
        <tr r="AB269" s="1"/>
      </tp>
      <tp t="s">
        <v>#N/A N/A</v>
        <stp/>
        <stp>BDP|17101148714104769077</stp>
        <tr r="AC164" s="1"/>
      </tp>
      <tp t="s">
        <v>#N/A N/A</v>
        <stp/>
        <stp>BDP|10122937282720983289</stp>
        <tr r="AC73" s="1"/>
      </tp>
      <tp t="s">
        <v>#N/A N/A</v>
        <stp/>
        <stp>BDP|16025599068831138712</stp>
        <tr r="AB168" s="1"/>
      </tp>
      <tp t="s">
        <v>#N/A N/A</v>
        <stp/>
        <stp>BDP|11252692337657868052</stp>
        <tr r="AC14" s="1"/>
      </tp>
      <tp t="s">
        <v>#N/A N/A</v>
        <stp/>
        <stp>BDP|17917958693427650395</stp>
        <tr r="Y192" s="1"/>
      </tp>
      <tp t="s">
        <v>#N/A N/A</v>
        <stp/>
        <stp>BDP|13338549863815407600</stp>
        <tr r="AB89" s="1"/>
      </tp>
      <tp t="s">
        <v>#N/A N/A</v>
        <stp/>
        <stp>BDP|13367739366529369862</stp>
        <tr r="AA249" s="1"/>
      </tp>
      <tp t="s">
        <v>#N/A N/A</v>
        <stp/>
        <stp>BDP|13381212070264512144</stp>
        <tr r="AA85" s="1"/>
      </tp>
      <tp t="s">
        <v>#N/A N/A</v>
        <stp/>
        <stp>BDP|14109459020383766201</stp>
        <tr r="AC230" s="1"/>
      </tp>
      <tp t="s">
        <v>#N/A N/A</v>
        <stp/>
        <stp>BDP|11504185371505653197</stp>
        <tr r="AB249" s="1"/>
      </tp>
      <tp t="s">
        <v>#N/A N/A</v>
        <stp/>
        <stp>BDP|12022734340514433642</stp>
        <tr r="AA51" s="1"/>
      </tp>
      <tp t="s">
        <v>#N/A N/A</v>
        <stp/>
        <stp>BDP|16378829724988300753</stp>
        <tr r="AB233" s="1"/>
      </tp>
      <tp t="s">
        <v>#N/A N/A</v>
        <stp/>
        <stp>BDP|10199553034811088425</stp>
        <tr r="AC91" s="1"/>
      </tp>
      <tp t="s">
        <v>#N/A N/A</v>
        <stp/>
        <stp>BDP|10215864655346360803</stp>
        <tr r="AC179" s="1"/>
      </tp>
      <tp t="s">
        <v>#N/A N/A</v>
        <stp/>
        <stp>BDP|10034625931852777413</stp>
        <tr r="AB272" s="1"/>
      </tp>
      <tp t="s">
        <v>#N/A N/A</v>
        <stp/>
        <stp>BDP|14237043015587368150</stp>
        <tr r="AC40" s="1"/>
      </tp>
      <tp t="s">
        <v>#N/A N/A</v>
        <stp/>
        <stp>BDP|13274532155254618476</stp>
        <tr r="AB78" s="1"/>
      </tp>
      <tp t="s">
        <v>#N/A N/A</v>
        <stp/>
        <stp>BDP|11796413805270080664</stp>
        <tr r="AC345" s="1"/>
      </tp>
      <tp t="s">
        <v>#N/A N/A</v>
        <stp/>
        <stp>BDP|18326708065323716954</stp>
        <tr r="X81" s="1"/>
      </tp>
      <tp t="s">
        <v>#N/A N/A</v>
        <stp/>
        <stp>BDP|14730078186978406760</stp>
        <tr r="AA270" s="1"/>
      </tp>
      <tp t="s">
        <v>#N/A N/A</v>
        <stp/>
        <stp>BDP|17975155721105028295</stp>
        <tr r="AB222" s="1"/>
      </tp>
      <tp t="s">
        <v>#N/A N/A</v>
        <stp/>
        <stp>BDP|17740465151554141178</stp>
        <tr r="AA275" s="1"/>
      </tp>
      <tp t="s">
        <v>#N/A N/A</v>
        <stp/>
        <stp>BDP|14851426600215820640</stp>
        <tr r="AB257" s="1"/>
      </tp>
      <tp t="s">
        <v>#N/A N/A</v>
        <stp/>
        <stp>BDP|12394586127837968135</stp>
        <tr r="X230" s="1"/>
      </tp>
      <tp t="s">
        <v>#N/A N/A</v>
        <stp/>
        <stp>BDP|11401629562740917144</stp>
        <tr r="AC258" s="1"/>
      </tp>
      <tp t="s">
        <v>#N/A N/A</v>
        <stp/>
        <stp>BDP|10118164598289092163</stp>
        <tr r="X32" s="1"/>
      </tp>
      <tp t="s">
        <v>#N/A N/A</v>
        <stp/>
        <stp>BDP|14479742196482903864</stp>
        <tr r="AA120" s="1"/>
      </tp>
      <tp t="s">
        <v>#N/A N/A</v>
        <stp/>
        <stp>BDP|14304243576549997807</stp>
        <tr r="AC36" s="1"/>
      </tp>
      <tp t="s">
        <v>#N/A N/A</v>
        <stp/>
        <stp>BDP|10799599721486101162</stp>
        <tr r="AC113" s="1"/>
      </tp>
      <tp t="s">
        <v>#N/A N/A</v>
        <stp/>
        <stp>BDP|16318185880157541864</stp>
        <tr r="AC246" s="1"/>
      </tp>
      <tp t="s">
        <v>#N/A N/A</v>
        <stp/>
        <stp>BDP|10034590927722479526</stp>
        <tr r="AB80" s="1"/>
      </tp>
      <tp t="s">
        <v>#N/A N/A</v>
        <stp/>
        <stp>BDP|15025075693644651897</stp>
        <tr r="AA107" s="1"/>
      </tp>
      <tp t="s">
        <v>#N/A N/A</v>
        <stp/>
        <stp>BDP|17527467522912373399</stp>
        <tr r="AA33" s="1"/>
      </tp>
      <tp t="s">
        <v>#N/A N/A</v>
        <stp/>
        <stp>BDP|11176790810140355703</stp>
        <tr r="AA302" s="1"/>
      </tp>
      <tp t="s">
        <v>#N/A N/A</v>
        <stp/>
        <stp>BDP|12330747670794963653</stp>
        <tr r="X93" s="1"/>
      </tp>
      <tp t="s">
        <v>#N/A N/A</v>
        <stp/>
        <stp>BDP|12539612198984391947</stp>
        <tr r="X314" s="1"/>
      </tp>
      <tp t="s">
        <v>#N/A N/A</v>
        <stp/>
        <stp>BDP|14601227760876974670</stp>
        <tr r="Y197" s="1"/>
      </tp>
      <tp t="s">
        <v>#N/A N/A</v>
        <stp/>
        <stp>BDP|16630340858420652060</stp>
        <tr r="AC311" s="1"/>
      </tp>
      <tp t="s">
        <v>#N/A N/A</v>
        <stp/>
        <stp>BDP|10643123579276014075</stp>
        <tr r="AC147" s="1"/>
      </tp>
      <tp t="s">
        <v>#N/A N/A</v>
        <stp/>
        <stp>BDP|12180368928612393114</stp>
        <tr r="X168" s="1"/>
      </tp>
      <tp t="s">
        <v>#N/A N/A</v>
        <stp/>
        <stp>BDP|17493338274823754095</stp>
        <tr r="X11" s="1"/>
      </tp>
      <tp t="s">
        <v>#N/A N/A</v>
        <stp/>
        <stp>BDP|13844616674752084002</stp>
        <tr r="Y139" s="1"/>
      </tp>
      <tp t="s">
        <v>#N/A N/A</v>
        <stp/>
        <stp>BDP|13974245771832148403</stp>
        <tr r="X311" s="1"/>
      </tp>
      <tp t="s">
        <v>#N/A N/A</v>
        <stp/>
        <stp>BDP|10342697131100177570</stp>
        <tr r="X210" s="1"/>
      </tp>
      <tp t="s">
        <v>#N/A N/A</v>
        <stp/>
        <stp>BDP|10828136067912410549</stp>
        <tr r="AA315" s="1"/>
      </tp>
      <tp t="s">
        <v>#N/A N/A</v>
        <stp/>
        <stp>BDP|15374845123389039686</stp>
        <tr r="X39" s="1"/>
      </tp>
      <tp t="s">
        <v>#N/A N/A</v>
        <stp/>
        <stp>BDP|11182387660206151273</stp>
        <tr r="Y169" s="1"/>
      </tp>
      <tp t="s">
        <v>#N/A N/A</v>
        <stp/>
        <stp>BDP|14650760013202592093</stp>
        <tr r="X26" s="1"/>
      </tp>
      <tp t="s">
        <v>#N/A N/A</v>
        <stp/>
        <stp>BDP|14030438558493374678</stp>
        <tr r="X165" s="1"/>
      </tp>
      <tp t="s">
        <v>#N/A N/A</v>
        <stp/>
        <stp>BDP|16741710869856403148</stp>
        <tr r="X193" s="1"/>
      </tp>
      <tp t="s">
        <v>#N/A N/A</v>
        <stp/>
        <stp>BDP|15597303649050575277</stp>
        <tr r="X291" s="1"/>
      </tp>
      <tp t="s">
        <v>#N/A N/A</v>
        <stp/>
        <stp>BDP|10529397951786200011</stp>
        <tr r="X49" s="1"/>
      </tp>
      <tp t="s">
        <v>#N/A N/A</v>
        <stp/>
        <stp>BDP|13788184533534741559</stp>
        <tr r="AA180" s="1"/>
      </tp>
      <tp t="s">
        <v>#N/A N/A</v>
        <stp/>
        <stp>BDP|10682460433084097322</stp>
        <tr r="AC23" s="1"/>
      </tp>
      <tp t="s">
        <v>#N/A N/A</v>
        <stp/>
        <stp>BDP|12126516912222214411</stp>
        <tr r="X74" s="1"/>
      </tp>
      <tp t="s">
        <v>#N/A N/A</v>
        <stp/>
        <stp>BDP|12181154824873035211</stp>
        <tr r="X334" s="1"/>
      </tp>
      <tp t="s">
        <v>#N/A N/A</v>
        <stp/>
        <stp>BDP|18191732742879111219</stp>
        <tr r="X224" s="1"/>
      </tp>
      <tp t="s">
        <v>#N/A N/A</v>
        <stp/>
        <stp>BDP|13031843336019327114</stp>
        <tr r="AA91" s="1"/>
      </tp>
      <tp t="s">
        <v>#N/A N/A</v>
        <stp/>
        <stp>BDP|14725781473830802470</stp>
        <tr r="AB253" s="1"/>
      </tp>
      <tp t="s">
        <v>#N/A N/A</v>
        <stp/>
        <stp>BDP|11625694531050986445</stp>
        <tr r="Y41" s="1"/>
      </tp>
      <tp t="s">
        <v>#N/A N/A</v>
        <stp/>
        <stp>BDP|11194566517723152624</stp>
        <tr r="AC333" s="1"/>
      </tp>
      <tp t="s">
        <v>#N/A N/A</v>
        <stp/>
        <stp>BDP|12636477573773196204</stp>
        <tr r="AA30" s="1"/>
      </tp>
      <tp t="s">
        <v>#N/A N/A</v>
        <stp/>
        <stp>BDP|15351943502849101573</stp>
        <tr r="X106" s="1"/>
      </tp>
      <tp t="s">
        <v>#N/A N/A</v>
        <stp/>
        <stp>BDP|18308435959920848924</stp>
        <tr r="X249" s="1"/>
      </tp>
      <tp t="s">
        <v>#N/A N/A</v>
        <stp/>
        <stp>BDP|18317518487370389551</stp>
        <tr r="Y133" s="1"/>
      </tp>
      <tp t="s">
        <v>#N/A N/A</v>
        <stp/>
        <stp>BDP|13065635700852982795</stp>
        <tr r="X19" s="1"/>
      </tp>
      <tp t="s">
        <v>#N/A N/A</v>
        <stp/>
        <stp>BDP|10856582275471636313</stp>
        <tr r="AC110" s="1"/>
      </tp>
      <tp t="s">
        <v>#N/A N/A</v>
        <stp/>
        <stp>BDP|11920072377277360184</stp>
        <tr r="Y137" s="1"/>
      </tp>
      <tp t="s">
        <v>#N/A N/A</v>
        <stp/>
        <stp>BDP|10088713590998218616</stp>
        <tr r="X327" s="1"/>
      </tp>
      <tp t="s">
        <v>#N/A N/A</v>
        <stp/>
        <stp>BDP|12379126510183669128</stp>
        <tr r="Y69" s="1"/>
      </tp>
      <tp t="s">
        <v>#N/A N/A</v>
        <stp/>
        <stp>BDP|10456764627473329624</stp>
        <tr r="X7" s="1"/>
      </tp>
      <tp t="s">
        <v>#N/A N/A</v>
        <stp/>
        <stp>BDP|17966212545278029991</stp>
        <tr r="AC157" s="1"/>
      </tp>
      <tp t="s">
        <v>#N/A N/A</v>
        <stp/>
        <stp>BDP|17702078725300268502</stp>
        <tr r="X129" s="1"/>
      </tp>
      <tp t="s">
        <v>#N/A N/A</v>
        <stp/>
        <stp>BDP|15194249106132089547</stp>
        <tr r="AB324" s="1"/>
      </tp>
      <tp t="s">
        <v>#N/A N/A</v>
        <stp/>
        <stp>BDP|14409554727567294435</stp>
        <tr r="AB153" s="1"/>
      </tp>
      <tp t="s">
        <v>#N/A N/A</v>
        <stp/>
        <stp>BDP|10243521617820682468</stp>
        <tr r="AB209" s="1"/>
      </tp>
      <tp t="s">
        <v>#N/A N/A</v>
        <stp/>
        <stp>BDP|18061071935849372264</stp>
        <tr r="AB189" s="1"/>
      </tp>
      <tp t="s">
        <v>#N/A N/A</v>
        <stp/>
        <stp>BDP|14916635127569241983</stp>
        <tr r="X20" s="1"/>
      </tp>
      <tp t="s">
        <v>#N/A N/A</v>
        <stp/>
        <stp>BDP|16010940185480276746</stp>
        <tr r="AB14" s="1"/>
      </tp>
      <tp t="s">
        <v>#N/A N/A</v>
        <stp/>
        <stp>BDP|18293978208747310693</stp>
        <tr r="AB203" s="1"/>
      </tp>
      <tp t="s">
        <v>#N/A N/A</v>
        <stp/>
        <stp>BDP|15143408023000637324</stp>
        <tr r="AB167" s="1"/>
      </tp>
      <tp t="s">
        <v>#N/A N/A</v>
        <stp/>
        <stp>BDP|18184543814575229954</stp>
        <tr r="Y299" s="1"/>
      </tp>
      <tp t="s">
        <v>#N/A N/A</v>
        <stp/>
        <stp>BDP|16380032983306444812</stp>
        <tr r="AB276" s="1"/>
      </tp>
      <tp t="s">
        <v>#N/A N/A</v>
        <stp/>
        <stp>BDP|13700065324107558664</stp>
        <tr r="AA193" s="1"/>
      </tp>
      <tp t="s">
        <v>#N/A N/A</v>
        <stp/>
        <stp>BDP|18322432176528458344</stp>
        <tr r="AC236" s="1"/>
      </tp>
      <tp t="s">
        <v>#N/A N/A</v>
        <stp/>
        <stp>BDP|13205351375234162351</stp>
        <tr r="X113" s="1"/>
      </tp>
      <tp t="s">
        <v>#N/A N/A</v>
        <stp/>
        <stp>BDP|15722468963317362182</stp>
        <tr r="AB11" s="1"/>
      </tp>
      <tp t="s">
        <v>#N/A N/A</v>
        <stp/>
        <stp>BDP|10335055524011238297</stp>
        <tr r="Y219" s="1"/>
      </tp>
      <tp t="s">
        <v>#N/A N/A</v>
        <stp/>
        <stp>BDP|15902565534772073024</stp>
        <tr r="Y207" s="1"/>
      </tp>
      <tp t="s">
        <v>#N/A N/A</v>
        <stp/>
        <stp>BDP|16500260615574951049</stp>
        <tr r="AC30" s="1"/>
      </tp>
      <tp t="s">
        <v>#N/A N/A</v>
        <stp/>
        <stp>BDP|14852150118715702090</stp>
        <tr r="AC200" s="1"/>
      </tp>
      <tp t="s">
        <v>#N/A N/A</v>
        <stp/>
        <stp>BDP|12676210901195924450</stp>
        <tr r="AA60" s="1"/>
      </tp>
      <tp t="s">
        <v>#N/A N/A</v>
        <stp/>
        <stp>BDP|15728246788378089662</stp>
        <tr r="AB81" s="1"/>
      </tp>
      <tp t="s">
        <v>#N/A N/A</v>
        <stp/>
        <stp>BDP|16764056149381255244</stp>
        <tr r="AC151" s="1"/>
      </tp>
      <tp t="s">
        <v>#N/A N/A</v>
        <stp/>
        <stp>BDP|10658599856779197843</stp>
        <tr r="AA169" s="1"/>
      </tp>
      <tp t="s">
        <v>#N/A N/A</v>
        <stp/>
        <stp>BDP|16250203559446222654</stp>
        <tr r="X303" s="1"/>
      </tp>
      <tp t="s">
        <v>#N/A N/A</v>
        <stp/>
        <stp>BDP|10951732355645339638</stp>
        <tr r="AB140" s="1"/>
      </tp>
      <tp t="s">
        <v>#N/A N/A</v>
        <stp/>
        <stp>BDP|12973721116600775558</stp>
        <tr r="AB40" s="1"/>
      </tp>
      <tp t="s">
        <v>#N/A N/A</v>
        <stp/>
        <stp>BDP|15338729801793843075</stp>
        <tr r="AB65" s="1"/>
      </tp>
      <tp t="s">
        <v>#N/A N/A</v>
        <stp/>
        <stp>BDP|15944648022398576859</stp>
        <tr r="X148" s="1"/>
      </tp>
      <tp t="s">
        <v>#N/A N/A</v>
        <stp/>
        <stp>BDP|16098154743630026280</stp>
        <tr r="Y286" s="1"/>
      </tp>
      <tp t="s">
        <v>#N/A N/A</v>
        <stp/>
        <stp>BDP|16731727178163043432</stp>
        <tr r="AC234" s="1"/>
      </tp>
      <tp t="s">
        <v>#N/A N/A</v>
        <stp/>
        <stp>BDP|10399112222202012013</stp>
        <tr r="AC205" s="1"/>
      </tp>
      <tp t="s">
        <v>#N/A N/A</v>
        <stp/>
        <stp>BDP|15140239865987084765</stp>
        <tr r="AA142" s="1"/>
      </tp>
      <tp t="s">
        <v>#N/A N/A</v>
        <stp/>
        <stp>BDP|10905151600261926147</stp>
        <tr r="X307" s="1"/>
      </tp>
      <tp t="s">
        <v>#N/A N/A</v>
        <stp/>
        <stp>BDP|12396332500118148814</stp>
        <tr r="AA182" s="1"/>
      </tp>
      <tp t="s">
        <v>#N/A N/A</v>
        <stp/>
        <stp>BDP|12131181509004539659</stp>
        <tr r="X71" s="1"/>
      </tp>
      <tp t="s">
        <v>#N/A N/A</v>
        <stp/>
        <stp>BDP|10027723307394400210</stp>
        <tr r="Y83" s="1"/>
      </tp>
      <tp t="s">
        <v>#N/A N/A</v>
        <stp/>
        <stp>BDP|16028699358856307225</stp>
        <tr r="X87" s="1"/>
      </tp>
      <tp t="s">
        <v>#N/A N/A</v>
        <stp/>
        <stp>BDP|10322072561282105547</stp>
        <tr r="AB57" s="1"/>
      </tp>
      <tp t="s">
        <v>#N/A N/A</v>
        <stp/>
        <stp>BDP|14591270626211328442</stp>
        <tr r="Y212" s="1"/>
      </tp>
      <tp t="s">
        <v>#N/A N/A</v>
        <stp/>
        <stp>BDP|17455924087640008729</stp>
        <tr r="AA76" s="1"/>
      </tp>
      <tp t="s">
        <v>#N/A N/A</v>
        <stp/>
        <stp>BDP|12687171059121356694</stp>
        <tr r="AC121" s="1"/>
      </tp>
      <tp t="s">
        <v>#N/A N/A</v>
        <stp/>
        <stp>BDP|12338464940101715206</stp>
        <tr r="AC99" s="1"/>
      </tp>
      <tp t="s">
        <v>#N/A N/A</v>
        <stp/>
        <stp>BDP|16849521974520272598</stp>
        <tr r="AC100" s="1"/>
      </tp>
      <tp t="s">
        <v>#N/A N/A</v>
        <stp/>
        <stp>BDP|14641566532765334646</stp>
        <tr r="AB119" s="1"/>
      </tp>
      <tp t="s">
        <v>#N/A N/A</v>
        <stp/>
        <stp>BDP|12814077219074452677</stp>
        <tr r="AA333" s="1"/>
      </tp>
      <tp t="s">
        <v>#N/A N/A</v>
        <stp/>
        <stp>BDP|13081937840337149865</stp>
        <tr r="X267" s="1"/>
      </tp>
      <tp t="s">
        <v>#N/A N/A</v>
        <stp/>
        <stp>BDP|15106226542602643031</stp>
        <tr r="Y338" s="1"/>
      </tp>
      <tp t="s">
        <v>#N/A N/A</v>
        <stp/>
        <stp>BDP|12274067181422562978</stp>
        <tr r="AA35" s="1"/>
      </tp>
      <tp t="s">
        <v>#N/A N/A</v>
        <stp/>
        <stp>BDP|16441341084228786446</stp>
        <tr r="X254" s="1"/>
      </tp>
      <tp t="s">
        <v>#N/A N/A</v>
        <stp/>
        <stp>BDP|18140127426203344913</stp>
        <tr r="AA334" s="1"/>
      </tp>
      <tp t="s">
        <v>#N/A N/A</v>
        <stp/>
        <stp>BDP|12755176833779684835</stp>
        <tr r="AA269" s="1"/>
      </tp>
      <tp t="s">
        <v>#N/A N/A</v>
        <stp/>
        <stp>BDP|17787148317452080423</stp>
        <tr r="X79" s="1"/>
      </tp>
      <tp t="s">
        <v>#N/A N/A</v>
        <stp/>
        <stp>BDP|11532519256861147154</stp>
        <tr r="X198" s="1"/>
      </tp>
      <tp t="s">
        <v>#N/A N/A</v>
        <stp/>
        <stp>BDP|13250607435455076216</stp>
        <tr r="X18" s="1"/>
      </tp>
      <tp t="s">
        <v>#N/A N/A</v>
        <stp/>
        <stp>BDP|12200776665865637709</stp>
        <tr r="Y86" s="1"/>
      </tp>
      <tp t="s">
        <v>#N/A N/A</v>
        <stp/>
        <stp>BDP|11684625488239373061</stp>
        <tr r="AB261" s="1"/>
      </tp>
      <tp t="s">
        <v>#N/A N/A</v>
        <stp/>
        <stp>BDP|15884272290488107072</stp>
        <tr r="X37" s="1"/>
      </tp>
      <tp t="s">
        <v>#N/A N/A</v>
        <stp/>
        <stp>BDP|11906651145782024708</stp>
        <tr r="AB55" s="1"/>
      </tp>
      <tp t="s">
        <v>#N/A N/A</v>
        <stp/>
        <stp>BDP|13029618306801859263</stp>
        <tr r="AB288" s="1"/>
      </tp>
      <tp t="s">
        <v>#N/A N/A</v>
        <stp/>
        <stp>BDP|11859192457081790297</stp>
        <tr r="AC62" s="1"/>
      </tp>
      <tp t="s">
        <v>#N/A N/A</v>
        <stp/>
        <stp>BDP|16695476958141153006</stp>
        <tr r="AB264" s="1"/>
      </tp>
      <tp t="s">
        <v>#N/A N/A</v>
        <stp/>
        <stp>BDP|11062543678992297768</stp>
        <tr r="X223" s="1"/>
      </tp>
      <tp t="s">
        <v>#N/A N/A</v>
        <stp/>
        <stp>BDP|11265642392689508193</stp>
        <tr r="X88" s="1"/>
      </tp>
      <tp t="s">
        <v>#N/A N/A</v>
        <stp/>
        <stp>BDP|12232410134713834072</stp>
        <tr r="AA290" s="1"/>
      </tp>
      <tp t="s">
        <v>#N/A N/A</v>
        <stp/>
        <stp>BDP|10468900053273768986</stp>
        <tr r="AC208" s="1"/>
      </tp>
      <tp t="s">
        <v>#N/A N/A</v>
        <stp/>
        <stp>BDP|12806364935873663764</stp>
        <tr r="AB344" s="1"/>
      </tp>
      <tp t="s">
        <v>#N/A N/A</v>
        <stp/>
        <stp>BDP|13692432748934233120</stp>
        <tr r="AC34" s="1"/>
      </tp>
      <tp t="s">
        <v>#N/A N/A</v>
        <stp/>
        <stp>BDP|17683633941376847519</stp>
        <tr r="AA179" s="1"/>
      </tp>
      <tp t="s">
        <v>#N/A N/A</v>
        <stp/>
        <stp>BDP|17155960769518051631</stp>
        <tr r="AC129" s="1"/>
      </tp>
      <tp t="s">
        <v>#N/A N/A</v>
        <stp/>
        <stp>BDP|12127602304662066099</stp>
        <tr r="AB71" s="1"/>
      </tp>
      <tp t="s">
        <v>#N/A N/A</v>
        <stp/>
        <stp>BDP|14193015944400939618</stp>
        <tr r="AA118" s="1"/>
      </tp>
      <tp t="s">
        <v>#N/A N/A</v>
        <stp/>
        <stp>BDP|15249387765935027301</stp>
        <tr r="X272" s="1"/>
      </tp>
      <tp t="s">
        <v>#N/A N/A</v>
        <stp/>
        <stp>BDP|13794553940304417090</stp>
        <tr r="AA52" s="1"/>
      </tp>
      <tp t="s">
        <v>#N/A N/A</v>
        <stp/>
        <stp>BDP|18415368579073447901</stp>
        <tr r="AB123" s="1"/>
      </tp>
      <tp t="s">
        <v>#N/A N/A</v>
        <stp/>
        <stp>BDP|16937531874150913293</stp>
        <tr r="AB149" s="1"/>
      </tp>
      <tp t="s">
        <v>#N/A N/A</v>
        <stp/>
        <stp>BDP|11455161210703966452</stp>
        <tr r="AA78" s="1"/>
      </tp>
      <tp t="s">
        <v>#N/A N/A</v>
        <stp/>
        <stp>BDP|15885871696045939714</stp>
        <tr r="Y200" s="1"/>
      </tp>
      <tp t="s">
        <v>#N/A N/A</v>
        <stp/>
        <stp>BDP|16621263025884315474</stp>
        <tr r="Y206" s="1"/>
      </tp>
      <tp t="s">
        <v>#N/A N/A</v>
        <stp/>
        <stp>BDP|14563033335111201003</stp>
        <tr r="Y105" s="1"/>
      </tp>
      <tp t="s">
        <v>#N/A N/A</v>
        <stp/>
        <stp>BDP|12833959341040498988</stp>
        <tr r="AB317" s="1"/>
      </tp>
      <tp t="s">
        <v>#N/A N/A</v>
        <stp/>
        <stp>BDP|10523133395059314708</stp>
        <tr r="Y55" s="1"/>
      </tp>
      <tp t="s">
        <v>#N/A N/A</v>
        <stp/>
        <stp>BDP|10381476821312770225</stp>
        <tr r="AC87" s="1"/>
      </tp>
      <tp t="s">
        <v>#N/A N/A</v>
        <stp/>
        <stp>BDP|11278774992289266054</stp>
        <tr r="AB163" s="1"/>
      </tp>
      <tp t="s">
        <v>#N/A N/A</v>
        <stp/>
        <stp>BDP|15222241925402477171</stp>
        <tr r="X23" s="1"/>
      </tp>
      <tp t="s">
        <v>#N/A N/A</v>
        <stp/>
        <stp>BDP|12449323065962600366</stp>
        <tr r="X135" s="1"/>
      </tp>
      <tp t="s">
        <v>#N/A N/A</v>
        <stp/>
        <stp>BDP|15657470153451882391</stp>
        <tr r="AC175" s="1"/>
      </tp>
      <tp t="s">
        <v>#N/A N/A</v>
        <stp/>
        <stp>BDP|14350573631595752114</stp>
        <tr r="AC74" s="1"/>
      </tp>
      <tp t="s">
        <v>#N/A N/A</v>
        <stp/>
        <stp>BDP|15567277105980381172</stp>
        <tr r="X67" s="1"/>
      </tp>
      <tp t="s">
        <v>#N/A N/A</v>
        <stp/>
        <stp>BDP|11761392108232245677</stp>
        <tr r="AB137" s="1"/>
      </tp>
      <tp t="s">
        <v>#N/A N/A</v>
        <stp/>
        <stp>BDP|14950530467206661793</stp>
        <tr r="AB334" s="1"/>
      </tp>
      <tp t="s">
        <v>#N/A N/A</v>
        <stp/>
        <stp>BDP|12834193281434039921</stp>
        <tr r="Y131" s="1"/>
      </tp>
      <tp t="s">
        <v>#N/A N/A</v>
        <stp/>
        <stp>BDP|13503179858742989310</stp>
        <tr r="AB47" s="1"/>
      </tp>
      <tp t="s">
        <v>#N/A N/A</v>
        <stp/>
        <stp>BDP|14802057118776063573</stp>
        <tr r="X77" s="1"/>
      </tp>
      <tp t="s">
        <v>#N/A N/A</v>
        <stp/>
        <stp>BDP|10662437482853246906</stp>
        <tr r="AC284" s="1"/>
      </tp>
      <tp t="s">
        <v>#N/A N/A</v>
        <stp/>
        <stp>BDP|17575478703636175354</stp>
        <tr r="AC38" s="1"/>
      </tp>
      <tp t="s">
        <v>#N/A N/A</v>
        <stp/>
        <stp>BDP|14525643735504982385</stp>
        <tr r="Y44" s="1"/>
      </tp>
      <tp t="s">
        <v>#N/A N/A</v>
        <stp/>
        <stp>BDP|10208377046100393153</stp>
        <tr r="AA319" s="1"/>
      </tp>
      <tp t="s">
        <v>#N/A N/A</v>
        <stp/>
        <stp>BDP|10620620125602237064</stp>
        <tr r="AC218" s="1"/>
      </tp>
      <tp t="s">
        <v>#N/A N/A</v>
        <stp/>
        <stp>BDP|12067748170414429043</stp>
        <tr r="X163" s="1"/>
      </tp>
      <tp t="s">
        <v>#N/A N/A</v>
        <stp/>
        <stp>BDP|17573253303836404537</stp>
        <tr r="AB285" s="1"/>
      </tp>
      <tp t="s">
        <v>#N/A N/A</v>
        <stp/>
        <stp>BDP|11704010810522711457</stp>
        <tr r="Y249" s="1"/>
      </tp>
      <tp t="s">
        <v>#N/A N/A</v>
        <stp/>
        <stp>BDP|16182487570981564283</stp>
        <tr r="X261" s="1"/>
      </tp>
      <tp t="s">
        <v>#N/A N/A</v>
        <stp/>
        <stp>BDP|16775592296028977455</stp>
        <tr r="AC324" s="1"/>
      </tp>
      <tp t="s">
        <v>#N/A N/A</v>
        <stp/>
        <stp>BDP|14965790826190021723</stp>
        <tr r="X211" s="1"/>
      </tp>
      <tp t="s">
        <v>#N/A N/A</v>
        <stp/>
        <stp>BDP|10083602206420699043</stp>
        <tr r="AA89" s="1"/>
      </tp>
      <tp t="s">
        <v>#N/A N/A</v>
        <stp/>
        <stp>BDP|16903425231196963149</stp>
        <tr r="Y317" s="1"/>
      </tp>
      <tp t="s">
        <v>#N/A N/A</v>
        <stp/>
        <stp>BDP|16795048603629591926</stp>
        <tr r="AC250" s="1"/>
      </tp>
      <tp t="s">
        <v>#N/A N/A</v>
        <stp/>
        <stp>BDP|14366782720796987156</stp>
        <tr r="AB183" s="1"/>
      </tp>
      <tp t="s">
        <v>#N/A N/A</v>
        <stp/>
        <stp>BDP|16201211567052538667</stp>
        <tr r="AA311" s="1"/>
      </tp>
      <tp t="s">
        <v>#N/A N/A</v>
        <stp/>
        <stp>BDP|18387229716109177404</stp>
        <tr r="Y148" s="1"/>
      </tp>
      <tp t="s">
        <v>#N/A N/A</v>
        <stp/>
        <stp>BDP|10649407468363848700</stp>
        <tr r="X286" s="1"/>
      </tp>
      <tp t="s">
        <v>#N/A N/A</v>
        <stp/>
        <stp>BDP|12144694715587909421</stp>
        <tr r="AA328" s="1"/>
      </tp>
      <tp t="s">
        <v>#N/A N/A</v>
        <stp/>
        <stp>BDP|11307280690835269805</stp>
        <tr r="AA288" s="1"/>
      </tp>
      <tp t="s">
        <v>#N/A N/A</v>
        <stp/>
        <stp>BDP|16406959968519430745</stp>
        <tr r="AC174" s="1"/>
      </tp>
      <tp t="s">
        <v>#N/A N/A</v>
        <stp/>
        <stp>BDP|12762420138825668721</stp>
        <tr r="X45" s="1"/>
      </tp>
      <tp t="s">
        <v>#N/A N/A</v>
        <stp/>
        <stp>BDP|11881516823812602355</stp>
        <tr r="AC306" s="1"/>
      </tp>
      <tp t="s">
        <v>#N/A N/A</v>
        <stp/>
        <stp>BDP|13655060860715157798</stp>
        <tr r="Y134" s="1"/>
      </tp>
      <tp t="s">
        <v>#N/A N/A</v>
        <stp/>
        <stp>BDP|16409073317094480484</stp>
        <tr r="AC137" s="1"/>
      </tp>
      <tp t="s">
        <v>#N/A N/A</v>
        <stp/>
        <stp>BDP|16017292994493638933</stp>
        <tr r="AA23" s="1"/>
      </tp>
      <tp t="s">
        <v>#N/A N/A</v>
        <stp/>
        <stp>BDP|17334715553726841410</stp>
        <tr r="AC145" s="1"/>
      </tp>
      <tp t="s">
        <v>#N/A N/A</v>
        <stp/>
        <stp>BDP|16805641052641309353</stp>
        <tr r="AC272" s="1"/>
      </tp>
      <tp t="s">
        <v>#N/A N/A</v>
        <stp/>
        <stp>BDP|17820925957375145975</stp>
        <tr r="AC285" s="1"/>
      </tp>
      <tp t="s">
        <v>#N/A N/A</v>
        <stp/>
        <stp>BDP|12658764979390245519</stp>
        <tr r="AA341" s="1"/>
      </tp>
      <tp t="s">
        <v>#N/A N/A</v>
        <stp/>
        <stp>BDP|16068292196719126342</stp>
        <tr r="AB98" s="1"/>
      </tp>
      <tp t="s">
        <v>#N/A N/A</v>
        <stp/>
        <stp>BDP|15630308110920921054</stp>
        <tr r="AA25" s="1"/>
      </tp>
      <tp t="s">
        <v>#N/A N/A</v>
        <stp/>
        <stp>BDP|13465186488429187487</stp>
        <tr r="AC183" s="1"/>
      </tp>
      <tp t="s">
        <v>#N/A N/A</v>
        <stp/>
        <stp>BDP|16336068871060167684</stp>
        <tr r="AA29" s="1"/>
      </tp>
      <tp t="s">
        <v>#N/A N/A</v>
        <stp/>
        <stp>BDP|10260583951702788513</stp>
        <tr r="Y332" s="1"/>
      </tp>
      <tp t="s">
        <v>#N/A N/A</v>
        <stp/>
        <stp>BDP|18342923911732814555</stp>
        <tr r="AB9" s="1"/>
      </tp>
      <tp t="s">
        <v>#N/A N/A</v>
        <stp/>
        <stp>BDP|17660808881739977924</stp>
        <tr r="AA132" s="1"/>
      </tp>
      <tp t="s">
        <v>#N/A N/A</v>
        <stp/>
        <stp>BDP|12837150941997979797</stp>
        <tr r="AB51" s="1"/>
      </tp>
      <tp t="s">
        <v>#N/A N/A</v>
        <stp/>
        <stp>BDP|16452991176829257654</stp>
        <tr r="Y170" s="1"/>
      </tp>
      <tp t="s">
        <v>#N/A N/A</v>
        <stp/>
        <stp>BDP|15080314629577377472</stp>
        <tr r="Y124" s="1"/>
      </tp>
      <tp t="s">
        <v>#N/A N/A</v>
        <stp/>
        <stp>BDP|10645594118267329486</stp>
        <tr r="AC143" s="1"/>
      </tp>
      <tp t="s">
        <v>#N/A N/A</v>
        <stp/>
        <stp>BDP|17642501037042462497</stp>
        <tr r="Y81" s="1"/>
      </tp>
      <tp t="s">
        <v>#N/A N/A</v>
        <stp/>
        <stp>BDP|13297975632637069984</stp>
        <tr r="AB322" s="1"/>
      </tp>
      <tp t="s">
        <v>#N/A N/A</v>
        <stp/>
        <stp>BDP|15970313137777251525</stp>
        <tr r="Y34" s="1"/>
      </tp>
      <tp t="s">
        <v>#N/A N/A</v>
        <stp/>
        <stp>BDP|10501381652673613260</stp>
        <tr r="Y343" s="1"/>
      </tp>
      <tp t="s">
        <v>#N/A N/A</v>
        <stp/>
        <stp>BDP|15089964838279288133</stp>
        <tr r="Y95" s="1"/>
      </tp>
      <tp t="s">
        <v>#N/A N/A</v>
        <stp/>
        <stp>BDP|12525053928383102473</stp>
        <tr r="AB91" s="1"/>
      </tp>
      <tp t="s">
        <v>#N/A N/A</v>
        <stp/>
        <stp>BDP|14271461138963026729</stp>
        <tr r="AC241" s="1"/>
      </tp>
      <tp t="s">
        <v>#N/A N/A</v>
        <stp/>
        <stp>BDP|18215152621319669517</stp>
        <tr r="AC321" s="1"/>
      </tp>
      <tp t="s">
        <v>#N/A N/A</v>
        <stp/>
        <stp>BDP|17417402471983191054</stp>
        <tr r="AA285" s="1"/>
      </tp>
      <tp t="s">
        <v>#N/A N/A</v>
        <stp/>
        <stp>BDP|11500449547853153563</stp>
        <tr r="AC144" s="1"/>
      </tp>
      <tp t="s">
        <v>#N/A N/A</v>
        <stp/>
        <stp>BDP|13229027412370192536</stp>
        <tr r="AB104" s="1"/>
      </tp>
      <tp t="s">
        <v>#N/A N/A</v>
        <stp/>
        <stp>BDP|12949207250075011794</stp>
        <tr r="AA171" s="1"/>
      </tp>
      <tp t="s">
        <v>#N/A N/A</v>
        <stp/>
        <stp>BDP|13549846190193617674</stp>
        <tr r="AB110" s="1"/>
      </tp>
      <tp t="s">
        <v>#N/A N/A</v>
        <stp/>
        <stp>BDP|16435686171728858852</stp>
        <tr r="AA20" s="1"/>
      </tp>
      <tp t="s">
        <v>#N/A N/A</v>
        <stp/>
        <stp>BDP|14917439062604904522</stp>
        <tr r="AB230" s="1"/>
      </tp>
      <tp t="s">
        <v>#N/A N/A</v>
        <stp/>
        <stp>BDP|10982795450265422071</stp>
        <tr r="AA217" s="1"/>
      </tp>
      <tp t="s">
        <v>#N/A N/A</v>
        <stp/>
        <stp>BDP|16011909893437785677</stp>
        <tr r="Y65" s="1"/>
      </tp>
      <tp t="s">
        <v>#N/A N/A</v>
        <stp/>
        <stp>BDP|12297098616936868277</stp>
        <tr r="AA293" s="1"/>
      </tp>
      <tp t="s">
        <v>#N/A N/A</v>
        <stp/>
        <stp>BDP|15466744963624080711</stp>
        <tr r="AA266" s="1"/>
      </tp>
      <tp t="s">
        <v>#N/A N/A</v>
        <stp/>
        <stp>BDP|16345587148722276230</stp>
        <tr r="Y313" s="1"/>
      </tp>
      <tp t="s">
        <v>#N/A N/A</v>
        <stp/>
        <stp>BDP|12455475221773706076</stp>
        <tr r="X217" s="1"/>
      </tp>
      <tp t="s">
        <v>#N/A N/A</v>
        <stp/>
        <stp>BDP|13467965466522784918</stp>
        <tr r="X121" s="1"/>
      </tp>
      <tp t="s">
        <v>#N/A N/A</v>
        <stp/>
        <stp>BDP|15605113006852558110</stp>
        <tr r="AC244" s="1"/>
      </tp>
      <tp t="s">
        <v>#N/A N/A</v>
        <stp/>
        <stp>BDP|13173203714376501157</stp>
        <tr r="AA166" s="1"/>
      </tp>
      <tp t="s">
        <v>#N/A N/A</v>
        <stp/>
        <stp>BDP|11405651277234677350</stp>
        <tr r="AB28" s="1"/>
      </tp>
      <tp t="s">
        <v>#N/A N/A</v>
        <stp/>
        <stp>BDP|12226577162075300304</stp>
        <tr r="AB176" s="1"/>
      </tp>
      <tp t="s">
        <v>#N/A N/A</v>
        <stp/>
        <stp>BDP|17530751802952272575</stp>
        <tr r="AA336" s="1"/>
      </tp>
      <tp t="s">
        <v>#N/A N/A</v>
        <stp/>
        <stp>BDP|15691533282466973994</stp>
        <tr r="AB79" s="1"/>
      </tp>
      <tp t="s">
        <v>#N/A N/A</v>
        <stp/>
        <stp>BDP|13269196520673460487</stp>
        <tr r="Y120" s="1"/>
      </tp>
      <tp t="s">
        <v>#N/A N/A</v>
        <stp/>
        <stp>BDP|17320725820371339448</stp>
        <tr r="Y123" s="1"/>
      </tp>
      <tp t="s">
        <v>#N/A N/A</v>
        <stp/>
        <stp>BDP|14729347711267169652</stp>
        <tr r="Y208" s="1"/>
      </tp>
      <tp t="s">
        <v>#N/A N/A</v>
        <stp/>
        <stp>BDP|16939334130978899946</stp>
        <tr r="AA113" s="1"/>
      </tp>
      <tp t="s">
        <v>#N/A N/A</v>
        <stp/>
        <stp>BDP|18076249890333012728</stp>
        <tr r="X76" s="1"/>
      </tp>
      <tp t="s">
        <v>#N/A N/A</v>
        <stp/>
        <stp>BDP|12400488976146278314</stp>
        <tr r="X141" s="1"/>
      </tp>
      <tp t="s">
        <v>#N/A N/A</v>
        <stp/>
        <stp>BDP|13868914431025172812</stp>
        <tr r="X145" s="1"/>
      </tp>
      <tp t="s">
        <v>#N/A N/A</v>
        <stp/>
        <stp>BDP|10343385940775154626</stp>
        <tr r="AC158" s="1"/>
      </tp>
      <tp t="s">
        <v>#N/A N/A</v>
        <stp/>
        <stp>BDP|13875946872369643029</stp>
        <tr r="AC9" s="1"/>
      </tp>
      <tp t="s">
        <v>#N/A N/A</v>
        <stp/>
        <stp>BDP|14753401697548964534</stp>
        <tr r="AC59" s="1"/>
      </tp>
      <tp t="s">
        <v>#N/A N/A</v>
        <stp/>
        <stp>BDP|15751004361530990758</stp>
        <tr r="AB231" s="1"/>
      </tp>
      <tp t="s">
        <v>#N/A N/A</v>
        <stp/>
        <stp>BDP|12158412221268877836</stp>
        <tr r="X188" s="1"/>
      </tp>
      <tp t="s">
        <v>#N/A N/A</v>
        <stp/>
        <stp>BDP|11836521818916754786</stp>
        <tr r="AB207" s="1"/>
      </tp>
      <tp t="s">
        <v>#N/A N/A</v>
        <stp/>
        <stp>BDP|10111431593649884040</stp>
        <tr r="AA161" s="1"/>
      </tp>
      <tp t="s">
        <v>#N/A N/A</v>
        <stp/>
        <stp>BDP|13638392102143375728</stp>
        <tr r="AA242" s="1"/>
      </tp>
      <tp t="s">
        <v>#N/A N/A</v>
        <stp/>
        <stp>BDP|13678496270852220617</stp>
        <tr r="Y199" s="1"/>
      </tp>
      <tp t="s">
        <v>#N/A N/A</v>
        <stp/>
        <stp>BDP|15536490807287051275</stp>
        <tr r="AB116" s="1"/>
      </tp>
      <tp t="s">
        <v>#N/A N/A</v>
        <stp/>
        <stp>BDP|12196488637449737857</stp>
        <tr r="X125" s="1"/>
      </tp>
      <tp t="s">
        <v>#N/A N/A</v>
        <stp/>
        <stp>BDP|12093130410074539297</stp>
        <tr r="Y93" s="1"/>
      </tp>
      <tp t="s">
        <v>#N/A N/A</v>
        <stp/>
        <stp>BDP|14896273170085951093</stp>
        <tr r="AB235" s="1"/>
      </tp>
      <tp t="s">
        <v>#N/A N/A</v>
        <stp/>
        <stp>BDP|16321365570022938431</stp>
        <tr r="Y80" s="1"/>
      </tp>
      <tp t="s">
        <v>#N/A N/A</v>
        <stp/>
        <stp>BDP|17288672758334663452</stp>
        <tr r="AA140" s="1"/>
      </tp>
      <tp t="s">
        <v>#N/A N/A</v>
        <stp/>
        <stp>BDP|11118509475476744126</stp>
        <tr r="Y153" s="1"/>
      </tp>
      <tp t="s">
        <v>#N/A N/A</v>
        <stp/>
        <stp>BDP|12347337830887706177</stp>
        <tr r="AB304" s="1"/>
      </tp>
      <tp t="s">
        <v>#N/A N/A</v>
        <stp/>
        <stp>BDP|11078957395614638169</stp>
        <tr r="Y310" s="1"/>
      </tp>
      <tp t="s">
        <v>#N/A N/A</v>
        <stp/>
        <stp>BDP|11906292976335517536</stp>
        <tr r="Y271" s="1"/>
      </tp>
      <tp t="s">
        <v>#N/A N/A</v>
        <stp/>
        <stp>BDP|13812237602375044095</stp>
        <tr r="X238" s="1"/>
      </tp>
      <tp t="s">
        <v>#N/A N/A</v>
        <stp/>
        <stp>BDP|12891041673585893446</stp>
        <tr r="X101" s="1"/>
      </tp>
      <tp t="s">
        <v>#N/A N/A</v>
        <stp/>
        <stp>BDP|11692504956935362004</stp>
        <tr r="AB95" s="1"/>
      </tp>
      <tp t="s">
        <v>#N/A N/A</v>
        <stp/>
        <stp>BDP|11007337246757116577</stp>
        <tr r="AC12" s="1"/>
      </tp>
      <tp t="s">
        <v>#N/A N/A</v>
        <stp/>
        <stp>BDP|11979497412274843493</stp>
        <tr r="AC54" s="1"/>
      </tp>
      <tp t="s">
        <v>#N/A N/A</v>
        <stp/>
        <stp>BDP|15522370915320459301</stp>
        <tr r="AC81" s="1"/>
      </tp>
      <tp t="s">
        <v>#N/A N/A</v>
        <stp/>
        <stp>BDP|17329246725375958699</stp>
        <tr r="X34" s="1"/>
      </tp>
      <tp t="s">
        <v>#N/A N/A</v>
        <stp/>
        <stp>BDP|17666561899919943652</stp>
        <tr r="Y274" s="1"/>
      </tp>
      <tp t="s">
        <v>#N/A N/A</v>
        <stp/>
        <stp>BDP|12429855436238634543</stp>
        <tr r="Y129" s="1"/>
      </tp>
      <tp t="s">
        <v>#N/A N/A</v>
        <stp/>
        <stp>BDP|13253764269336896011</stp>
        <tr r="AA168" s="1"/>
      </tp>
      <tp t="s">
        <v>#N/A N/A</v>
        <stp/>
        <stp>BDP|16489969596075294725</stp>
        <tr r="AB205" s="1"/>
      </tp>
      <tp t="s">
        <v>#N/A N/A</v>
        <stp/>
        <stp>BDP|15541170201421774104</stp>
        <tr r="Y15" s="1"/>
      </tp>
      <tp t="s">
        <v>#N/A N/A</v>
        <stp/>
        <stp>BDP|15702344175470414567</stp>
        <tr r="X158" s="1"/>
      </tp>
      <tp t="s">
        <v>#N/A N/A</v>
        <stp/>
        <stp>BDP|15506268571517163347</stp>
        <tr r="X309" s="1"/>
      </tp>
      <tp t="s">
        <v>#N/A N/A</v>
        <stp/>
        <stp>BDP|15966481721880687711</stp>
        <tr r="X340" s="1"/>
      </tp>
      <tp t="s">
        <v>#N/A N/A</v>
        <stp/>
        <stp>BDP|17750992689275903793</stp>
        <tr r="AB45" s="1"/>
      </tp>
      <tp t="s">
        <v>#N/A N/A</v>
        <stp/>
        <stp>BDP|10397472822191808381</stp>
        <tr r="Y182" s="1"/>
      </tp>
      <tp t="s">
        <v>#N/A N/A</v>
        <stp/>
        <stp>BDP|15025587270513719098</stp>
        <tr r="Y178" s="1"/>
      </tp>
      <tp t="s">
        <v>#N/A N/A</v>
        <stp/>
        <stp>BDP|10011028824280400645</stp>
        <tr r="X83" s="1"/>
      </tp>
      <tp t="s">
        <v>#N/A N/A</v>
        <stp/>
        <stp>BDP|17846628950682926255</stp>
        <tr r="AA236" s="1"/>
      </tp>
      <tp t="s">
        <v>#N/A N/A</v>
        <stp/>
        <stp>BDP|14010816085038431861</stp>
        <tr r="AC13" s="1"/>
      </tp>
      <tp t="s">
        <v>#N/A N/A</v>
        <stp/>
        <stp>BDP|13808605502928074830</stp>
        <tr r="X92" s="1"/>
      </tp>
      <tp t="s">
        <v>#N/A N/A</v>
        <stp/>
        <stp>BDP|14650691567942152300</stp>
        <tr r="X174" s="1"/>
      </tp>
      <tp t="s">
        <v>#N/A N/A</v>
        <stp/>
        <stp>BDP|13893328438520908626</stp>
        <tr r="AA79" s="1"/>
      </tp>
      <tp t="s">
        <v>#N/A N/A</v>
        <stp/>
        <stp>BDP|18405093444860604974</stp>
        <tr r="AA135" s="1"/>
      </tp>
      <tp t="s">
        <v>#N/A N/A</v>
        <stp/>
        <stp>BDP|10733391132935724039</stp>
        <tr r="AA19" s="1"/>
      </tp>
      <tp t="s">
        <v>#N/A N/A</v>
        <stp/>
        <stp>BDP|17960843180825589702</stp>
        <tr r="Y82" s="1"/>
      </tp>
      <tp t="s">
        <v>#N/A N/A</v>
        <stp/>
        <stp>BDP|12559957599270558740</stp>
        <tr r="X321" s="1"/>
      </tp>
      <tp t="s">
        <v>#N/A N/A</v>
        <stp/>
        <stp>BDP|17214333702952018381</stp>
        <tr r="AB83" s="1"/>
      </tp>
      <tp t="s">
        <v>#N/A N/A</v>
        <stp/>
        <stp>BDP|10212193022124275204</stp>
        <tr r="AA153" s="1"/>
      </tp>
      <tp t="s">
        <v>#N/A N/A</v>
        <stp/>
        <stp>BDP|17809065979261512491</stp>
        <tr r="X292" s="1"/>
      </tp>
      <tp t="s">
        <v>#N/A N/A</v>
        <stp/>
        <stp>BDP|13765599221249234871</stp>
        <tr r="AA21" s="1"/>
      </tp>
      <tp t="s">
        <v>#N/A N/A</v>
        <stp/>
        <stp>BDP|16213658542078993960</stp>
        <tr r="AA234" s="1"/>
      </tp>
      <tp t="s">
        <v>#N/A N/A</v>
        <stp/>
        <stp>BDP|11195446079831756660</stp>
        <tr r="Y234" s="1"/>
      </tp>
      <tp t="s">
        <v>#N/A N/A</v>
        <stp/>
        <stp>BDP|10801303067870524061</stp>
        <tr r="AB237" s="1"/>
      </tp>
      <tp t="s">
        <v>#N/A N/A</v>
        <stp/>
        <stp>BDP|11559483023231325314</stp>
        <tr r="AA228" s="1"/>
      </tp>
      <tp t="s">
        <v>#N/A N/A</v>
        <stp/>
        <stp>BDP|17681292902029782963</stp>
        <tr r="AA216" s="1"/>
      </tp>
      <tp t="s">
        <v>#N/A N/A</v>
        <stp/>
        <stp>BDP|16800213803244157575</stp>
        <tr r="X22" s="1"/>
      </tp>
      <tp t="s">
        <v>#N/A N/A</v>
        <stp/>
        <stp>BDP|15563455319105734003</stp>
        <tr r="Y149" s="1"/>
      </tp>
      <tp t="s">
        <v>#N/A N/A</v>
        <stp/>
        <stp>BDP|13383320381019763464</stp>
        <tr r="AC102" s="1"/>
      </tp>
      <tp t="s">
        <v>#N/A N/A</v>
        <stp/>
        <stp>BDP|13157625312008294924</stp>
        <tr r="AB34" s="1"/>
      </tp>
      <tp t="s">
        <v>#N/A N/A</v>
        <stp/>
        <stp>BDP|11221670647784537267</stp>
        <tr r="X242" s="1"/>
      </tp>
      <tp t="s">
        <v>#N/A N/A</v>
        <stp/>
        <stp>BDP|15395654617962133513</stp>
        <tr r="X80" s="1"/>
      </tp>
      <tp t="s">
        <v>#N/A N/A</v>
        <stp/>
        <stp>BDP|15938198146681271445</stp>
        <tr r="Y225" s="1"/>
      </tp>
      <tp t="s">
        <v>#N/A N/A</v>
        <stp/>
        <stp>BDP|10236373574133053219</stp>
        <tr r="AA71" s="1"/>
      </tp>
      <tp t="s">
        <v>#N/A N/A</v>
        <stp/>
        <stp>BDP|12224094779655035524</stp>
        <tr r="X322" s="1"/>
      </tp>
      <tp t="s">
        <v>#N/A N/A</v>
        <stp/>
        <stp>BDP|12057009784399495602</stp>
        <tr r="X304" s="1"/>
      </tp>
      <tp t="s">
        <v>#N/A N/A</v>
        <stp/>
        <stp>BDP|17560277109034232496</stp>
        <tr r="Y115" s="1"/>
      </tp>
      <tp t="s">
        <v>#N/A N/A</v>
        <stp/>
        <stp>BDP|11656186318712758620</stp>
        <tr r="X127" s="1"/>
      </tp>
      <tp t="s">
        <v>#N/A N/A</v>
        <stp/>
        <stp>BDP|17038188028087072639</stp>
        <tr r="AC24" s="1"/>
      </tp>
      <tp t="s">
        <v>#N/A N/A</v>
        <stp/>
        <stp>BDP|15131381354905904360</stp>
        <tr r="AC76" s="1"/>
      </tp>
      <tp t="s">
        <v>#N/A N/A</v>
        <stp/>
        <stp>BDP|18051386482894064285</stp>
        <tr r="AA318" s="1"/>
      </tp>
      <tp t="s">
        <v>#N/A N/A</v>
        <stp/>
        <stp>BDP|14444713472605005459</stp>
        <tr r="X208" s="1"/>
      </tp>
      <tp t="s">
        <v>#N/A N/A</v>
        <stp/>
        <stp>BDP|13256765823481691232</stp>
        <tr r="Y24" s="1"/>
      </tp>
      <tp t="s">
        <v>#N/A N/A</v>
        <stp/>
        <stp>BDP|16239725721414210213</stp>
        <tr r="AC330" s="1"/>
      </tp>
      <tp t="s">
        <v>#N/A N/A</v>
        <stp/>
        <stp>BDP|13330642578407456095</stp>
        <tr r="X289" s="1"/>
      </tp>
      <tp t="s">
        <v>#N/A N/A</v>
        <stp/>
        <stp>BDP|11377478773611433665</stp>
        <tr r="AC10" s="1"/>
      </tp>
      <tp t="s">
        <v>#N/A N/A</v>
        <stp/>
        <stp>BDP|10064503514208712967</stp>
        <tr r="AA218" s="1"/>
      </tp>
      <tp t="s">
        <v>#N/A N/A</v>
        <stp/>
        <stp>BDP|15237445639671318691</stp>
        <tr r="AA149" s="1"/>
      </tp>
      <tp t="s">
        <v>#N/A N/A</v>
        <stp/>
        <stp>BDP|17857697312566518330</stp>
        <tr r="AA276" s="1"/>
      </tp>
      <tp t="s">
        <v>#N/A N/A</v>
        <stp/>
        <stp>BDP|13853287845494594442</stp>
        <tr r="Y297" s="1"/>
      </tp>
      <tp t="s">
        <v>#N/A N/A</v>
        <stp/>
        <stp>BDP|10425350552791309248</stp>
        <tr r="X189" s="1"/>
      </tp>
      <tp t="s">
        <v>#N/A N/A</v>
        <stp/>
        <stp>BDP|16780067280898766323</stp>
        <tr r="X175" s="1"/>
      </tp>
      <tp t="s">
        <v>#N/A N/A</v>
        <stp/>
        <stp>BDP|15501113208603913212</stp>
        <tr r="Y188" s="1"/>
      </tp>
      <tp t="s">
        <v>#N/A N/A</v>
        <stp/>
        <stp>BDP|12461095609174721374</stp>
        <tr r="AB60" s="1"/>
      </tp>
      <tp t="s">
        <v>#N/A N/A</v>
        <stp/>
        <stp>BDP|17991328214808049885</stp>
        <tr r="AB22" s="1"/>
      </tp>
      <tp t="s">
        <v>#N/A N/A</v>
        <stp/>
        <stp>BDP|14680286278333256730</stp>
        <tr r="AA124" s="1"/>
      </tp>
      <tp t="s">
        <v>#N/A N/A</v>
        <stp/>
        <stp>BDP|12486468034159091918</stp>
        <tr r="AA252" s="1"/>
      </tp>
      <tp t="s">
        <v>#N/A N/A</v>
        <stp/>
        <stp>BDP|13010340912703618773</stp>
        <tr r="X42" s="1"/>
      </tp>
      <tp t="s">
        <v>#N/A N/A</v>
        <stp/>
        <stp>BDP|10968149757176476789</stp>
        <tr r="AB185" s="1"/>
      </tp>
      <tp t="s">
        <v>#N/A N/A</v>
        <stp/>
        <stp>BDP|10391806895396593255</stp>
        <tr r="AC114" s="1"/>
      </tp>
      <tp t="s">
        <v>#N/A N/A</v>
        <stp/>
        <stp>BDP|6941558326484523958</stp>
        <tr r="Y35" s="1"/>
      </tp>
      <tp t="s">
        <v>#N/A N/A</v>
        <stp/>
        <stp>BDP|6712824897832096999</stp>
        <tr r="AC148" s="1"/>
      </tp>
      <tp t="s">
        <v>#N/A N/A</v>
        <stp/>
        <stp>BDP|1078952339033103458</stp>
        <tr r="Y307" s="1"/>
      </tp>
      <tp t="s">
        <v>#N/A N/A</v>
        <stp/>
        <stp>BDP|7399284390260321010</stp>
        <tr r="AA146" s="1"/>
      </tp>
      <tp t="s">
        <v>#N/A N/A</v>
        <stp/>
        <stp>BDP|3697462839428562056</stp>
        <tr r="Y314" s="1"/>
      </tp>
      <tp t="s">
        <v>#N/A N/A</v>
        <stp/>
        <stp>BDP|6211898061203656722</stp>
        <tr r="AB72" s="1"/>
      </tp>
      <tp t="s">
        <v>#N/A N/A</v>
        <stp/>
        <stp>BDP|5408955509506053676</stp>
        <tr r="AB277" s="1"/>
      </tp>
      <tp t="s">
        <v>#N/A N/A</v>
        <stp/>
        <stp>BDP|6203484082836704009</stp>
        <tr r="Y184" s="1"/>
      </tp>
      <tp t="s">
        <v>#N/A N/A</v>
        <stp/>
        <stp>BDP|1382462557488849463</stp>
        <tr r="X209" s="1"/>
      </tp>
      <tp t="s">
        <v>#N/A N/A</v>
        <stp/>
        <stp>BDP|8367539225611059293</stp>
        <tr r="Y242" s="1"/>
      </tp>
      <tp t="s">
        <v>#N/A N/A</v>
        <stp/>
        <stp>BDP|5008775364580973864</stp>
        <tr r="X263" s="1"/>
      </tp>
      <tp t="s">
        <v>#N/A N/A</v>
        <stp/>
        <stp>BDP|9369515800067700796</stp>
        <tr r="AB199" s="1"/>
      </tp>
      <tp t="s">
        <v>#N/A N/A</v>
        <stp/>
        <stp>BDP|3176246191661885510</stp>
        <tr r="Y108" s="1"/>
      </tp>
      <tp t="s">
        <v>#N/A N/A</v>
        <stp/>
        <stp>BDP|7838294586609972830</stp>
        <tr r="Y321" s="1"/>
      </tp>
      <tp t="s">
        <v>#N/A N/A</v>
        <stp/>
        <stp>BDP|8493414816168948981</stp>
        <tr r="AC213" s="1"/>
      </tp>
      <tp t="s">
        <v>#N/A N/A</v>
        <stp/>
        <stp>BDP|5267803547211794405</stp>
        <tr r="AC209" s="1"/>
      </tp>
      <tp t="s">
        <v>#N/A N/A</v>
        <stp/>
        <stp>BDP|8361342047843144032</stp>
        <tr r="X130" s="1"/>
      </tp>
      <tp t="s">
        <v>#N/A N/A</v>
        <stp/>
        <stp>BDP|1917204675050876860</stp>
        <tr r="AB339" s="1"/>
      </tp>
      <tp t="s">
        <v>#N/A N/A</v>
        <stp/>
        <stp>BDP|1797502965107029911</stp>
        <tr r="X202" s="1"/>
      </tp>
      <tp t="s">
        <v>#N/A N/A</v>
        <stp/>
        <stp>BDP|4329101326602038962</stp>
        <tr r="AB316" s="1"/>
      </tp>
      <tp t="s">
        <v>#N/A N/A</v>
        <stp/>
        <stp>BDP|1669760583196061438</stp>
        <tr r="AB217" s="1"/>
      </tp>
      <tp t="s">
        <v>#N/A N/A</v>
        <stp/>
        <stp>BDP|7693596198011669618</stp>
        <tr r="AC48" s="1"/>
      </tp>
      <tp t="s">
        <v>#N/A N/A</v>
        <stp/>
        <stp>BDP|4630390458347518925</stp>
        <tr r="Y262" s="1"/>
      </tp>
      <tp t="s">
        <v>#N/A N/A</v>
        <stp/>
        <stp>BDP|8641506740461230443</stp>
        <tr r="AB8" s="1"/>
      </tp>
      <tp t="s">
        <v>#N/A N/A</v>
        <stp/>
        <stp>BDP|9676064646513444239</stp>
        <tr r="AA268" s="1"/>
      </tp>
      <tp t="s">
        <v>#N/A N/A</v>
        <stp/>
        <stp>BDP|8199129155035566527</stp>
        <tr r="AC310" s="1"/>
      </tp>
      <tp t="s">
        <v>#N/A N/A</v>
        <stp/>
        <stp>BDP|6361837651172224525</stp>
        <tr r="AA258" s="1"/>
      </tp>
      <tp t="s">
        <v>#N/A N/A</v>
        <stp/>
        <stp>BDP|8125224655473212054</stp>
        <tr r="AC169" s="1"/>
      </tp>
      <tp t="s">
        <v>#N/A N/A</v>
        <stp/>
        <stp>BDP|5847822931862490098</stp>
        <tr r="AA158" s="1"/>
      </tp>
      <tp t="s">
        <v>#N/A N/A</v>
        <stp/>
        <stp>BDP|8907241058766576565</stp>
        <tr r="AC131" s="1"/>
      </tp>
      <tp t="s">
        <v>#N/A N/A</v>
        <stp/>
        <stp>BDP|2359207938816840958</stp>
        <tr r="Y158" s="1"/>
      </tp>
      <tp t="s">
        <v>#N/A N/A</v>
        <stp/>
        <stp>BDP|7068879952825544370</stp>
        <tr r="AA244" s="1"/>
      </tp>
      <tp t="s">
        <v>#N/A N/A</v>
        <stp/>
        <stp>BDP|6655711183936121315</stp>
        <tr r="Y12" s="1"/>
      </tp>
      <tp t="s">
        <v>#N/A N/A</v>
        <stp/>
        <stp>BDP|3503377329038951663</stp>
        <tr r="AC239" s="1"/>
      </tp>
      <tp t="s">
        <v>#N/A N/A</v>
        <stp/>
        <stp>BDP|8720438634821192244</stp>
        <tr r="AB271" s="1"/>
      </tp>
      <tp t="s">
        <v>#N/A N/A</v>
        <stp/>
        <stp>BDP|9323648032540303031</stp>
        <tr r="X280" s="1"/>
      </tp>
      <tp t="s">
        <v>#N/A N/A</v>
        <stp/>
        <stp>BDP|2751208152690903995</stp>
        <tr r="AC295" s="1"/>
      </tp>
      <tp t="s">
        <v>#N/A N/A</v>
        <stp/>
        <stp>BDP|5132452773539742350</stp>
        <tr r="AB53" s="1"/>
      </tp>
      <tp t="s">
        <v>#N/A N/A</v>
        <stp/>
        <stp>BDP|3839669619659407095</stp>
        <tr r="AA50" s="1"/>
      </tp>
      <tp t="s">
        <v>#N/A N/A</v>
        <stp/>
        <stp>BDP|1424939867705271686</stp>
        <tr r="AC261" s="1"/>
      </tp>
      <tp t="s">
        <v>#N/A N/A</v>
        <stp/>
        <stp>BDP|7373285957968709504</stp>
        <tr r="AA75" s="1"/>
      </tp>
      <tp t="s">
        <v>#N/A N/A</v>
        <stp/>
        <stp>BDP|9243374586338983714</stp>
        <tr r="AC191" s="1"/>
      </tp>
      <tp t="s">
        <v>#N/A N/A</v>
        <stp/>
        <stp>BDP|5089111905819906066</stp>
        <tr r="AB186" s="1"/>
      </tp>
      <tp t="s">
        <v>#N/A N/A</v>
        <stp/>
        <stp>BDP|8924020242981628076</stp>
        <tr r="Y26" s="1"/>
      </tp>
      <tp t="s">
        <v>#N/A N/A</v>
        <stp/>
        <stp>BDP|5480198292093334343</stp>
        <tr r="Y144" s="1"/>
      </tp>
      <tp t="s">
        <v>#N/A N/A</v>
        <stp/>
        <stp>BDP|6380981289978810239</stp>
        <tr r="AA80" s="1"/>
      </tp>
      <tp t="s">
        <v>#N/A N/A</v>
        <stp/>
        <stp>BDP|3220504987072800146</stp>
        <tr r="Y293" s="1"/>
      </tp>
      <tp t="s">
        <v>#N/A N/A</v>
        <stp/>
        <stp>BDP|9112412498951593840</stp>
        <tr r="X204" s="1"/>
      </tp>
      <tp t="s">
        <v>#N/A N/A</v>
        <stp/>
        <stp>BDP|7918507587591268650</stp>
        <tr r="AC168" s="1"/>
      </tp>
      <tp t="s">
        <v>#N/A N/A</v>
        <stp/>
        <stp>BDP|4420946510992876366</stp>
        <tr r="X154" s="1"/>
      </tp>
      <tp t="s">
        <v>#N/A N/A</v>
        <stp/>
        <stp>BDP|1404479961636984859</stp>
        <tr r="AC146" s="1"/>
      </tp>
      <tp t="s">
        <v>#N/A N/A</v>
        <stp/>
        <stp>BDP|1404842364055810726</stp>
        <tr r="AC8" s="1"/>
      </tp>
      <tp t="s">
        <v>#N/A N/A</v>
        <stp/>
        <stp>BDP|2303262330029323784</stp>
        <tr r="X118" s="1"/>
      </tp>
      <tp t="s">
        <v>#N/A N/A</v>
        <stp/>
        <stp>BDP|2606496145148560709</stp>
        <tr r="X298" s="1"/>
      </tp>
      <tp t="s">
        <v>#N/A N/A</v>
        <stp/>
        <stp>BDP|7770055415513095882</stp>
        <tr r="AB158" s="1"/>
      </tp>
      <tp t="s">
        <v>#N/A N/A</v>
        <stp/>
        <stp>BDP|1050327166450934923</stp>
        <tr r="X273" s="1"/>
      </tp>
      <tp t="s">
        <v>#N/A N/A</v>
        <stp/>
        <stp>BDP|2595557599743052056</stp>
        <tr r="AA185" s="1"/>
      </tp>
      <tp t="s">
        <v>#N/A N/A</v>
        <stp/>
        <stp>BDP|3264760979169776767</stp>
        <tr r="AA141" s="1"/>
      </tp>
      <tp t="s">
        <v>#N/A N/A</v>
        <stp/>
        <stp>BDP|4280748528708167428</stp>
        <tr r="AA151" s="1"/>
      </tp>
      <tp t="s">
        <v>#N/A N/A</v>
        <stp/>
        <stp>BDP|8931101911831100447</stp>
        <tr r="Y112" s="1"/>
      </tp>
      <tp t="s">
        <v>#N/A N/A</v>
        <stp/>
        <stp>BDP|9381265451354831712</stp>
        <tr r="X150" s="1"/>
      </tp>
      <tp t="s">
        <v>#N/A N/A</v>
        <stp/>
        <stp>BDP|1140222028268111475</stp>
        <tr r="Y19" s="1"/>
      </tp>
      <tp t="s">
        <v>#N/A N/A</v>
        <stp/>
        <stp>BDP|3800874123836667278</stp>
        <tr r="AC109" s="1"/>
      </tp>
      <tp t="s">
        <v>#N/A N/A</v>
        <stp/>
        <stp>BDP|8614786964432128664</stp>
        <tr r="AA112" s="1"/>
      </tp>
      <tp t="s">
        <v>#N/A N/A</v>
        <stp/>
        <stp>BDP|4857124118478084106</stp>
        <tr r="X47" s="1"/>
      </tp>
      <tp t="s">
        <v>#N/A N/A</v>
        <stp/>
        <stp>BDP|2853837133554342093</stp>
        <tr r="Y77" s="1"/>
      </tp>
      <tp t="s">
        <v>#N/A N/A</v>
        <stp/>
        <stp>BDP|3613653251144018901</stp>
        <tr r="AB115" s="1"/>
      </tp>
      <tp t="s">
        <v>#N/A N/A</v>
        <stp/>
        <stp>BDP|5446053112611049811</stp>
        <tr r="AC182" s="1"/>
      </tp>
      <tp t="s">
        <v>#N/A N/A</v>
        <stp/>
        <stp>BDP|5720188366298917735</stp>
        <tr r="AC247" s="1"/>
      </tp>
      <tp t="s">
        <v>#N/A N/A</v>
        <stp/>
        <stp>BDP|8218079643342650330</stp>
        <tr r="AB252" s="1"/>
      </tp>
      <tp t="s">
        <v>#N/A N/A</v>
        <stp/>
        <stp>BDP|2354301571433621870</stp>
        <tr r="X302" s="1"/>
      </tp>
      <tp t="s">
        <v>#N/A N/A</v>
        <stp/>
        <stp>BDP|2506606554114926887</stp>
        <tr r="AB25" s="1"/>
      </tp>
      <tp t="s">
        <v>#N/A N/A</v>
        <stp/>
        <stp>BDP|6138134599795930625</stp>
        <tr r="X140" s="1"/>
      </tp>
      <tp t="s">
        <v>#N/A N/A</v>
        <stp/>
        <stp>BDP|5617816335792218119</stp>
        <tr r="AA221" s="1"/>
      </tp>
      <tp t="s">
        <v>#N/A N/A</v>
        <stp/>
        <stp>BDP|5515523744259228009</stp>
        <tr r="Y257" s="1"/>
      </tp>
      <tp t="s">
        <v>#N/A N/A</v>
        <stp/>
        <stp>BDP|8925812498967338320</stp>
        <tr r="Y270" s="1"/>
      </tp>
      <tp t="s">
        <v>#N/A N/A</v>
        <stp/>
        <stp>BDP|6786050899603287185</stp>
        <tr r="Y209" s="1"/>
      </tp>
      <tp t="s">
        <v>#N/A N/A</v>
        <stp/>
        <stp>BDP|8057551732706545535</stp>
        <tr r="AA10" s="1"/>
      </tp>
      <tp t="s">
        <v>#N/A N/A</v>
        <stp/>
        <stp>BDP|6641706525486543876</stp>
        <tr r="AA324" s="1"/>
      </tp>
      <tp t="s">
        <v>#N/A N/A</v>
        <stp/>
        <stp>BDP|7144805527312891283</stp>
        <tr r="AA331" s="1"/>
      </tp>
      <tp t="s">
        <v>#N/A N/A</v>
        <stp/>
        <stp>BDP|2006685078427795915</stp>
        <tr r="Y60" s="1"/>
      </tp>
      <tp t="s">
        <v>#N/A N/A</v>
        <stp/>
        <stp>BDP|1611024282493989794</stp>
        <tr r="AB97" s="1"/>
      </tp>
      <tp t="s">
        <v>#N/A N/A</v>
        <stp/>
        <stp>BDP|8028109632045552212</stp>
        <tr r="AC243" s="1"/>
      </tp>
      <tp t="s">
        <v>#N/A N/A</v>
        <stp/>
        <stp>BDP|3184927708084865357</stp>
        <tr r="AB213" s="1"/>
      </tp>
      <tp t="s">
        <v>#N/A N/A</v>
        <stp/>
        <stp>BDP|2840990979605721491</stp>
        <tr r="AA101" s="1"/>
      </tp>
      <tp t="s">
        <v>#N/A N/A</v>
        <stp/>
        <stp>BDP|9189639826349659942</stp>
        <tr r="AB39" s="1"/>
      </tp>
      <tp t="s">
        <v>#N/A N/A</v>
        <stp/>
        <stp>BDP|4905185184692714245</stp>
        <tr r="AC215" s="1"/>
      </tp>
      <tp t="s">
        <v>#N/A N/A</v>
        <stp/>
        <stp>BDP|3131012878988648197</stp>
        <tr r="X171" s="1"/>
      </tp>
      <tp t="s">
        <v>#N/A N/A</v>
        <stp/>
        <stp>BDP|9323168672215963790</stp>
        <tr r="AC337" s="1"/>
      </tp>
      <tp t="s">
        <v>#N/A N/A</v>
        <stp/>
        <stp>BDP|7418413883724727261</stp>
        <tr r="AB196" s="1"/>
      </tp>
      <tp t="s">
        <v>#N/A N/A</v>
        <stp/>
        <stp>BDP|3113101282410174769</stp>
        <tr r="AB218" s="1"/>
      </tp>
      <tp t="s">
        <v>#N/A N/A</v>
        <stp/>
        <stp>BDP|6911788045591247928</stp>
        <tr r="AA77" s="1"/>
      </tp>
      <tp t="s">
        <v>#N/A N/A</v>
        <stp/>
        <stp>BDP|1231279824808309467</stp>
        <tr r="AA332" s="1"/>
      </tp>
      <tp t="s">
        <v>#N/A N/A</v>
        <stp/>
        <stp>BDP|8256929139958503783</stp>
        <tr r="AC304" s="1"/>
      </tp>
      <tp t="s">
        <v>#N/A N/A</v>
        <stp/>
        <stp>BDP|4197493428646128958</stp>
        <tr r="X75" s="1"/>
      </tp>
      <tp t="s">
        <v>#N/A N/A</v>
        <stp/>
        <stp>BDP|2580700775526459917</stp>
        <tr r="Y165" s="1"/>
      </tp>
      <tp t="s">
        <v>#N/A N/A</v>
        <stp/>
        <stp>BDP|6262678545428012158</stp>
        <tr r="Y146" s="1"/>
      </tp>
      <tp t="s">
        <v>#N/A N/A</v>
        <stp/>
        <stp>BDP|8754772866753034736</stp>
        <tr r="Y84" s="1"/>
      </tp>
      <tp t="s">
        <v>#N/A N/A</v>
        <stp/>
        <stp>BDP|9131970241701238800</stp>
        <tr r="Y279" s="1"/>
      </tp>
      <tp t="s">
        <v>#N/A N/A</v>
        <stp/>
        <stp>BDP|1266144955411458925</stp>
        <tr r="Y316" s="1"/>
      </tp>
      <tp t="s">
        <v>#N/A N/A</v>
        <stp/>
        <stp>BDP|5792869544141623693</stp>
        <tr r="AB219" s="1"/>
      </tp>
      <tp t="s">
        <v>#N/A N/A</v>
        <stp/>
        <stp>BDP|7953985328087141527</stp>
        <tr r="AB108" s="1"/>
      </tp>
      <tp t="s">
        <v>#N/A N/A</v>
        <stp/>
        <stp>BDP|6865103337899289371</stp>
        <tr r="X243" s="1"/>
      </tp>
      <tp t="s">
        <v>#N/A N/A</v>
        <stp/>
        <stp>BDP|9417754617060870146</stp>
        <tr r="AC150" s="1"/>
      </tp>
      <tp t="s">
        <v>#N/A N/A</v>
        <stp/>
        <stp>BDP|4839024177428599536</stp>
        <tr r="AA190" s="1"/>
      </tp>
      <tp t="s">
        <v>#N/A N/A</v>
        <stp/>
        <stp>BDP|9821087547817530491</stp>
        <tr r="AA111" s="1"/>
      </tp>
      <tp t="s">
        <v>#N/A N/A</v>
        <stp/>
        <stp>BDP|8891873829489480597</stp>
        <tr r="AB243" s="1"/>
      </tp>
      <tp t="s">
        <v>#N/A N/A</v>
        <stp/>
        <stp>BDP|9197258445956974701</stp>
        <tr r="Y189" s="1"/>
      </tp>
      <tp t="s">
        <v>#N/A N/A</v>
        <stp/>
        <stp>BDP|9844258958799537986</stp>
        <tr r="Y227" s="1"/>
      </tp>
      <tp t="s">
        <v>#N/A N/A</v>
        <stp/>
        <stp>BDP|5452774824819821775</stp>
        <tr r="Y136" s="1"/>
      </tp>
      <tp t="s">
        <v>#N/A N/A</v>
        <stp/>
        <stp>BDP|5938326305139555132</stp>
        <tr r="X10" s="1"/>
      </tp>
      <tp t="s">
        <v>#N/A N/A</v>
        <stp/>
        <stp>BDP|9741557829172296219</stp>
        <tr r="AA152" s="1"/>
      </tp>
      <tp t="s">
        <v>#N/A N/A</v>
        <stp/>
        <stp>BDP|8328864784483161580</stp>
        <tr r="AB62" s="1"/>
      </tp>
      <tp t="s">
        <v>#N/A N/A</v>
        <stp/>
        <stp>BDP|2262705338281731955</stp>
        <tr r="Y244" s="1"/>
      </tp>
      <tp t="s">
        <v>#N/A N/A</v>
        <stp/>
        <stp>BDP|8014613916873730292</stp>
        <tr r="AA251" s="1"/>
      </tp>
      <tp t="s">
        <v>#N/A N/A</v>
        <stp/>
        <stp>BDP|9788195048331780389</stp>
        <tr r="AA229" s="1"/>
      </tp>
      <tp t="s">
        <v>#N/A N/A</v>
        <stp/>
        <stp>BDP|3494885608473575681</stp>
        <tr r="X24" s="1"/>
      </tp>
      <tp t="s">
        <v>#N/A N/A</v>
        <stp/>
        <stp>BDP|1266594993742460128</stp>
        <tr r="AB42" s="1"/>
      </tp>
      <tp t="s">
        <v>#N/A N/A</v>
        <stp/>
        <stp>BDP|4750578588204134376</stp>
        <tr r="Y13" s="1"/>
      </tp>
      <tp t="s">
        <v>#N/A N/A</v>
        <stp/>
        <stp>BDP|7398849632883312185</stp>
        <tr r="AA265" s="1"/>
      </tp>
      <tp t="s">
        <v>#N/A N/A</v>
        <stp/>
        <stp>BDP|3039487987801145004</stp>
        <tr r="AC120" s="1"/>
      </tp>
      <tp t="s">
        <v>#N/A N/A</v>
        <stp/>
        <stp>BDP|5821395967197177991</stp>
        <tr r="X301" s="1"/>
      </tp>
      <tp t="s">
        <v>#N/A N/A</v>
        <stp/>
        <stp>BDP|4940751291462559662</stp>
        <tr r="AA96" s="1"/>
      </tp>
      <tp t="s">
        <v>#N/A N/A</v>
        <stp/>
        <stp>BDP|8056245951821806025</stp>
        <tr r="AA102" s="1"/>
      </tp>
      <tp t="s">
        <v>#N/A N/A</v>
        <stp/>
        <stp>BDP|6541160304898998113</stp>
        <tr r="AB127" s="1"/>
      </tp>
      <tp t="s">
        <v>#N/A N/A</v>
        <stp/>
        <stp>BDP|1466015496697659199</stp>
        <tr r="Y164" s="1"/>
      </tp>
      <tp t="s">
        <v>#N/A N/A</v>
        <stp/>
        <stp>BDP|7424954770575833258</stp>
        <tr r="Y8" s="1"/>
      </tp>
      <tp t="s">
        <v>#N/A N/A</v>
        <stp/>
        <stp>BDP|9878575120335655559</stp>
        <tr r="AA247" s="1"/>
      </tp>
      <tp t="s">
        <v>#N/A N/A</v>
        <stp/>
        <stp>BDP|9203177030802984703</stp>
        <tr r="X94" s="1"/>
      </tp>
      <tp t="s">
        <v>#N/A N/A</v>
        <stp/>
        <stp>BDP|8491632285668651090</stp>
        <tr r="X253" s="1"/>
      </tp>
      <tp t="s">
        <v>#N/A N/A</v>
        <stp/>
        <stp>BDP|3129050288050793569</stp>
        <tr r="Y27" s="1"/>
      </tp>
      <tp t="s">
        <v>#N/A N/A</v>
        <stp/>
        <stp>BDP|1797676953228146403</stp>
        <tr r="AA100" s="1"/>
      </tp>
      <tp t="s">
        <v>#N/A N/A</v>
        <stp/>
        <stp>BDP|5121785376728584388</stp>
        <tr r="Y269" s="1"/>
      </tp>
      <tp t="s">
        <v>#N/A N/A</v>
        <stp/>
        <stp>BDP|3618434520842178973</stp>
        <tr r="X116" s="1"/>
      </tp>
      <tp t="s">
        <v>#N/A N/A</v>
        <stp/>
        <stp>BDP|4231578945219267212</stp>
        <tr r="AA13" s="1"/>
      </tp>
      <tp t="s">
        <v>#N/A N/A</v>
        <stp/>
        <stp>BDP|5358318027108358255</stp>
        <tr r="AC64" s="1"/>
      </tp>
      <tp t="s">
        <v>#N/A N/A</v>
        <stp/>
        <stp>BDP|3668252495500286677</stp>
        <tr r="AB287" s="1"/>
      </tp>
      <tp t="s">
        <v>#N/A N/A</v>
        <stp/>
        <stp>BDP|2758923357427257734</stp>
        <tr r="Y30" s="1"/>
      </tp>
      <tp t="s">
        <v>#N/A N/A</v>
        <stp/>
        <stp>BDP|3088610585247760408</stp>
        <tr r="AB31" s="1"/>
      </tp>
      <tp t="s">
        <v>#N/A N/A</v>
        <stp/>
        <stp>BDP|5423522901678786639</stp>
        <tr r="Y70" s="1"/>
      </tp>
      <tp t="s">
        <v>#N/A N/A</v>
        <stp/>
        <stp>BDP|7868957015719059888</stp>
        <tr r="X160" s="1"/>
      </tp>
      <tp t="s">
        <v>#N/A N/A</v>
        <stp/>
        <stp>BDP|5330029490055402754</stp>
        <tr r="X308" s="1"/>
      </tp>
      <tp t="s">
        <v>#N/A N/A</v>
        <stp/>
        <stp>BDP|7609970317779353850</stp>
        <tr r="X41" s="1"/>
      </tp>
      <tp t="s">
        <v>#N/A N/A</v>
        <stp/>
        <stp>BDP|6257782774801114997</stp>
        <tr r="AC93" s="1"/>
      </tp>
      <tp t="s">
        <v>#N/A N/A</v>
        <stp/>
        <stp>BDP|6566818927621566306</stp>
        <tr r="AC212" s="1"/>
      </tp>
      <tp t="s">
        <v>#N/A N/A</v>
        <stp/>
        <stp>BDP|9043663618680803000</stp>
        <tr r="X203" s="1"/>
      </tp>
      <tp t="s">
        <v>#N/A N/A</v>
        <stp/>
        <stp>BDP|8883212558216491731</stp>
        <tr r="AB340" s="1"/>
      </tp>
      <tp t="s">
        <v>#N/A N/A</v>
        <stp/>
        <stp>BDP|9874401725432906321</stp>
        <tr r="AC342" s="1"/>
      </tp>
      <tp t="s">
        <v>#N/A N/A</v>
        <stp/>
        <stp>BDP|7804519628216322855</stp>
        <tr r="AC186" s="1"/>
      </tp>
      <tp t="s">
        <v>#N/A N/A</v>
        <stp/>
        <stp>BDP|9186443166386118356</stp>
        <tr r="AC161" s="1"/>
      </tp>
      <tp t="s">
        <v>#N/A N/A</v>
        <stp/>
        <stp>BDP|8086329445743759275</stp>
        <tr r="X248" s="1"/>
      </tp>
      <tp t="s">
        <v>#N/A N/A</v>
        <stp/>
        <stp>BDP|9109815845332390926</stp>
        <tr r="AA16" s="1"/>
      </tp>
      <tp t="s">
        <v>#N/A N/A</v>
        <stp/>
        <stp>BDP|8779466751485475208</stp>
        <tr r="AC242" s="1"/>
      </tp>
      <tp t="s">
        <v>#N/A N/A</v>
        <stp/>
        <stp>BDP|5008957915256028542</stp>
        <tr r="AA70" s="1"/>
      </tp>
      <tp t="s">
        <v>#N/A N/A</v>
        <stp/>
        <stp>BDP|2497472676746362937</stp>
        <tr r="Y220" s="1"/>
      </tp>
      <tp t="s">
        <v>#N/A N/A</v>
        <stp/>
        <stp>BDP|5100760780846159230</stp>
        <tr r="AA63" s="1"/>
      </tp>
      <tp t="s">
        <v>#N/A N/A</v>
        <stp/>
        <stp>BDP|1961383384953984798</stp>
        <tr r="AB13" s="1"/>
      </tp>
      <tp t="s">
        <v>#N/A N/A</v>
        <stp/>
        <stp>BDP|3876204525475105899</stp>
        <tr r="AB86" s="1"/>
      </tp>
      <tp t="s">
        <v>#N/A N/A</v>
        <stp/>
        <stp>BDP|1982426725338904128</stp>
        <tr r="AC105" s="1"/>
      </tp>
      <tp t="s">
        <v>#N/A N/A</v>
        <stp/>
        <stp>BDP|3636769091804228766</stp>
        <tr r="Y294" s="1"/>
      </tp>
      <tp t="s">
        <v>#N/A N/A</v>
        <stp/>
        <stp>BDP|2062901112945105091</stp>
        <tr r="AB56" s="1"/>
      </tp>
      <tp t="s">
        <v>#N/A N/A</v>
        <stp/>
        <stp>BDP|8050251018760672414</stp>
        <tr r="Y157" s="1"/>
      </tp>
      <tp t="s">
        <v>#N/A N/A</v>
        <stp/>
        <stp>BDP|1448085582062318473</stp>
        <tr r="Y186" s="1"/>
      </tp>
      <tp t="s">
        <v>#N/A N/A</v>
        <stp/>
        <stp>BDP|6981510299907872227</stp>
        <tr r="AC275" s="1"/>
      </tp>
      <tp t="s">
        <v>#N/A N/A</v>
        <stp/>
        <stp>BDP|2151902670907084493</stp>
        <tr r="AB267" s="1"/>
      </tp>
      <tp t="s">
        <v>#N/A N/A</v>
        <stp/>
        <stp>BDP|9377623498770720908</stp>
        <tr r="AC69" s="1"/>
      </tp>
      <tp t="s">
        <v>#N/A N/A</v>
        <stp/>
        <stp>BDP|5928731999653990752</stp>
        <tr r="AC197" s="1"/>
      </tp>
      <tp t="s">
        <v>#N/A N/A</v>
        <stp/>
        <stp>BDP|7992936916343459377</stp>
        <tr r="AB44" s="1"/>
      </tp>
      <tp t="s">
        <v>#N/A N/A</v>
        <stp/>
        <stp>BDP|6944683816797045987</stp>
        <tr r="Y240" s="1"/>
      </tp>
      <tp t="s">
        <v>#N/A N/A</v>
        <stp/>
        <stp>BDP|6438962521203909167</stp>
        <tr r="X185" s="1"/>
      </tp>
      <tp t="s">
        <v>#N/A N/A</v>
        <stp/>
        <stp>BDP|1340982730093564731</stp>
        <tr r="Y155" s="1"/>
      </tp>
      <tp t="s">
        <v>#N/A N/A</v>
        <stp/>
        <stp>BDP|6674680412498729661</stp>
        <tr r="X63" s="1"/>
      </tp>
      <tp t="s">
        <v>#N/A N/A</v>
        <stp/>
        <stp>BDP|3489077484716617234</stp>
        <tr r="X21" s="1"/>
      </tp>
      <tp t="s">
        <v>#N/A N/A</v>
        <stp/>
        <stp>BDP|9591498992593421886</stp>
        <tr r="AA316" s="1"/>
      </tp>
      <tp t="s">
        <v>#N/A N/A</v>
        <stp/>
        <stp>BDP|8836581465606388249</stp>
        <tr r="AA237" s="1"/>
      </tp>
      <tp t="s">
        <v>#N/A N/A</v>
        <stp/>
        <stp>BDP|3372905244013014249</stp>
        <tr r="AB49" s="1"/>
      </tp>
      <tp t="s">
        <v>#N/A N/A</v>
        <stp/>
        <stp>BDP|9388768825562395100</stp>
        <tr r="AB234" s="1"/>
      </tp>
      <tp t="s">
        <v>#N/A N/A</v>
        <stp/>
        <stp>BDP|3020274241113688930</stp>
        <tr r="Y322" s="1"/>
      </tp>
      <tp t="s">
        <v>#N/A N/A</v>
        <stp/>
        <stp>BDP|1859497833580323921</stp>
        <tr r="AC16" s="1"/>
      </tp>
      <tp t="s">
        <v>#N/A N/A</v>
        <stp/>
        <stp>BDP|7191058351265572805</stp>
        <tr r="X13" s="1"/>
      </tp>
      <tp t="s">
        <v>#N/A N/A</v>
        <stp/>
        <stp>BDP|8411222587638216537</stp>
        <tr r="X156" s="1"/>
      </tp>
      <tp t="s">
        <v>#N/A N/A</v>
        <stp/>
        <stp>BDP|7185747497243196531</stp>
        <tr r="AB202" s="1"/>
      </tp>
      <tp t="s">
        <v>#N/A N/A</v>
        <stp/>
        <stp>BDP|3754586738253597930</stp>
        <tr r="AC289" s="1"/>
      </tp>
      <tp t="s">
        <v>#N/A N/A</v>
        <stp/>
        <stp>BDP|9626003868047995760</stp>
        <tr r="X299" s="1"/>
      </tp>
      <tp t="s">
        <v>#N/A N/A</v>
        <stp/>
        <stp>BDP|8795088648297346458</stp>
        <tr r="AB343" s="1"/>
      </tp>
      <tp t="s">
        <v>#N/A N/A</v>
        <stp/>
        <stp>BDP|9276319549796807737</stp>
        <tr r="AA345" s="1"/>
      </tp>
      <tp t="s">
        <v>#N/A N/A</v>
        <stp/>
        <stp>BDP|8918808707428837770</stp>
        <tr r="AB139" s="1"/>
      </tp>
      <tp t="s">
        <v>#N/A N/A</v>
        <stp/>
        <stp>BDP|9139158455881524352</stp>
        <tr r="AC322" s="1"/>
      </tp>
      <tp t="s">
        <v>#N/A N/A</v>
        <stp/>
        <stp>BDP|6885573843158227080</stp>
        <tr r="AB255" s="1"/>
      </tp>
      <tp t="s">
        <v>#N/A N/A</v>
        <stp/>
        <stp>BDP|9150449271652176736</stp>
        <tr r="AA37" s="1"/>
      </tp>
      <tp t="s">
        <v>#N/A N/A</v>
        <stp/>
        <stp>BDP|5335858942151771752</stp>
        <tr r="AC221" s="1"/>
      </tp>
      <tp t="s">
        <v>#N/A N/A</v>
        <stp/>
        <stp>BDP|5010941270010647444</stp>
        <tr r="AC56" s="1"/>
      </tp>
      <tp t="s">
        <v>#N/A N/A</v>
        <stp/>
        <stp>BDP|9049207196328545554</stp>
        <tr r="AA329" s="1"/>
      </tp>
      <tp t="s">
        <v>#N/A N/A</v>
        <stp/>
        <stp>BDP|5931933219324343664</stp>
        <tr r="Y253" s="1"/>
      </tp>
      <tp t="s">
        <v>#N/A N/A</v>
        <stp/>
        <stp>BDP|4825892425990579179</stp>
        <tr r="X59" s="1"/>
      </tp>
      <tp t="s">
        <v>#N/A N/A</v>
        <stp/>
        <stp>BDP|8761768105646608658</stp>
        <tr r="X218" s="1"/>
      </tp>
      <tp t="s">
        <v>#N/A N/A</v>
        <stp/>
        <stp>BDP|7206468496541274443</stp>
        <tr r="AB294" s="1"/>
      </tp>
      <tp t="s">
        <v>#N/A N/A</v>
        <stp/>
        <stp>BDP|7972283091084722734</stp>
        <tr r="AC98" s="1"/>
      </tp>
      <tp t="s">
        <v>#N/A N/A</v>
        <stp/>
        <stp>BDP|5443909817135513729</stp>
        <tr r="AC55" s="1"/>
      </tp>
      <tp t="s">
        <v>#N/A N/A</v>
        <stp/>
        <stp>BDP|7153944622453641043</stp>
        <tr r="X25" s="1"/>
      </tp>
      <tp t="s">
        <v>#N/A N/A</v>
        <stp/>
        <stp>BDP|4748055318944059902</stp>
        <tr r="AB174" s="1"/>
      </tp>
      <tp t="s">
        <v>#N/A N/A</v>
        <stp/>
        <stp>BDP|4962608385757704517</stp>
        <tr r="AC153" s="1"/>
      </tp>
      <tp t="s">
        <v>#N/A N/A</v>
        <stp/>
        <stp>BDP|9823228887229149262</stp>
        <tr r="X8" s="1"/>
      </tp>
      <tp t="s">
        <v>#N/A N/A</v>
        <stp/>
        <stp>BDP|1808484929606140927</stp>
        <tr r="Y94" s="1"/>
      </tp>
      <tp t="s">
        <v>#N/A N/A</v>
        <stp/>
        <stp>BDP|1203116599309419844</stp>
        <tr r="AB247" s="1"/>
      </tp>
      <tp t="s">
        <v>#N/A N/A</v>
        <stp/>
        <stp>BDP|8060642218051531630</stp>
        <tr r="AB50" s="1"/>
      </tp>
      <tp t="s">
        <v>#N/A N/A</v>
        <stp/>
        <stp>BDP|3333699465642643922</stp>
        <tr r="AC334" s="1"/>
      </tp>
      <tp t="s">
        <v>#N/A N/A</v>
        <stp/>
        <stp>BDP|5019066496530877431</stp>
        <tr r="AA200" s="1"/>
      </tp>
      <tp t="s">
        <v>#N/A N/A</v>
        <stp/>
        <stp>BDP|1295358428920023871</stp>
        <tr r="AA317" s="1"/>
      </tp>
      <tp t="s">
        <v>#N/A N/A</v>
        <stp/>
        <stp>BDP|6785467799891214227</stp>
        <tr r="X58" s="1"/>
      </tp>
      <tp t="s">
        <v>#N/A N/A</v>
        <stp/>
        <stp>BDP|8353302528762618352</stp>
        <tr r="AB254" s="1"/>
      </tp>
      <tp t="s">
        <v>#N/A N/A</v>
        <stp/>
        <stp>BDP|5472828869622175169</stp>
        <tr r="AC329" s="1"/>
      </tp>
      <tp t="s">
        <v>#N/A N/A</v>
        <stp/>
        <stp>BDP|7529647628163747819</stp>
        <tr r="Y21" s="1"/>
      </tp>
      <tp t="s">
        <v>#N/A N/A</v>
        <stp/>
        <stp>BDP|5894710600923695902</stp>
        <tr r="AC125" s="1"/>
      </tp>
      <tp t="s">
        <v>#N/A N/A</v>
        <stp/>
        <stp>BDP|4321868021510870639</stp>
        <tr r="X162" s="1"/>
      </tp>
      <tp t="s">
        <v>#N/A N/A</v>
        <stp/>
        <stp>BDP|3851386078667316844</stp>
        <tr r="AC176" s="1"/>
      </tp>
      <tp t="s">
        <v>#N/A N/A</v>
        <stp/>
        <stp>BDP|4202095512345011863</stp>
        <tr r="AB157" s="1"/>
      </tp>
      <tp t="s">
        <v>#N/A N/A</v>
        <stp/>
        <stp>BDP|3379466016669805779</stp>
        <tr r="AC118" s="1"/>
      </tp>
      <tp t="s">
        <v>#N/A N/A</v>
        <stp/>
        <stp>BDP|8799958715618954021</stp>
        <tr r="Y187" s="1"/>
      </tp>
      <tp t="s">
        <v>#N/A N/A</v>
        <stp/>
        <stp>BDP|4167876828665218305</stp>
        <tr r="AA220" s="1"/>
      </tp>
      <tp t="s">
        <v>#N/A N/A</v>
        <stp/>
        <stp>BDP|5402243043509794289</stp>
        <tr r="AB33" s="1"/>
      </tp>
      <tp t="s">
        <v>#N/A N/A</v>
        <stp/>
        <stp>BDP|8360395074124402079</stp>
        <tr r="X199" s="1"/>
      </tp>
      <tp t="s">
        <v>#N/A N/A</v>
        <stp/>
        <stp>BDP|7465783141955525951</stp>
        <tr r="AB169" s="1"/>
      </tp>
      <tp t="s">
        <v>#N/A N/A</v>
        <stp/>
        <stp>BDP|9596158972745963261</stp>
        <tr r="AC260" s="1"/>
      </tp>
      <tp t="s">
        <v>#N/A N/A</v>
        <stp/>
        <stp>BDP|3757395895251234044</stp>
        <tr r="AB94" s="1"/>
      </tp>
      <tp t="s">
        <v>#N/A N/A</v>
        <stp/>
        <stp>BDP|9998493174376947408</stp>
        <tr r="Y193" s="1"/>
      </tp>
      <tp t="s">
        <v>#N/A N/A</v>
        <stp/>
        <stp>BDP|1155027390468628883</stp>
        <tr r="AA178" s="1"/>
      </tp>
      <tp t="s">
        <v>#N/A N/A</v>
        <stp/>
        <stp>BDP|2488576721094111915</stp>
        <tr r="Y29" s="1"/>
      </tp>
      <tp t="s">
        <v>#N/A N/A</v>
        <stp/>
        <stp>BDP|1328868084490726942</stp>
        <tr r="AC31" s="1"/>
      </tp>
      <tp t="s">
        <v>#N/A N/A</v>
        <stp/>
        <stp>BDP|7091899228143317600</stp>
        <tr r="X36" s="1"/>
      </tp>
      <tp t="s">
        <v>#N/A N/A</v>
        <stp/>
        <stp>BDP|7096087259333374913</stp>
        <tr r="AA271" s="1"/>
      </tp>
      <tp t="s">
        <v>#N/A N/A</v>
        <stp/>
        <stp>BDP|3327213168949147682</stp>
        <tr r="X276" s="1"/>
      </tp>
      <tp t="s">
        <v>#N/A N/A</v>
        <stp/>
        <stp>BDP|6336941203534528327</stp>
        <tr r="AA99" s="1"/>
      </tp>
      <tp t="s">
        <v>#N/A N/A</v>
        <stp/>
        <stp>BDP|2134073894433766060</stp>
        <tr r="AA209" s="1"/>
      </tp>
      <tp t="s">
        <v>#N/A N/A</v>
        <stp/>
        <stp>BDP|2770225033118422315</stp>
        <tr r="Y327" s="1"/>
      </tp>
      <tp t="s">
        <v>#N/A N/A</v>
        <stp/>
        <stp>BDP|5993796534749068043</stp>
        <tr r="X65" s="1"/>
      </tp>
      <tp t="s">
        <v>#N/A N/A</v>
        <stp/>
        <stp>BDP|6451057258899068293</stp>
        <tr r="Y179" s="1"/>
      </tp>
      <tp t="s">
        <v>#N/A N/A</v>
        <stp/>
        <stp>BDP|6109978423802662734</stp>
        <tr r="AC189" s="1"/>
      </tp>
      <tp t="s">
        <v>#N/A N/A</v>
        <stp/>
        <stp>BDP|5438306392017359055</stp>
        <tr r="Y111" s="1"/>
      </tp>
      <tp t="s">
        <v>#N/A N/A</v>
        <stp/>
        <stp>BDP|5002812628042812517</stp>
        <tr r="AA47" s="1"/>
      </tp>
      <tp t="s">
        <v>#N/A N/A</v>
        <stp/>
        <stp>BDP|4495138985652323712</stp>
        <tr r="AC319" s="1"/>
      </tp>
      <tp t="s">
        <v>#N/A N/A</v>
        <stp/>
        <stp>BDP|9773023843881278450</stp>
        <tr r="AC323" s="1"/>
      </tp>
      <tp t="s">
        <v>#N/A N/A</v>
        <stp/>
        <stp>BDP|2397916078021217593</stp>
        <tr r="X110" s="1"/>
      </tp>
      <tp t="s">
        <v>#N/A N/A</v>
        <stp/>
        <stp>BDP|7644613006578891186</stp>
        <tr r="AB191" s="1"/>
      </tp>
      <tp t="s">
        <v>#N/A N/A</v>
        <stp/>
        <stp>BDP|6791757122572245930</stp>
        <tr r="AA344" s="1"/>
      </tp>
      <tp t="s">
        <v>#N/A N/A</v>
        <stp/>
        <stp>BDP|1305630264081532801</stp>
        <tr r="AB211" s="1"/>
      </tp>
      <tp t="s">
        <v>#N/A N/A</v>
        <stp/>
        <stp>BDP|9039685642493269096</stp>
        <tr r="AA162" s="1"/>
      </tp>
      <tp t="s">
        <v>#N/A N/A</v>
        <stp/>
        <stp>BDP|9002918478036952967</stp>
        <tr r="AB77" s="1"/>
      </tp>
      <tp t="s">
        <v>#N/A N/A</v>
        <stp/>
        <stp>BDP|2960034581167557585</stp>
        <tr r="Y117" s="1"/>
      </tp>
      <tp t="s">
        <v>#N/A N/A</v>
        <stp/>
        <stp>BDP|2300528994494589263</stp>
        <tr r="AA321" s="1"/>
      </tp>
      <tp t="s">
        <v>#N/A N/A</v>
        <stp/>
        <stp>BDP|1863853413345193580</stp>
        <tr r="AC37" s="1"/>
      </tp>
      <tp t="s">
        <v>#N/A N/A</v>
        <stp/>
        <stp>BDP|9479501059617293689</stp>
        <tr r="X70" s="1"/>
      </tp>
      <tp t="s">
        <v>#N/A N/A</v>
        <stp/>
        <stp>BDP|3373471015038584608</stp>
        <tr r="AB73" s="1"/>
      </tp>
      <tp t="s">
        <v>#N/A N/A</v>
        <stp/>
        <stp>BDP|2350253674839510627</stp>
        <tr r="X297" s="1"/>
      </tp>
      <tp t="s">
        <v>#N/A N/A</v>
        <stp/>
        <stp>BDP|8185900929479534284</stp>
        <tr r="AA174" s="1"/>
      </tp>
      <tp t="s">
        <v>#N/A N/A</v>
        <stp/>
        <stp>BDP|3760894328078426970</stp>
        <tr r="AA233" s="1"/>
      </tp>
      <tp t="s">
        <v>#N/A N/A</v>
        <stp/>
        <stp>BDP|4928865104740483559</stp>
        <tr r="Y51" s="1"/>
      </tp>
      <tp t="s">
        <v>#N/A N/A</v>
        <stp/>
        <stp>BDP|2629387799511594088</stp>
        <tr r="X220" s="1"/>
      </tp>
      <tp t="s">
        <v>#N/A N/A</v>
        <stp/>
        <stp>BDP|3987866264961845593</stp>
        <tr r="AB121" s="1"/>
      </tp>
      <tp t="s">
        <v>#N/A N/A</v>
        <stp/>
        <stp>BDP|3505788756358011004</stp>
        <tr r="AB32" s="1"/>
      </tp>
      <tp t="s">
        <v>#N/A N/A</v>
        <stp/>
        <stp>BDP|9179320827257590696</stp>
        <tr r="AA41" s="1"/>
      </tp>
      <tp t="s">
        <v>#N/A N/A</v>
        <stp/>
        <stp>BDP|1785019978928174772</stp>
        <tr r="AC315" s="1"/>
      </tp>
      <tp t="s">
        <v>#N/A N/A</v>
        <stp/>
        <stp>BDP|9736263003343340182</stp>
        <tr r="AA297" s="1"/>
      </tp>
      <tp t="s">
        <v>#N/A N/A</v>
        <stp/>
        <stp>BDP|5081444943439949578</stp>
        <tr r="Y128" s="1"/>
      </tp>
      <tp t="s">
        <v>#N/A N/A</v>
        <stp/>
        <stp>BDP|3145824168266577272</stp>
        <tr r="X46" s="1"/>
      </tp>
      <tp t="s">
        <v>#N/A N/A</v>
        <stp/>
        <stp>BDP|1264257542167347986</stp>
        <tr r="X90" s="1"/>
      </tp>
      <tp t="s">
        <v>#N/A N/A</v>
        <stp/>
        <stp>BDP|4501986194375437834</stp>
        <tr r="X69" s="1"/>
      </tp>
      <tp t="s">
        <v>#N/A N/A</v>
        <stp/>
        <stp>BDP|6278270391143371788</stp>
        <tr r="AC107" s="1"/>
      </tp>
      <tp t="s">
        <v>#N/A N/A</v>
        <stp/>
        <stp>BDP|8567454819381710516</stp>
        <tr r="X86" s="1"/>
      </tp>
      <tp t="s">
        <v>#N/A N/A</v>
        <stp/>
        <stp>BDP|2246514577960076986</stp>
        <tr r="AC249" s="1"/>
      </tp>
      <tp t="s">
        <v>#N/A N/A</v>
        <stp/>
        <stp>BDP|3037379948214342901</stp>
        <tr r="Y64" s="1"/>
      </tp>
      <tp t="s">
        <v>#N/A N/A</v>
        <stp/>
        <stp>BDP|4608806203267927209</stp>
        <tr r="AB331" s="1"/>
      </tp>
      <tp t="s">
        <v>#N/A N/A</v>
        <stp/>
        <stp>BDP|8001260023576163780</stp>
        <tr r="Y98" s="1"/>
      </tp>
      <tp t="s">
        <v>#N/A N/A</v>
        <stp/>
        <stp>BDP|6675268476828284295</stp>
        <tr r="Y89" s="1"/>
      </tp>
      <tp t="s">
        <v>#N/A N/A</v>
        <stp/>
        <stp>BDP|9113755938801602585</stp>
        <tr r="X115" s="1"/>
      </tp>
      <tp t="s">
        <v>#N/A N/A</v>
        <stp/>
        <stp>BDP|9729961045769305458</stp>
        <tr r="AB309" s="1"/>
      </tp>
      <tp t="s">
        <v>#N/A N/A</v>
        <stp/>
        <stp>BDP|5440324311197579909</stp>
        <tr r="AC43" s="1"/>
      </tp>
      <tp t="s">
        <v>#N/A N/A</v>
        <stp/>
        <stp>BDP|3743767193203309730</stp>
        <tr r="AC292" s="1"/>
      </tp>
      <tp t="s">
        <v>#N/A N/A</v>
        <stp/>
        <stp>BDP|1321192985079814852</stp>
        <tr r="X236" s="1"/>
      </tp>
      <tp t="s">
        <v>#N/A N/A</v>
        <stp/>
        <stp>BDP|5788957068041040289</stp>
        <tr r="AB215" s="1"/>
      </tp>
      <tp t="s">
        <v>#N/A N/A</v>
        <stp/>
        <stp>BDP|4231933633100354733</stp>
        <tr r="X345" s="1"/>
      </tp>
      <tp t="s">
        <v>#N/A N/A</v>
        <stp/>
        <stp>BDP|8095707935551188479</stp>
        <tr r="AB306" s="1"/>
      </tp>
      <tp t="s">
        <v>#N/A N/A</v>
        <stp/>
        <stp>BDP|1907339717949922372</stp>
        <tr r="Y210" s="1"/>
      </tp>
      <tp t="s">
        <v>#N/A N/A</v>
        <stp/>
        <stp>BDP|8126776060244231477</stp>
        <tr r="AB134" s="1"/>
      </tp>
      <tp t="s">
        <v>#N/A N/A</v>
        <stp/>
        <stp>BDP|6526746060769251703</stp>
        <tr r="Y22" s="1"/>
      </tp>
      <tp t="s">
        <v>#N/A N/A</v>
        <stp/>
        <stp>BDP|2214187941949115798</stp>
        <tr r="X159" s="1"/>
      </tp>
      <tp t="s">
        <v>#N/A N/A</v>
        <stp/>
        <stp>BDP|8214096616837875754</stp>
        <tr r="AB88" s="1"/>
      </tp>
      <tp t="s">
        <v>#N/A N/A</v>
        <stp/>
        <stp>BDP|3883135733390090880</stp>
        <tr r="X27" s="1"/>
      </tp>
      <tp t="s">
        <v>#N/A N/A</v>
        <stp/>
        <stp>BDP|9368348144502013521</stp>
        <tr r="X324" s="1"/>
      </tp>
      <tp t="s">
        <v>#N/A N/A</v>
        <stp/>
        <stp>BDP|3677337094828443846</stp>
        <tr r="AB96" s="1"/>
      </tp>
      <tp t="s">
        <v>#N/A N/A</v>
        <stp/>
        <stp>BDP|7710867168127864702</stp>
        <tr r="AA346" s="1"/>
      </tp>
      <tp t="s">
        <v>#N/A N/A</v>
        <stp/>
        <stp>BDP|8291181147857575395</stp>
        <tr r="X6" s="1"/>
      </tp>
      <tp t="s">
        <v>#N/A N/A</v>
        <stp/>
        <stp>BDP|5522503759835247986</stp>
        <tr r="AB208" s="1"/>
      </tp>
      <tp t="s">
        <v>#N/A N/A</v>
        <stp/>
        <stp>BDP|1365591598797605322</stp>
        <tr r="AB197" s="1"/>
      </tp>
      <tp t="s">
        <v>#N/A N/A</v>
        <stp/>
        <stp>BDP|3139310481719608813</stp>
        <tr r="AB336" s="1"/>
      </tp>
      <tp t="s">
        <v>#N/A N/A</v>
        <stp/>
        <stp>BDP|4599847467012013108</stp>
        <tr r="X338" s="1"/>
      </tp>
      <tp t="s">
        <v>#N/A N/A</v>
        <stp/>
        <stp>BDP|8107768714460204765</stp>
        <tr r="X181" s="1"/>
      </tp>
      <tp t="s">
        <v>#N/A N/A</v>
        <stp/>
        <stp>BDP|5863915948377357659</stp>
        <tr r="X98" s="1"/>
      </tp>
      <tp t="s">
        <v>#N/A N/A</v>
        <stp/>
        <stp>BDP|7531711630128445248</stp>
        <tr r="AA87" s="1"/>
      </tp>
      <tp t="s">
        <v>#N/A N/A</v>
        <stp/>
        <stp>BDP|6873870670259356993</stp>
        <tr r="Y330" s="1"/>
      </tp>
      <tp t="s">
        <v>#N/A N/A</v>
        <stp/>
        <stp>BDP|9967125360881475555</stp>
        <tr r="AA303" s="1"/>
      </tp>
      <tp t="s">
        <v>#N/A N/A</v>
        <stp/>
        <stp>BDP|4345932950460941238</stp>
        <tr r="Y342" s="1"/>
      </tp>
      <tp t="s">
        <v>#N/A N/A</v>
        <stp/>
        <stp>BDP|6904751906589873286</stp>
        <tr r="X137" s="1"/>
      </tp>
      <tp t="s">
        <v>#N/A N/A</v>
        <stp/>
        <stp>BDP|6815951177747126511</stp>
        <tr r="Y288" s="1"/>
      </tp>
      <tp t="s">
        <v>#N/A N/A</v>
        <stp/>
        <stp>BDP|8142352575673984530</stp>
        <tr r="X258" s="1"/>
      </tp>
      <tp t="s">
        <v>#N/A N/A</v>
        <stp/>
        <stp>BDP|7317670334801903928</stp>
        <tr r="AB35" s="1"/>
      </tp>
      <tp t="s">
        <v>#N/A N/A</v>
        <stp/>
        <stp>BDP|4184922158963564153</stp>
        <tr r="AA279" s="1"/>
      </tp>
      <tp t="s">
        <v>#N/A N/A</v>
        <stp/>
        <stp>BDP|4448214547071303991</stp>
        <tr r="AC22" s="1"/>
      </tp>
      <tp t="s">
        <v>#N/A N/A</v>
        <stp/>
        <stp>BDP|9781263070605091391</stp>
        <tr r="Y159" s="1"/>
      </tp>
      <tp t="s">
        <v>#N/A N/A</v>
        <stp/>
        <stp>BDP|8375462521107453385</stp>
        <tr r="AB179" s="1"/>
      </tp>
      <tp t="s">
        <v>#N/A N/A</v>
        <stp/>
        <stp>BDP|6843329161398037126</stp>
        <tr r="AC128" s="1"/>
      </tp>
      <tp t="s">
        <v>#N/A N/A</v>
        <stp/>
        <stp>BDP|1632329859168181558</stp>
        <tr r="X128" s="1"/>
      </tp>
      <tp t="s">
        <v>#N/A N/A</v>
        <stp/>
        <stp>BDP|4167383413128408479</stp>
        <tr r="Y114" s="1"/>
      </tp>
      <tp t="s">
        <v>#N/A N/A</v>
        <stp/>
        <stp>BDP|3276885398389951125</stp>
        <tr r="AC340" s="1"/>
      </tp>
      <tp t="s">
        <v>#N/A N/A</v>
        <stp/>
        <stp>BDP|5096088902947071845</stp>
        <tr r="Y285" s="1"/>
      </tp>
      <tp t="s">
        <v>#N/A N/A</v>
        <stp/>
        <stp>BDP|2966044696538717928</stp>
        <tr r="Y251" s="1"/>
      </tp>
      <tp t="s">
        <v>#N/A N/A</v>
        <stp/>
        <stp>BDP|2374951378584067200</stp>
        <tr r="Y250" s="1"/>
      </tp>
      <tp t="s">
        <v>#N/A N/A</v>
        <stp/>
        <stp>BDP|2884716394711483758</stp>
        <tr r="AB112" s="1"/>
      </tp>
      <tp t="s">
        <v>#N/A N/A</v>
        <stp/>
        <stp>BDP|2736287201143164933</stp>
        <tr r="AB18" s="1"/>
      </tp>
      <tp t="s">
        <v>#N/A N/A</v>
        <stp/>
        <stp>BDP|4479262710268935576</stp>
        <tr r="AB164" s="1"/>
      </tp>
      <tp t="s">
        <v>#N/A N/A</v>
        <stp/>
        <stp>BDP|5828533299780755396</stp>
        <tr r="AB66" s="1"/>
      </tp>
      <tp t="s">
        <v>#N/A N/A</v>
        <stp/>
        <stp>BDP|3888646878660883819</stp>
        <tr r="AC135" s="1"/>
      </tp>
      <tp t="s">
        <v>#N/A N/A</v>
        <stp/>
        <stp>BDP|8488271618309155876</stp>
        <tr r="AB229" s="1"/>
      </tp>
      <tp t="s">
        <v>#N/A N/A</v>
        <stp/>
        <stp>BDP|2884663884461642716</stp>
        <tr r="Y25" s="1"/>
      </tp>
      <tp t="s">
        <v>#N/A N/A</v>
        <stp/>
        <stp>BDP|6139147583630351582</stp>
        <tr r="AA320" s="1"/>
      </tp>
      <tp t="s">
        <v>#N/A N/A</v>
        <stp/>
        <stp>BDP|7576705898414209722</stp>
        <tr r="AA148" s="1"/>
      </tp>
      <tp t="s">
        <v>#N/A N/A</v>
        <stp/>
        <stp>BDP|2284015895656659723</stp>
        <tr r="AC344" s="1"/>
      </tp>
      <tp t="s">
        <v>#N/A N/A</v>
        <stp/>
        <stp>BDP|8695118640782369571</stp>
        <tr r="Y168" s="1"/>
      </tp>
      <tp t="s">
        <v>#N/A N/A</v>
        <stp/>
        <stp>BDP|1816994123326281603</stp>
        <tr r="AA32" s="1"/>
      </tp>
      <tp t="s">
        <v>#N/A N/A</v>
        <stp/>
        <stp>BDP|8314212035695326646</stp>
        <tr r="AA239" s="1"/>
      </tp>
      <tp t="s">
        <v>#N/A N/A</v>
        <stp/>
        <stp>BDP|4759764421403849881</stp>
        <tr r="AA301" s="1"/>
      </tp>
      <tp t="s">
        <v>#N/A N/A</v>
        <stp/>
        <stp>BDP|1730434238868895446</stp>
        <tr r="AA110" s="1"/>
      </tp>
      <tp t="s">
        <v>#N/A N/A</v>
        <stp/>
        <stp>BDP|3707862332202554061</stp>
        <tr r="X104" s="1"/>
      </tp>
      <tp t="s">
        <v>#N/A N/A</v>
        <stp/>
        <stp>BDP|4800786992387480777</stp>
        <tr r="AB64" s="1"/>
      </tp>
      <tp t="s">
        <v>#N/A N/A</v>
        <stp/>
        <stp>BDP|1096934321083532360</stp>
        <tr r="X294" s="1"/>
      </tp>
      <tp t="s">
        <v>#N/A N/A</v>
        <stp/>
        <stp>BDP|1212044384843683054</stp>
        <tr r="AA274" s="1"/>
      </tp>
      <tp t="s">
        <v>#N/A N/A</v>
        <stp/>
        <stp>BDP|6281808223704000207</stp>
        <tr r="X105" s="1"/>
      </tp>
      <tp t="s">
        <v>#N/A N/A</v>
        <stp/>
        <stp>BDP|6461043893321107436</stp>
        <tr r="X201" s="1"/>
      </tp>
      <tp t="s">
        <v>#N/A N/A</v>
        <stp/>
        <stp>BDP|7270458716421303947</stp>
        <tr r="X247" s="1"/>
      </tp>
      <tp t="s">
        <v>#N/A N/A</v>
        <stp/>
        <stp>BDP|3335579444939084174</stp>
        <tr r="AC35" s="1"/>
      </tp>
      <tp t="s">
        <v>#N/A N/A</v>
        <stp/>
        <stp>BDP|8713770184795456872</stp>
        <tr r="Y246" s="1"/>
      </tp>
      <tp t="s">
        <v>#N/A N/A</v>
        <stp/>
        <stp>BDP|7105355597075455203</stp>
        <tr r="AB265" s="1"/>
      </tp>
      <tp t="s">
        <v>#N/A N/A</v>
        <stp/>
        <stp>BDP|3527441747348768164</stp>
        <tr r="Y201" s="1"/>
      </tp>
      <tp t="s">
        <v>#N/A N/A</v>
        <stp/>
        <stp>BDP|9428193570484933133</stp>
        <tr r="AC11" s="1"/>
      </tp>
      <tp t="s">
        <v>#N/A N/A</v>
        <stp/>
        <stp>BDP|2796330699014000692</stp>
        <tr r="Y150" s="1"/>
      </tp>
      <tp t="s">
        <v>#N/A N/A</v>
        <stp/>
        <stp>BDP|4181954633821576568</stp>
        <tr r="AA159" s="1"/>
      </tp>
      <tp t="s">
        <v>#N/A N/A</v>
        <stp/>
        <stp>BDP|1427936776114585110</stp>
        <tr r="Y66" s="1"/>
      </tp>
      <tp t="s">
        <v>#N/A N/A</v>
        <stp/>
        <stp>BDP|2219663484934591206</stp>
        <tr r="AA304" s="1"/>
      </tp>
      <tp t="s">
        <v>#N/A N/A</v>
        <stp/>
        <stp>BDP|2810958258727902263</stp>
        <tr r="AC165" s="1"/>
      </tp>
      <tp t="s">
        <v>#N/A N/A</v>
        <stp/>
        <stp>BDP|8196482839786983233</stp>
        <tr r="X91" s="1"/>
      </tp>
      <tp t="s">
        <v>#N/A N/A</v>
        <stp/>
        <stp>BDP|5514584819619925377</stp>
        <tr r="Y11" s="1"/>
      </tp>
      <tp t="s">
        <v>#N/A N/A</v>
        <stp/>
        <stp>BDP|4601628625843290880</stp>
        <tr r="X255" s="1"/>
      </tp>
      <tp t="s">
        <v>#N/A N/A</v>
        <stp/>
        <stp>BDP|7765293901958308640</stp>
        <tr r="AC70" s="1"/>
      </tp>
      <tp t="s">
        <v>#N/A N/A</v>
        <stp/>
        <stp>BDP|7859970823414100353</stp>
        <tr r="AC106" s="1"/>
      </tp>
      <tp t="s">
        <v>#N/A N/A</v>
        <stp/>
        <stp>BDP|3845572197270752475</stp>
        <tr r="Y273" s="1"/>
      </tp>
      <tp t="s">
        <v>#N/A N/A</v>
        <stp/>
        <stp>BDP|6989948776122311104</stp>
        <tr r="AC112" s="1"/>
      </tp>
      <tp t="s">
        <v>#N/A N/A</v>
        <stp/>
        <stp>BDP|9826958653117180975</stp>
        <tr r="AA136" s="1"/>
      </tp>
      <tp t="s">
        <v>#N/A N/A</v>
        <stp/>
        <stp>BDP|8381191325899731918</stp>
        <tr r="AA337" s="1"/>
      </tp>
      <tp t="s">
        <v>#N/A N/A</v>
        <stp/>
        <stp>BDP|9252430059867661475</stp>
        <tr r="AA330" s="1"/>
      </tp>
      <tp t="s">
        <v>#N/A N/A</v>
        <stp/>
        <stp>BDP|4694689095773034320</stp>
        <tr r="AA267" s="1"/>
      </tp>
      <tp t="s">
        <v>#N/A N/A</v>
        <stp/>
        <stp>BDP|5995662791804405537</stp>
        <tr r="AB298" s="1"/>
      </tp>
      <tp t="s">
        <v>#N/A N/A</v>
        <stp/>
        <stp>BDP|6244757599471090207</stp>
        <tr r="AB24" s="1"/>
      </tp>
      <tp t="s">
        <v>#N/A N/A</v>
        <stp/>
        <stp>BDP|2146201182487538488</stp>
        <tr r="AA44" s="1"/>
      </tp>
      <tp t="s">
        <v>#N/A N/A</v>
        <stp/>
        <stp>BDP|3009362394307931556</stp>
        <tr r="AC332" s="1"/>
      </tp>
      <tp t="s">
        <v>#N/A N/A</v>
        <stp/>
        <stp>BDP|2152237004918094398</stp>
        <tr r="AA306" s="1"/>
      </tp>
      <tp t="s">
        <v>#N/A N/A</v>
        <stp/>
        <stp>BDP|5019505599857358553</stp>
        <tr r="AC71" s="1"/>
      </tp>
      <tp t="s">
        <v>#N/A N/A</v>
        <stp/>
        <stp>BDP|2990119852304276973</stp>
        <tr r="Y166" s="1"/>
      </tp>
      <tp t="s">
        <v>#N/A N/A</v>
        <stp/>
        <stp>BDP|6527192096357516239</stp>
        <tr r="AB5" s="1"/>
      </tp>
      <tp t="s">
        <v>#N/A N/A</v>
        <stp/>
        <stp>BDP|2285425235187866911</stp>
        <tr r="X335" s="1"/>
      </tp>
      <tp t="s">
        <v>#N/A N/A</v>
        <stp/>
        <stp>BDP|5719296301755155929</stp>
        <tr r="X187" s="1"/>
      </tp>
      <tp t="s">
        <v>#N/A N/A</v>
        <stp/>
        <stp>BDP|8175365566575455390</stp>
        <tr r="AC63" s="1"/>
      </tp>
      <tp t="s">
        <v>#N/A N/A</v>
        <stp/>
        <stp>BDP|4274105418286646903</stp>
        <tr r="AC299" s="1"/>
      </tp>
      <tp t="s">
        <v>#N/A N/A</v>
        <stp/>
        <stp>BDP|1854273937338024359</stp>
        <tr r="Y233" s="1"/>
      </tp>
      <tp t="s">
        <v>#N/A N/A</v>
        <stp/>
        <stp>BDP|8866705342917198766</stp>
        <tr r="X108" s="1"/>
      </tp>
      <tp t="s">
        <v>#N/A N/A</v>
        <stp/>
        <stp>BDP|1908012558399420664</stp>
        <tr r="AB319" s="1"/>
      </tp>
      <tp t="s">
        <v>#N/A N/A</v>
        <stp/>
        <stp>BDP|2633366765159764505</stp>
        <tr r="AC300" s="1"/>
      </tp>
      <tp t="s">
        <v>#N/A N/A</v>
        <stp/>
        <stp>BDP|5334479087954527647</stp>
        <tr r="AB313" s="1"/>
      </tp>
      <tp t="s">
        <v>#N/A N/A</v>
        <stp/>
        <stp>BDP|8809468348767286447</stp>
        <tr r="AA253" s="1"/>
      </tp>
      <tp t="s">
        <v>#N/A N/A</v>
        <stp/>
        <stp>BDP|9927886616658084360</stp>
        <tr r="AC116" s="1"/>
      </tp>
      <tp t="s">
        <v>#N/A N/A</v>
        <stp/>
        <stp>BDP|9420189849202711537</stp>
        <tr r="AC240" s="1"/>
      </tp>
      <tp t="s">
        <v>#N/A N/A</v>
        <stp/>
        <stp>BDP|6911993731056722170</stp>
        <tr r="X14" s="1"/>
      </tp>
      <tp t="s">
        <v>#N/A N/A</v>
        <stp/>
        <stp>BDP|9172144123428360945</stp>
        <tr r="AA281" s="1"/>
      </tp>
      <tp t="s">
        <v>#N/A N/A</v>
        <stp/>
        <stp>BDP|3914909059951126505</stp>
        <tr r="AC211" s="1"/>
      </tp>
      <tp t="s">
        <v>#N/A N/A</v>
        <stp/>
        <stp>BDP|4948128443732637880</stp>
        <tr r="AB67" s="1"/>
      </tp>
      <tp t="s">
        <v>#N/A N/A</v>
        <stp/>
        <stp>BDP|7457516494052021271</stp>
        <tr r="X182" s="1"/>
      </tp>
      <tp t="s">
        <v>#N/A N/A</v>
        <stp/>
        <stp>BDP|9672933135189572130</stp>
        <tr r="X31" s="1"/>
      </tp>
      <tp t="s">
        <v>#N/A N/A</v>
        <stp/>
        <stp>BDP|4850275581573038684</stp>
        <tr r="Y167" s="1"/>
      </tp>
      <tp t="s">
        <v>#N/A N/A</v>
        <stp/>
        <stp>BDP|8671540374339956894</stp>
        <tr r="Y308" s="1"/>
      </tp>
      <tp t="s">
        <v>#N/A N/A</v>
        <stp/>
        <stp>BDP|5282841028861851511</stp>
        <tr r="AB133" s="1"/>
      </tp>
      <tp t="s">
        <v>#N/A N/A</v>
        <stp/>
        <stp>BDP|8304806291735066750</stp>
        <tr r="AA125" s="1"/>
      </tp>
      <tp t="s">
        <v>#N/A N/A</v>
        <stp/>
        <stp>BDP|5603077180011414719</stp>
        <tr r="AC266" s="1"/>
      </tp>
      <tp t="s">
        <v>#N/A N/A</v>
        <stp/>
        <stp>BDP|8489558761052517212</stp>
        <tr r="AA7" s="1"/>
      </tp>
      <tp t="s">
        <v>#N/A N/A</v>
        <stp/>
        <stp>BDP|4529713490673578257</stp>
        <tr r="AC18" s="1"/>
      </tp>
      <tp t="s">
        <v>#N/A N/A</v>
        <stp/>
        <stp>BDP|9470442765101554147</stp>
        <tr r="Y126" s="1"/>
      </tp>
      <tp t="s">
        <v>#N/A N/A</v>
        <stp/>
        <stp>BDP|9917183544930923796</stp>
        <tr r="AB87" s="1"/>
      </tp>
      <tp t="s">
        <v>#N/A N/A</v>
        <stp/>
        <stp>BDP|6804469448839207411</stp>
        <tr r="AA226" s="1"/>
      </tp>
      <tp t="s">
        <v>#N/A N/A</v>
        <stp/>
        <stp>BDP|7321900342789308872</stp>
        <tr r="Y283" s="1"/>
      </tp>
      <tp t="s">
        <v>#N/A N/A</v>
        <stp/>
        <stp>BDP|3948069104905208236</stp>
        <tr r="AA211" s="1"/>
      </tp>
      <tp t="s">
        <v>#N/A N/A</v>
        <stp/>
        <stp>BDP|5423078881881867802</stp>
        <tr r="AB329" s="1"/>
      </tp>
      <tp t="s">
        <v>#N/A N/A</v>
        <stp/>
        <stp>BDP|2753044916362722599</stp>
        <tr r="X16" s="1"/>
      </tp>
      <tp t="s">
        <v>#N/A N/A</v>
        <stp/>
        <stp>BDP|3005556423867811754</stp>
        <tr r="AC154" s="1"/>
      </tp>
      <tp t="s">
        <v>#N/A N/A</v>
        <stp/>
        <stp>BDP|5170088327372255176</stp>
        <tr r="Y87" s="1"/>
      </tp>
      <tp t="s">
        <v>#N/A N/A</v>
        <stp/>
        <stp>BDP|9703045321769160685</stp>
        <tr r="AB190" s="1"/>
      </tp>
      <tp t="s">
        <v>#N/A N/A</v>
        <stp/>
        <stp>BDP|3905243424523148430</stp>
        <tr r="X197" s="1"/>
      </tp>
      <tp t="s">
        <v>#N/A N/A</v>
        <stp/>
        <stp>BDP|3578158761520987037</stp>
        <tr r="Y141" s="1"/>
      </tp>
      <tp t="s">
        <v>#N/A N/A</v>
        <stp/>
        <stp>BDP|2712341266973954041</stp>
        <tr r="AB210" s="1"/>
      </tp>
      <tp t="s">
        <v>#N/A N/A</v>
        <stp/>
        <stp>BDP|2509253030621888602</stp>
        <tr r="AC326" s="1"/>
      </tp>
      <tp t="s">
        <v>#N/A N/A</v>
        <stp/>
        <stp>BDP|6343688071096121530</stp>
        <tr r="X326" s="1"/>
      </tp>
      <tp t="s">
        <v>#N/A N/A</v>
        <stp/>
        <stp>BDP|2411030522423858755</stp>
        <tr r="AA49" s="1"/>
      </tp>
      <tp t="s">
        <v>#N/A N/A</v>
        <stp/>
        <stp>BDP|4237063014321964011</stp>
        <tr r="AC296" s="1"/>
      </tp>
      <tp t="s">
        <v>#N/A N/A</v>
        <stp/>
        <stp>BDP|9816576185675232519</stp>
        <tr r="Y177" s="1"/>
      </tp>
      <tp t="s">
        <v>#N/A N/A</v>
        <stp/>
        <stp>BDP|8161992215537462309</stp>
        <tr r="AA103" s="1"/>
      </tp>
      <tp t="s">
        <v>#N/A N/A</v>
        <stp/>
        <stp>BDP|4923164831081467348</stp>
        <tr r="AA90" s="1"/>
      </tp>
      <tp t="s">
        <v>#N/A N/A</v>
        <stp/>
        <stp>BDP|4057464219476481355</stp>
        <tr r="AA342" s="1"/>
      </tp>
      <tp t="s">
        <v>#N/A N/A</v>
        <stp/>
        <stp>BDP|8947615538128973172</stp>
        <tr r="AC237" s="1"/>
      </tp>
      <tp t="s">
        <v>#N/A N/A</v>
        <stp/>
        <stp>BDP|1182413152605895143</stp>
        <tr r="AC341" s="1"/>
      </tp>
      <tp t="s">
        <v>#N/A N/A</v>
        <stp/>
        <stp>BDP|6601955229638330168</stp>
        <tr r="X190" s="1"/>
      </tp>
      <tp t="s">
        <v>#N/A N/A</v>
        <stp/>
        <stp>BDP|2486102074239612997</stp>
        <tr r="X177" s="1"/>
      </tp>
      <tp t="s">
        <v>#N/A N/A</v>
        <stp/>
        <stp>BDP|3271491537085632551</stp>
        <tr r="Y230" s="1"/>
      </tp>
      <tp t="s">
        <v>#N/A N/A</v>
        <stp/>
        <stp>BDP|9831993599025218856</stp>
        <tr r="AC312" s="1"/>
      </tp>
      <tp t="s">
        <v>#N/A N/A</v>
        <stp/>
        <stp>BDP|1126415132143529182</stp>
        <tr r="AA261" s="1"/>
      </tp>
      <tp t="s">
        <v>#N/A N/A</v>
        <stp/>
        <stp>BDP|3323234040840850146</stp>
        <tr r="X72" s="1"/>
      </tp>
      <tp t="s">
        <v>#N/A N/A</v>
        <stp/>
        <stp>BDP|4692192361487066028</stp>
        <tr r="Y266" s="1"/>
      </tp>
      <tp t="s">
        <v>#N/A N/A</v>
        <stp/>
        <stp>BDP|3025276010714209084</stp>
        <tr r="AA325" s="1"/>
      </tp>
      <tp t="s">
        <v>#N/A N/A</v>
        <stp/>
        <stp>BDP|6506581302001540689</stp>
        <tr r="X123" s="1"/>
      </tp>
      <tp t="s">
        <v>#N/A N/A</v>
        <stp/>
        <stp>BDP|9205725785482739005</stp>
        <tr r="Y76" s="1"/>
      </tp>
      <tp t="s">
        <v>#N/A N/A</v>
        <stp/>
        <stp>BDP|5029553602870438430</stp>
        <tr r="AB114" s="1"/>
      </tp>
      <tp t="s">
        <v>#N/A N/A</v>
        <stp/>
        <stp>BDP|2603807067301781963</stp>
        <tr r="X290" s="1"/>
      </tp>
      <tp t="s">
        <v>#N/A N/A</v>
        <stp/>
        <stp>BDP|6469563286437198859</stp>
        <tr r="X194" s="1"/>
      </tp>
      <tp t="s">
        <v>#N/A N/A</v>
        <stp/>
        <stp>BDP|4679908175169774748</stp>
        <tr r="Y32" s="1"/>
      </tp>
      <tp t="s">
        <v>#N/A N/A</v>
        <stp/>
        <stp>BDP|7321363142443003761</stp>
        <tr r="AB195" s="1"/>
      </tp>
      <tp t="s">
        <v>#N/A N/A</v>
        <stp/>
        <stp>BDP|5113626250354567676</stp>
        <tr r="AA128" s="1"/>
      </tp>
      <tp t="s">
        <v>#N/A N/A</v>
        <stp/>
        <stp>BDP|7333903382403920191</stp>
        <tr r="AA250" s="1"/>
      </tp>
      <tp t="s">
        <v>#N/A N/A</v>
        <stp/>
        <stp>BDP|7209229006755827487</stp>
        <tr r="AA54" s="1"/>
      </tp>
      <tp t="s">
        <v>#N/A N/A</v>
        <stp/>
        <stp>BDP|1403761058651891644</stp>
        <tr r="AA72" s="1"/>
      </tp>
      <tp t="s">
        <v>#N/A N/A</v>
        <stp/>
        <stp>BDP|6396826398232810171</stp>
        <tr r="X68" s="1"/>
      </tp>
      <tp t="s">
        <v>#N/A N/A</v>
        <stp/>
        <stp>BDP|7488157630566456723</stp>
        <tr r="AC288" s="1"/>
      </tp>
      <tp t="s">
        <v>#N/A N/A</v>
        <stp/>
        <stp>BDP|8194947759222929220</stp>
        <tr r="X167" s="1"/>
      </tp>
      <tp t="s">
        <v>#N/A N/A</v>
        <stp/>
        <stp>BDP|1146654202497743460</stp>
        <tr r="AB281" s="1"/>
      </tp>
      <tp t="s">
        <v>#N/A N/A</v>
        <stp/>
        <stp>BDP|3605826481476018126</stp>
        <tr r="AC255" s="1"/>
      </tp>
      <tp t="s">
        <v>#N/A N/A</v>
        <stp/>
        <stp>BDP|1067436115951382125</stp>
        <tr r="AC32" s="1"/>
      </tp>
      <tp t="s">
        <v>#N/A N/A</v>
        <stp/>
        <stp>BDP|5434424572362474075</stp>
        <tr r="Y47" s="1"/>
      </tp>
      <tp t="s">
        <v>#N/A N/A</v>
        <stp/>
        <stp>BDP|2466438546017552103</stp>
        <tr r="X310" s="1"/>
      </tp>
      <tp t="s">
        <v>#N/A N/A</v>
        <stp/>
        <stp>BDP|1990766220145908522</stp>
        <tr r="AC271" s="1"/>
      </tp>
      <tp t="s">
        <v>#N/A N/A</v>
        <stp/>
        <stp>BDP|6236111036331281137</stp>
        <tr r="X192" s="1"/>
      </tp>
      <tp t="s">
        <v>#N/A N/A</v>
        <stp/>
        <stp>BDP|4893671637177595294</stp>
        <tr r="Y236" s="1"/>
      </tp>
      <tp t="s">
        <v>#N/A N/A</v>
        <stp/>
        <stp>BDP|3565332465927140571</stp>
        <tr r="X51" s="1"/>
      </tp>
      <tp t="s">
        <v>#N/A N/A</v>
        <stp/>
        <stp>BDP|2916109316760842624</stp>
        <tr r="AA36" s="1"/>
      </tp>
      <tp t="s">
        <v>#N/A N/A</v>
        <stp/>
        <stp>BDP|3918415619665143754</stp>
        <tr r="Y205" s="1"/>
      </tp>
      <tp t="s">
        <v>#N/A N/A</v>
        <stp/>
        <stp>BDP|1322153562947255539</stp>
        <tr r="AC97" s="1"/>
      </tp>
      <tp t="s">
        <v>#N/A N/A</v>
        <stp/>
        <stp>BDP|8647911964340651307</stp>
        <tr r="AA12" s="1"/>
      </tp>
      <tp t="s">
        <v>#N/A N/A</v>
        <stp/>
        <stp>BDP|7309061427620437132</stp>
        <tr r="AA230" s="1"/>
      </tp>
      <tp t="s">
        <v>#N/A N/A</v>
        <stp/>
        <stp>BDP|4773938359845494837</stp>
        <tr r="Y190" s="1"/>
      </tp>
      <tp t="s">
        <v>#N/A N/A</v>
        <stp/>
        <stp>BDP|4025318980489276391</stp>
        <tr r="AB241" s="1"/>
      </tp>
      <tp t="s">
        <v>#N/A N/A</v>
        <stp/>
        <stp>BDP|9290718958647864991</stp>
        <tr r="X57" s="1"/>
      </tp>
      <tp t="s">
        <v>#N/A N/A</v>
        <stp/>
        <stp>BDP|6159882977819786535</stp>
        <tr r="X64" s="1"/>
      </tp>
      <tp t="s">
        <v>#N/A N/A</v>
        <stp/>
        <stp>BDP|9568424039069222265</stp>
        <tr r="AB90" s="1"/>
      </tp>
      <tp t="s">
        <v>#N/A N/A</v>
        <stp/>
        <stp>BDP|5156837966636838861</stp>
        <tr r="AA14" s="1"/>
      </tp>
      <tp t="s">
        <v>#N/A N/A</v>
        <stp/>
        <stp>BDP|4327958148798775423</stp>
        <tr r="Y61" s="1"/>
      </tp>
      <tp t="s">
        <v>#N/A N/A</v>
        <stp/>
        <stp>BDP|9405981811191464525</stp>
        <tr r="AC294" s="1"/>
      </tp>
      <tp t="s">
        <v>#N/A N/A</v>
        <stp/>
        <stp>BDP|1400168947278479994</stp>
        <tr r="Y203" s="1"/>
      </tp>
      <tp t="s">
        <v>#N/A N/A</v>
        <stp/>
        <stp>BDP|2538541818843417055</stp>
        <tr r="AC338" s="1"/>
      </tp>
      <tp t="s">
        <v>#N/A N/A</v>
        <stp/>
        <stp>BDP|3457514949001384677</stp>
        <tr r="AB187" s="1"/>
      </tp>
      <tp t="s">
        <v>#N/A N/A</v>
        <stp/>
        <stp>BDP|3100820089174115231</stp>
        <tr r="Y218" s="1"/>
      </tp>
      <tp t="s">
        <v>#N/A N/A</v>
        <stp/>
        <stp>BDP|8377134217939928468</stp>
        <tr r="AC184" s="1"/>
      </tp>
      <tp t="s">
        <v>#N/A N/A</v>
        <stp/>
        <stp>BDP|1637473609367236723</stp>
        <tr r="AB141" s="1"/>
      </tp>
      <tp t="s">
        <v>#N/A N/A</v>
        <stp/>
        <stp>BDP|1723287017860270733</stp>
        <tr r="AC346" s="1"/>
      </tp>
      <tp t="s">
        <v>#N/A N/A</v>
        <stp/>
        <stp>BDP|2843703676043636418</stp>
        <tr r="X288" s="1"/>
      </tp>
      <tp t="s">
        <v>#N/A N/A</v>
        <stp/>
        <stp>BDP|7040695545017486718</stp>
        <tr r="X256" s="1"/>
      </tp>
      <tp t="s">
        <v>#N/A N/A</v>
        <stp/>
        <stp>BDP|3882423136887099636</stp>
        <tr r="Y5" s="1"/>
      </tp>
      <tp t="s">
        <v>#N/A N/A</v>
        <stp/>
        <stp>BDP|7978475925450272457</stp>
        <tr r="AC111" s="1"/>
      </tp>
      <tp t="s">
        <v>#N/A N/A</v>
        <stp/>
        <stp>BDP|5053631498657688803</stp>
        <tr r="AA307" s="1"/>
      </tp>
      <tp t="s">
        <v>#N/A N/A</v>
        <stp/>
        <stp>BDP|7462416068993260322</stp>
        <tr r="AB171" s="1"/>
      </tp>
      <tp t="s">
        <v>#N/A N/A</v>
        <stp/>
        <stp>BDP|6531122127657880750</stp>
        <tr r="Y324" s="1"/>
      </tp>
      <tp t="s">
        <v>#N/A N/A</v>
        <stp/>
        <stp>BDP|5617567532925122314</stp>
        <tr r="Y23" s="1"/>
      </tp>
      <tp t="s">
        <v>#N/A N/A</v>
        <stp/>
        <stp>BDP|9178948295635236907</stp>
        <tr r="Y196" s="1"/>
      </tp>
      <tp t="s">
        <v>#N/A N/A</v>
        <stp/>
        <stp>BDP|3011373924075750269</stp>
        <tr r="AC170" s="1"/>
      </tp>
      <tp t="s">
        <v>#N/A N/A</v>
        <stp/>
        <stp>BDP|3464074525135151157</stp>
        <tr r="AB74" s="1"/>
      </tp>
      <tp t="s">
        <v>#N/A N/A</v>
        <stp/>
        <stp>BDP|2961884783392379536</stp>
        <tr r="X62" s="1"/>
      </tp>
      <tp t="s">
        <v>#N/A N/A</v>
        <stp/>
        <stp>BDP|2996629890158959006</stp>
        <tr r="AB328" s="1"/>
      </tp>
      <tp t="s">
        <v>#N/A N/A</v>
        <stp/>
        <stp>BDP|5854039939236694561</stp>
        <tr r="AC79" s="1"/>
      </tp>
      <tp t="s">
        <v>#N/A N/A</v>
        <stp/>
        <stp>BDP|9392549583869438837</stp>
        <tr r="Y106" s="1"/>
      </tp>
      <tp t="s">
        <v>#N/A N/A</v>
        <stp/>
        <stp>BDP|2111615325861159253</stp>
        <tr r="AC254" s="1"/>
      </tp>
      <tp t="s">
        <v>#N/A N/A</v>
        <stp/>
        <stp>BDP|3183243657137641651</stp>
        <tr r="AA123" s="1"/>
      </tp>
      <tp t="s">
        <v>#N/A N/A</v>
        <stp/>
        <stp>BDP|2370208484394337950</stp>
        <tr r="X227" s="1"/>
      </tp>
      <tp t="s">
        <v>#N/A N/A</v>
        <stp/>
        <stp>BDP|8054943223590203640</stp>
        <tr r="X212" s="1"/>
      </tp>
      <tp t="s">
        <v>#N/A N/A</v>
        <stp/>
        <stp>BDP|7998641776545971645</stp>
        <tr r="AC149" s="1"/>
      </tp>
      <tp t="s">
        <v>#N/A N/A</v>
        <stp/>
        <stp>BDP|1544686518261154226</stp>
        <tr r="AA240" s="1"/>
      </tp>
      <tp t="s">
        <v>#N/A N/A</v>
        <stp/>
        <stp>BDP|3699420186478699221</stp>
        <tr r="Y247" s="1"/>
      </tp>
      <tp t="s">
        <v>#N/A N/A</v>
        <stp/>
        <stp>BDP|2836650002391915005</stp>
        <tr r="AB10" s="1"/>
      </tp>
      <tp t="s">
        <v>#N/A N/A</v>
        <stp/>
        <stp>BDP|9204849964952187047</stp>
        <tr r="AA263" s="1"/>
      </tp>
      <tp t="s">
        <v>#N/A N/A</v>
        <stp/>
        <stp>BDP|7545021437637271657</stp>
        <tr r="AC309" s="1"/>
      </tp>
      <tp t="s">
        <v>#N/A N/A</v>
        <stp/>
        <stp>BDP|1090471080018670052</stp>
        <tr r="Y276" s="1"/>
      </tp>
      <tp t="s">
        <v>#N/A N/A</v>
        <stp/>
        <stp>BDP|3312408675006706356</stp>
        <tr r="Y221" s="1"/>
      </tp>
      <tp t="s">
        <v>#N/A N/A</v>
        <stp/>
        <stp>BDP|3813327748293467221</stp>
        <tr r="Y275" s="1"/>
      </tp>
      <tp t="s">
        <v>#N/A N/A</v>
        <stp/>
        <stp>BDP|4302779177392252358</stp>
        <tr r="Y31" s="1"/>
      </tp>
      <tp t="s">
        <v>#N/A N/A</v>
        <stp/>
        <stp>BDP|4741739219472821509</stp>
        <tr r="X17" s="1"/>
      </tp>
      <tp t="s">
        <v>#N/A N/A</v>
        <stp/>
        <stp>BDP|7636031804933257296</stp>
        <tr r="AC287" s="1"/>
      </tp>
      <tp t="s">
        <v>#N/A N/A</v>
        <stp/>
        <stp>BDP|8114950556597027585</stp>
        <tr r="AA194" s="1"/>
      </tp>
      <tp t="s">
        <v>#N/A N/A</v>
        <stp/>
        <stp>BDP|5998951994037082424</stp>
        <tr r="AC235" s="1"/>
      </tp>
      <tp t="s">
        <v>#N/A N/A</v>
        <stp/>
        <stp>BDP|6999609685269767713</stp>
        <tr r="Y33" s="1"/>
      </tp>
      <tp t="s">
        <v>#N/A N/A</v>
        <stp/>
        <stp>BDP|9503877268862588351</stp>
        <tr r="AB308" s="1"/>
      </tp>
      <tp t="s">
        <v>#N/A N/A</v>
        <stp/>
        <stp>BDP|5702991397330610348</stp>
        <tr r="X320" s="1"/>
      </tp>
      <tp t="s">
        <v>#N/A N/A</v>
        <stp/>
        <stp>BDP|6509054831977262486</stp>
        <tr r="X333" s="1"/>
      </tp>
      <tp t="s">
        <v>#N/A N/A</v>
        <stp/>
        <stp>BDP|6038783465179350863</stp>
        <tr r="Y289" s="1"/>
      </tp>
      <tp t="s">
        <v>#N/A N/A</v>
        <stp/>
        <stp>BDP|7202228828197917686</stp>
        <tr r="AB239" s="1"/>
      </tp>
      <tp t="s">
        <v>#N/A N/A</v>
        <stp/>
        <stp>BDP|3248871089534117143</stp>
        <tr r="AB7" s="1"/>
      </tp>
      <tp t="s">
        <v>#N/A N/A</v>
        <stp/>
        <stp>BDP|6987049442970394425</stp>
        <tr r="AC139" s="1"/>
      </tp>
      <tp t="s">
        <v>#N/A N/A</v>
        <stp/>
        <stp>BDP|5698737974925674683</stp>
        <tr r="X270" s="1"/>
      </tp>
      <tp t="s">
        <v>#N/A N/A</v>
        <stp/>
        <stp>BDP|5526037671451393582</stp>
        <tr r="X132" s="1"/>
      </tp>
      <tp t="s">
        <v>#N/A N/A</v>
        <stp/>
        <stp>BDP|6478524958008109837</stp>
        <tr r="AA343" s="1"/>
      </tp>
      <tp t="s">
        <v>#N/A N/A</v>
        <stp/>
        <stp>BDP|2914165839662232499</stp>
        <tr r="AC231" s="1"/>
      </tp>
      <tp t="s">
        <v>#N/A N/A</v>
        <stp/>
        <stp>BDP|1943583989049387367</stp>
        <tr r="AB212" s="1"/>
      </tp>
      <tp t="s">
        <v>#N/A N/A</v>
        <stp/>
        <stp>BDP|5646032503351374289</stp>
        <tr r="AA224" s="1"/>
      </tp>
      <tp t="s">
        <v>#N/A N/A</v>
        <stp/>
        <stp>BDP|3903305023487337348</stp>
        <tr r="AB161" s="1"/>
      </tp>
      <tp t="s">
        <v>#N/A N/A</v>
        <stp/>
        <stp>BDP|7903615902321222656</stp>
        <tr r="Y183" s="1"/>
      </tp>
      <tp t="s">
        <v>#N/A N/A</v>
        <stp/>
        <stp>BDP|6249524429371568612</stp>
        <tr r="Y326" s="1"/>
      </tp>
      <tp t="s">
        <v>#N/A N/A</v>
        <stp/>
        <stp>BDP|6552472429195167376</stp>
        <tr r="Y28" s="1"/>
      </tp>
      <tp t="s">
        <v>#N/A N/A</v>
        <stp/>
        <stp>BDP|9377971034945412063</stp>
        <tr r="AC253" s="1"/>
      </tp>
      <tp t="s">
        <v>#N/A N/A</v>
        <stp/>
        <stp>BDP|3389453988208469182</stp>
        <tr r="X30" s="1"/>
      </tp>
      <tp t="s">
        <v>#N/A N/A</v>
        <stp/>
        <stp>BDP|8505119062431687829</stp>
        <tr r="X200" s="1"/>
      </tp>
      <tp t="s">
        <v>#N/A N/A</v>
        <stp/>
        <stp>BDP|8978270980967814343</stp>
        <tr r="Y295" s="1"/>
      </tp>
      <tp t="s">
        <v>#N/A N/A</v>
        <stp/>
        <stp>BDP|1231735362516742064</stp>
        <tr r="X144" s="1"/>
      </tp>
      <tp t="s">
        <v>#N/A N/A</v>
        <stp/>
        <stp>BDP|4779553986216683909</stp>
        <tr r="Y224" s="1"/>
      </tp>
      <tp t="s">
        <v>#N/A N/A</v>
        <stp/>
        <stp>BDP|9293560254867310816</stp>
        <tr r="Y75" s="1"/>
      </tp>
      <tp t="s">
        <v>#N/A N/A</v>
        <stp/>
        <stp>BDP|9113308653830002918</stp>
        <tr r="AC85" s="1"/>
      </tp>
      <tp t="s">
        <v>#N/A N/A</v>
        <stp/>
        <stp>BDP|5127903983906480452</stp>
        <tr r="AA167" s="1"/>
      </tp>
      <tp t="s">
        <v>#N/A N/A</v>
        <stp/>
        <stp>BDP|4983963147468817704</stp>
        <tr r="X233" s="1"/>
      </tp>
      <tp t="s">
        <v>#N/A N/A</v>
        <stp/>
        <stp>BDP|1067129860473619346</stp>
        <tr r="X265" s="1"/>
      </tp>
      <tp t="s">
        <v>#N/A N/A</v>
        <stp/>
        <stp>BDP|7304956741545695916</stp>
        <tr r="Y171" s="1"/>
      </tp>
      <tp t="s">
        <v>#N/A N/A</v>
        <stp/>
        <stp>BDP|2780124764205708662</stp>
        <tr r="AB173" s="1"/>
      </tp>
      <tp t="s">
        <v>#N/A N/A</v>
        <stp/>
        <stp>BDP|1921696196880349858</stp>
        <tr r="AC303" s="1"/>
      </tp>
      <tp t="s">
        <v>#N/A N/A</v>
        <stp/>
        <stp>BDP|7699334730264289571</stp>
        <tr r="AB68" s="1"/>
      </tp>
      <tp t="s">
        <v>#N/A N/A</v>
        <stp/>
        <stp>BDP|8469914020112486705</stp>
        <tr r="X284" s="1"/>
      </tp>
      <tp t="s">
        <v>#N/A N/A</v>
        <stp/>
        <stp>BDP|8587834073397780632</stp>
        <tr r="Y298" s="1"/>
      </tp>
      <tp t="s">
        <v>#N/A N/A</v>
        <stp/>
        <stp>BDP|7507961193700574147</stp>
        <tr r="X142" s="1"/>
      </tp>
      <tp t="s">
        <v>#N/A N/A</v>
        <stp/>
        <stp>BDP|5376884757998974639</stp>
        <tr r="AC276" s="1"/>
      </tp>
      <tp t="s">
        <v>#N/A N/A</v>
        <stp/>
        <stp>BDP|7269558917152315746</stp>
        <tr r="AA203" s="1"/>
      </tp>
      <tp t="s">
        <v>#N/A N/A</v>
        <stp/>
        <stp>BDP|2705907090704506050</stp>
        <tr r="AC138" s="1"/>
      </tp>
      <tp t="s">
        <v>#N/A N/A</v>
        <stp/>
        <stp>BDP|8025603197111443079</stp>
        <tr r="Y174" s="1"/>
      </tp>
      <tp t="s">
        <v>#N/A N/A</v>
        <stp/>
        <stp>BDP|2272103219994886070</stp>
        <tr r="AA116" s="1"/>
      </tp>
      <tp t="s">
        <v>#N/A N/A</v>
        <stp/>
        <stp>BDP|6064647136304226151</stp>
        <tr r="AA300" s="1"/>
      </tp>
      <tp t="s">
        <v>#N/A N/A</v>
        <stp/>
        <stp>BDP|8142539972998362464</stp>
        <tr r="AA28" s="1"/>
      </tp>
      <tp t="s">
        <v>#N/A N/A</v>
        <stp/>
        <stp>BDP|3954011429540218698</stp>
        <tr r="Y172" s="1"/>
      </tp>
      <tp t="s">
        <v>#N/A N/A</v>
        <stp/>
        <stp>BDP|5966119158190352697</stp>
        <tr r="AC307" s="1"/>
      </tp>
      <tp t="s">
        <v>#N/A N/A</v>
        <stp/>
        <stp>BDP|5177190530428555868</stp>
        <tr r="AB131" s="1"/>
      </tp>
      <tp t="s">
        <v>#N/A N/A</v>
        <stp/>
        <stp>BDP|3266776808422448122</stp>
        <tr r="Y110" s="1"/>
      </tp>
      <tp t="s">
        <v>#N/A N/A</v>
        <stp/>
        <stp>BDP|3787039040616599696</stp>
        <tr r="AB37" s="1"/>
      </tp>
      <tp t="s">
        <v>#N/A N/A</v>
        <stp/>
        <stp>BDP|7721625155441814209</stp>
        <tr r="AC273" s="1"/>
      </tp>
      <tp t="s">
        <v>#N/A N/A</v>
        <stp/>
        <stp>BDP|1151678211531807076</stp>
        <tr r="AA138" s="1"/>
      </tp>
      <tp t="s">
        <v>#N/A N/A</v>
        <stp/>
        <stp>BDP|6745020055911879509</stp>
        <tr r="AC172" s="1"/>
      </tp>
      <tp t="s">
        <v>#N/A N/A</v>
        <stp/>
        <stp>BDP|9351290146151381978</stp>
        <tr r="AA210" s="1"/>
      </tp>
      <tp t="s">
        <v>#N/A N/A</v>
        <stp/>
        <stp>BDP|7998105817867238758</stp>
        <tr r="AC57" s="1"/>
      </tp>
      <tp t="s">
        <v>#N/A N/A</v>
        <stp/>
        <stp>BDP|4661165348683069511</stp>
        <tr r="Y68" s="1"/>
      </tp>
      <tp t="s">
        <v>#N/A N/A</v>
        <stp/>
        <stp>BDP|5913154053730761610</stp>
        <tr r="AB345" s="1"/>
      </tp>
      <tp t="s">
        <v>#N/A N/A</v>
        <stp/>
        <stp>BDP|6143170953803248694</stp>
        <tr r="X176" s="1"/>
      </tp>
      <tp t="s">
        <v>#N/A N/A</v>
        <stp/>
        <stp>BDP|6454140816935073485</stp>
        <tr r="X146" s="1"/>
      </tp>
      <tp t="s">
        <v>#N/A N/A</v>
        <stp/>
        <stp>BDP|1841084639141515421</stp>
        <tr r="Y151" s="1"/>
      </tp>
      <tp t="s">
        <v>#N/A N/A</v>
        <stp/>
        <stp>BDP|1827918177429792170</stp>
        <tr r="AA43" s="1"/>
      </tp>
      <tp t="s">
        <v>#N/A N/A</v>
        <stp/>
        <stp>BDP|1747166673390580082</stp>
        <tr r="Y252" s="1"/>
      </tp>
      <tp t="s">
        <v>#N/A N/A</v>
        <stp/>
        <stp>BDP|5978916007168182323</stp>
        <tr r="AC20" s="1"/>
      </tp>
      <tp t="s">
        <v>#N/A N/A</v>
        <stp/>
        <stp>BDP|2438247249913053054</stp>
        <tr r="AC308" s="1"/>
      </tp>
      <tp t="s">
        <v>#N/A N/A</v>
        <stp/>
        <stp>BDP|6016061341334238195</stp>
        <tr r="AB103" s="1"/>
      </tp>
      <tp t="s">
        <v>#N/A N/A</v>
        <stp/>
        <stp>BDP|2816506137453799050</stp>
        <tr r="AC252" s="1"/>
      </tp>
      <tp t="s">
        <v>#N/A N/A</v>
        <stp/>
        <stp>BDP|7679881982832715262</stp>
        <tr r="X240" s="1"/>
      </tp>
      <tp t="s">
        <v>#N/A N/A</v>
        <stp/>
        <stp>BDP|1880351643419766846</stp>
        <tr r="AB326" s="1"/>
      </tp>
      <tp t="s">
        <v>#N/A N/A</v>
        <stp/>
        <stp>BDP|7473592321994933380</stp>
        <tr r="AC305" s="1"/>
      </tp>
      <tp t="s">
        <v>#N/A N/A</v>
        <stp/>
        <stp>BDP|3324180651807430737</stp>
        <tr r="AC238" s="1"/>
      </tp>
      <tp t="s">
        <v>#N/A N/A</v>
        <stp/>
        <stp>BDP|4626056774723226780</stp>
        <tr r="X250" s="1"/>
      </tp>
      <tp t="s">
        <v>#N/A N/A</v>
        <stp/>
        <stp>BDP|3227658332114340546</stp>
        <tr r="Y239" s="1"/>
      </tp>
      <tp t="s">
        <v>#N/A N/A</v>
        <stp/>
        <stp>BDP|5718051602522116032</stp>
        <tr r="Y256" s="1"/>
      </tp>
      <tp t="s">
        <v>#N/A N/A</v>
        <stp/>
        <stp>BDP|7147527242993274205</stp>
        <tr r="AA181" s="1"/>
      </tp>
      <tp t="s">
        <v>#N/A N/A</v>
        <stp/>
        <stp>BDP|1731317543162480327</stp>
        <tr r="Y162" s="1"/>
      </tp>
      <tp t="s">
        <v>#N/A N/A</v>
        <stp/>
        <stp>BDP|3154756910467389541</stp>
        <tr r="Y311" s="1"/>
      </tp>
      <tp t="s">
        <v>#N/A N/A</v>
        <stp/>
        <stp>BDP|5145704725346305143</stp>
        <tr r="Y254" s="1"/>
      </tp>
      <tp t="s">
        <v>#N/A N/A</v>
        <stp/>
        <stp>BDP|9511808000631469729</stp>
        <tr r="AB100" s="1"/>
      </tp>
      <tp t="s">
        <v>#N/A N/A</v>
        <stp/>
        <stp>BDP|8305873945791474260</stp>
        <tr r="AC297" s="1"/>
      </tp>
      <tp t="s">
        <v>#N/A N/A</v>
        <stp/>
        <stp>BDP|1399334417060407433</stp>
        <tr r="AC42" s="1"/>
      </tp>
      <tp t="s">
        <v>#N/A N/A</v>
        <stp/>
        <stp>BDP|2519025376354376623</stp>
        <tr r="AA326" s="1"/>
      </tp>
      <tp t="s">
        <v>#N/A N/A</v>
        <stp/>
        <stp>BDP|6483875097548388877</stp>
        <tr r="Y140" s="1"/>
      </tp>
      <tp t="s">
        <v>#N/A N/A</v>
        <stp/>
        <stp>BDP|9260855190477026868</stp>
        <tr r="AC216" s="1"/>
      </tp>
      <tp t="s">
        <v>#N/A N/A</v>
        <stp/>
        <stp>BDP|5343560043150585320</stp>
        <tr r="AB314" s="1"/>
      </tp>
      <tp t="s">
        <v>#N/A N/A</v>
        <stp/>
        <stp>BDP|7661551220095490262</stp>
        <tr r="AA160" s="1"/>
      </tp>
      <tp t="s">
        <v>#N/A N/A</v>
        <stp/>
        <stp>BDP|1888798311185231534</stp>
        <tr r="AA129" s="1"/>
      </tp>
      <tp t="s">
        <v>#N/A N/A</v>
        <stp/>
        <stp>BDP|8909287493481794531</stp>
        <tr r="X235" s="1"/>
      </tp>
      <tp t="s">
        <v>#N/A N/A</v>
        <stp/>
        <stp>BDP|8302096087606855128</stp>
        <tr r="AA106" s="1"/>
      </tp>
      <tp t="s">
        <v>#N/A N/A</v>
        <stp/>
        <stp>BDP|2648824093114691065</stp>
        <tr r="AA122" s="1"/>
      </tp>
      <tp t="s">
        <v>#N/A N/A</v>
        <stp/>
        <stp>BDP|6650630987398314766</stp>
        <tr r="AB250" s="1"/>
      </tp>
      <tp t="s">
        <v>#N/A N/A</v>
        <stp/>
        <stp>BDP|3315276051737503476</stp>
        <tr r="AC41" s="1"/>
      </tp>
      <tp t="s">
        <v>#N/A N/A</v>
        <stp/>
        <stp>BDP|9058354716684593821</stp>
        <tr r="AB150" s="1"/>
      </tp>
      <tp t="s">
        <v>#N/A N/A</v>
        <stp/>
        <stp>BDP|3711096505622671696</stp>
        <tr r="AC233" s="1"/>
      </tp>
      <tp t="s">
        <v>#N/A N/A</v>
        <stp/>
        <stp>BDP|3262555967270581719</stp>
        <tr r="AB312" s="1"/>
      </tp>
      <tp t="s">
        <v>#N/A N/A</v>
        <stp/>
        <stp>BDP|6292003152245168158</stp>
        <tr r="AA222" s="1"/>
      </tp>
      <tp t="s">
        <v>#N/A N/A</v>
        <stp/>
        <stp>BDP|1013538195292340803</stp>
        <tr r="Y264" s="1"/>
      </tp>
      <tp t="s">
        <v>#N/A N/A</v>
        <stp/>
        <stp>BDP|3242438129972862053</stp>
        <tr r="Y344" s="1"/>
      </tp>
      <tp t="s">
        <v>#N/A N/A</v>
        <stp/>
        <stp>BDP|5875141508831822298</stp>
        <tr r="AB165" s="1"/>
      </tp>
      <tp t="s">
        <v>#N/A N/A</v>
        <stp/>
        <stp>BDP|4366235162513598428</stp>
        <tr r="Y130" s="1"/>
      </tp>
      <tp t="s">
        <v>#N/A N/A</v>
        <stp/>
        <stp>BDP|3224941052651370924</stp>
        <tr r="AB223" s="1"/>
      </tp>
      <tp t="s">
        <v>#N/A N/A</v>
        <stp/>
        <stp>BDP|4461701856220355146</stp>
        <tr r="X52" s="1"/>
      </tp>
      <tp t="s">
        <v>#N/A N/A</v>
        <stp/>
        <stp>BDP|7060698864534205357</stp>
        <tr r="X120" s="1"/>
      </tp>
      <tp t="s">
        <v>#N/A N/A</v>
        <stp/>
        <stp>BDP|2635365626294580793</stp>
        <tr r="Y226" s="1"/>
      </tp>
      <tp t="s">
        <v>#N/A N/A</v>
        <stp/>
        <stp>BDP|7950790902091123197</stp>
        <tr r="X166" s="1"/>
      </tp>
      <tp t="s">
        <v>#N/A N/A</v>
        <stp/>
        <stp>BDP|4098710970963266794</stp>
        <tr r="X277" s="1"/>
      </tp>
      <tp t="s">
        <v>#N/A N/A</v>
        <stp/>
        <stp>BDP|5172675536762348293</stp>
        <tr r="X111" s="1"/>
      </tp>
      <tp t="s">
        <v>#N/A N/A</v>
        <stp/>
        <stp>BDP|7190394690418531568</stp>
        <tr r="Y303" s="1"/>
      </tp>
      <tp t="s">
        <v>#N/A N/A</v>
        <stp/>
        <stp>BDP|4858508428330285392</stp>
        <tr r="AB323" s="1"/>
      </tp>
      <tp t="s">
        <v>#N/A N/A</v>
        <stp/>
        <stp>BDP|7299177566130865037</stp>
        <tr r="AB245" s="1"/>
      </tp>
      <tp t="s">
        <v>#N/A N/A</v>
        <stp/>
        <stp>BDP|1949561453139303875</stp>
        <tr r="AA73" s="1"/>
      </tp>
      <tp t="s">
        <v>#N/A N/A</v>
        <stp/>
        <stp>BDP|2501725289944119978</stp>
        <tr r="X134" s="1"/>
      </tp>
      <tp t="s">
        <v>#N/A N/A</v>
        <stp/>
        <stp>BDP|9143254409682585909</stp>
        <tr r="AC180" s="1"/>
      </tp>
      <tp t="s">
        <v>#N/A N/A</v>
        <stp/>
        <stp>BDP|7802754517299419874</stp>
        <tr r="AB48" s="1"/>
      </tp>
      <tp t="s">
        <v>#N/A N/A</v>
        <stp/>
        <stp>BDP|6479097605931681773</stp>
        <tr r="AB246" s="1"/>
      </tp>
      <tp t="s">
        <v>#N/A N/A</v>
        <stp/>
        <stp>BDP|2245235179991092617</stp>
        <tr r="Y290" s="1"/>
      </tp>
      <tp t="s">
        <v>#N/A N/A</v>
        <stp/>
        <stp>BDP|6807379767416632506</stp>
        <tr r="Y46" s="1"/>
      </tp>
      <tp t="s">
        <v>#N/A N/A</v>
        <stp/>
        <stp>BDP|9389979391259868038</stp>
        <tr r="X191" s="1"/>
      </tp>
      <tp t="s">
        <v>#N/A N/A</v>
        <stp/>
        <stp>BDP|7363424471780722488</stp>
        <tr r="AC6" s="1"/>
      </tp>
      <tp t="s">
        <v>#N/A N/A</v>
        <stp/>
        <stp>BDP|5790562736076959524</stp>
        <tr r="Y272" s="1"/>
      </tp>
      <tp t="s">
        <v>#N/A N/A</v>
        <stp/>
        <stp>BDP|7182221194785302980</stp>
        <tr r="AB30" s="1"/>
      </tp>
      <tp t="s">
        <v>#N/A N/A</v>
        <stp/>
        <stp>BDP|8992206229911418986</stp>
        <tr r="AA231" s="1"/>
      </tp>
      <tp t="s">
        <v>#N/A N/A</v>
        <stp/>
        <stp>BDP|6691386109543849639</stp>
        <tr r="AB303" s="1"/>
      </tp>
      <tp t="s">
        <v>#N/A N/A</v>
        <stp/>
        <stp>BDP|5245453208653174220</stp>
        <tr r="AC286" s="1"/>
      </tp>
      <tp t="s">
        <v>#N/A N/A</v>
        <stp/>
        <stp>BDP|5304585464086648048</stp>
        <tr r="AB224" s="1"/>
      </tp>
      <tp t="s">
        <v>#N/A N/A</v>
        <stp/>
        <stp>BDP|4612999981223162620</stp>
        <tr r="X306" s="1"/>
      </tp>
      <tp t="s">
        <v>#N/A N/A</v>
        <stp/>
        <stp>BDP|9353489316639214525</stp>
        <tr r="Y63" s="1"/>
      </tp>
      <tp t="s">
        <v>#N/A N/A</v>
        <stp/>
        <stp>BDP|4813246230715643075</stp>
        <tr r="Y204" s="1"/>
      </tp>
      <tp t="s">
        <v>#N/A N/A</v>
        <stp/>
        <stp>BDP|5220387045491627346</stp>
        <tr r="AC130" s="1"/>
      </tp>
      <tp t="s">
        <v>#N/A N/A</v>
        <stp/>
        <stp>BDP|4268054676714549768</stp>
        <tr r="Y217" s="1"/>
      </tp>
      <tp t="s">
        <v>#N/A N/A</v>
        <stp/>
        <stp>BDP|3162439526004375153</stp>
        <tr r="Y57" s="1"/>
      </tp>
      <tp t="s">
        <v>#N/A N/A</v>
        <stp/>
        <stp>BDP|1002824670726203822</stp>
        <tr r="AC204" s="1"/>
      </tp>
      <tp t="s">
        <v>#N/A N/A</v>
        <stp/>
        <stp>BDP|9655328977075496853</stp>
        <tr r="Y14" s="1"/>
      </tp>
      <tp t="s">
        <v>#N/A N/A</v>
        <stp/>
        <stp>BDP|1842280021133365212</stp>
        <tr r="AC115" s="1"/>
      </tp>
      <tp t="s">
        <v>#N/A N/A</v>
        <stp/>
        <stp>BDP|1188662968609795899</stp>
        <tr r="Y281" s="1"/>
      </tp>
      <tp t="s">
        <v>#N/A N/A</v>
        <stp/>
        <stp>BDP|3480355304537407704</stp>
        <tr r="AB175" s="1"/>
      </tp>
      <tp t="s">
        <v>#N/A N/A</v>
        <stp/>
        <stp>BDP|2381269886239676143</stp>
        <tr r="AC47" s="1"/>
      </tp>
      <tp t="s">
        <v>#N/A N/A</v>
        <stp/>
        <stp>BDP|3826782525335656320</stp>
        <tr r="AA310" s="1"/>
      </tp>
      <tp t="s">
        <v>#N/A N/A</v>
        <stp/>
        <stp>BDP|7297760706666192657</stp>
        <tr r="AC117" s="1"/>
      </tp>
      <tp t="s">
        <v>#N/A N/A</v>
        <stp/>
        <stp>BDP|2136564958704996617</stp>
        <tr r="AC277" s="1"/>
      </tp>
      <tp t="s">
        <v>#N/A N/A</v>
        <stp/>
        <stp>BDP|2382679941087769757</stp>
        <tr r="Y7" s="1"/>
      </tp>
      <tp t="s">
        <v>#N/A N/A</v>
        <stp/>
        <stp>BDP|6277111339070411494</stp>
        <tr r="AA312" s="1"/>
      </tp>
      <tp t="s">
        <v>#N/A N/A</v>
        <stp/>
        <stp>BDP|6606452707086676456</stp>
        <tr r="Y300" s="1"/>
      </tp>
      <tp t="s">
        <v>#N/A N/A</v>
        <stp/>
        <stp>BDP|5196464662194488366</stp>
        <tr r="AB106" s="1"/>
      </tp>
      <tp t="s">
        <v>#N/A N/A</v>
        <stp/>
        <stp>BDP|4451175917606372205</stp>
        <tr r="AB283" s="1"/>
      </tp>
      <tp t="s">
        <v>#N/A N/A</v>
        <stp/>
        <stp>BDP|1689817766117495821</stp>
        <tr r="AA196" s="1"/>
      </tp>
      <tp t="s">
        <v>#N/A N/A</v>
        <stp/>
        <stp>BDP|6447809711848371728</stp>
        <tr r="Y309" s="1"/>
      </tp>
      <tp t="s">
        <v>#N/A N/A</v>
        <stp/>
        <stp>BDP|8083859849066839202</stp>
        <tr r="AA191" s="1"/>
      </tp>
      <tp t="s">
        <v>#N/A N/A</v>
        <stp/>
        <stp>BDP|8300906559602822662</stp>
        <tr r="AA104" s="1"/>
      </tp>
      <tp t="s">
        <v>#N/A N/A</v>
        <stp/>
        <stp>BDP|4515420595679479020</stp>
        <tr r="X222" s="1"/>
      </tp>
      <tp t="s">
        <v>#N/A N/A</v>
        <stp/>
        <stp>BDP|4071545404464756528</stp>
        <tr r="AC82" s="1"/>
      </tp>
      <tp t="s">
        <v>#N/A N/A</v>
        <stp/>
        <stp>BDP|5178469955053775702</stp>
        <tr r="X131" s="1"/>
      </tp>
      <tp t="s">
        <v>#N/A N/A</v>
        <stp/>
        <stp>BDP|8644007062879468752</stp>
        <tr r="Y191" s="1"/>
      </tp>
      <tp t="s">
        <v>#N/A N/A</v>
        <stp/>
        <stp>BDP|6253294898095538832</stp>
        <tr r="AA273" s="1"/>
      </tp>
      <tp t="s">
        <v>#N/A N/A</v>
        <stp/>
        <stp>BDP|4404434308910807029</stp>
        <tr r="AC53" s="1"/>
      </tp>
      <tp t="s">
        <v>#N/A N/A</v>
        <stp/>
        <stp>BDP|1609266657677575173</stp>
        <tr r="AC185" s="1"/>
      </tp>
      <tp t="s">
        <v>#N/A N/A</v>
        <stp/>
        <stp>BDP|6739710366722990430</stp>
        <tr r="Y237" s="1"/>
      </tp>
      <tp t="s">
        <v>#N/A N/A</v>
        <stp/>
        <stp>BDP|5070615756476834154</stp>
        <tr r="AC320" s="1"/>
      </tp>
      <tp t="s">
        <v>#N/A N/A</v>
        <stp/>
        <stp>BDP|5837252335554622146</stp>
        <tr r="X180" s="1"/>
      </tp>
      <tp t="s">
        <v>#N/A N/A</v>
        <stp/>
        <stp>BDP|7142446876334159181</stp>
        <tr r="X283" s="1"/>
      </tp>
      <tp t="s">
        <v>#N/A N/A</v>
        <stp/>
        <stp>BDP|3871142508094944761</stp>
        <tr r="X56" s="1"/>
      </tp>
      <tp t="s">
        <v>#N/A N/A</v>
        <stp/>
        <stp>BDP|3758295805746375634</stp>
        <tr r="AB76" s="1"/>
      </tp>
      <tp t="s">
        <v>#N/A N/A</v>
        <stp/>
        <stp>BDP|6179181349182018087</stp>
        <tr r="X269" s="1"/>
      </tp>
      <tp t="s">
        <v>#N/A N/A</v>
        <stp/>
        <stp>BDP|5209985361473642846</stp>
        <tr r="Y333" s="1"/>
      </tp>
      <tp t="s">
        <v>#N/A N/A</v>
        <stp/>
        <stp>BDP|9566431148171397931</stp>
        <tr r="AA291" s="1"/>
      </tp>
      <tp t="s">
        <v>#N/A N/A</v>
        <stp/>
        <stp>BDP|6143555578510525573</stp>
        <tr r="AB321" s="1"/>
      </tp>
      <tp t="s">
        <v>#N/A N/A</v>
        <stp/>
        <stp>BDP|2581851348217381854</stp>
        <tr r="X84" s="1"/>
      </tp>
      <tp t="s">
        <v>#N/A N/A</v>
        <stp/>
        <stp>BDP|1414585969307966438</stp>
        <tr r="X296" s="1"/>
      </tp>
      <tp t="s">
        <v>#N/A N/A</v>
        <stp/>
        <stp>BDP|1939106629014984766</stp>
        <tr r="X33" s="1"/>
      </tp>
      <tp t="s">
        <v>#N/A N/A</v>
        <stp/>
        <stp>BDP|4999222362520160175</stp>
        <tr r="AA294" s="1"/>
      </tp>
      <tp t="s">
        <v>#N/A N/A</v>
        <stp/>
        <stp>BDP|9117027726868236281</stp>
        <tr r="AA8" s="1"/>
      </tp>
      <tp t="s">
        <v>#N/A N/A</v>
        <stp/>
        <stp>BDP|5862132543691713007</stp>
        <tr r="X35" s="1"/>
      </tp>
      <tp t="s">
        <v>#N/A N/A</v>
        <stp/>
        <stp>BDP|7095895154088454351</stp>
        <tr r="Y334" s="1"/>
      </tp>
      <tp t="s">
        <v>#N/A N/A</v>
        <stp/>
        <stp>BDP|2426246735821930301</stp>
        <tr r="AA58" s="1"/>
      </tp>
      <tp t="s">
        <v>#N/A N/A</v>
        <stp/>
        <stp>BDP|2024698243668732905</stp>
        <tr r="AB54" s="1"/>
      </tp>
      <tp t="s">
        <v>#N/A N/A</v>
        <stp/>
        <stp>BDP|7173542744115844245</stp>
        <tr r="AB20" s="1"/>
      </tp>
      <tp t="s">
        <v>#N/A N/A</v>
        <stp/>
        <stp>BDP|6406077271493717385</stp>
        <tr r="X319" s="1"/>
      </tp>
      <tp t="s">
        <v>#N/A N/A</v>
        <stp/>
        <stp>BDP|6643363330164490365</stp>
        <tr r="AB280" s="1"/>
      </tp>
      <tp t="s">
        <v>#N/A N/A</v>
        <stp/>
        <stp>BDP|3399185463436849322</stp>
        <tr r="AB307" s="1"/>
      </tp>
      <tp t="s">
        <v>#N/A N/A</v>
        <stp/>
        <stp>BDP|5105906785091597431</stp>
        <tr r="X173" s="1"/>
      </tp>
      <tp t="s">
        <v>#N/A N/A</v>
        <stp/>
        <stp>BDP|7651491012673725081</stp>
        <tr r="AA305" s="1"/>
      </tp>
      <tp t="s">
        <v>#N/A N/A</v>
        <stp/>
        <stp>BDP|2945689553471501159</stp>
        <tr r="Y255" s="1"/>
      </tp>
      <tp t="s">
        <v>#N/A N/A</v>
        <stp/>
        <stp>BDP|9408673201426011806</stp>
        <tr r="AC283" s="1"/>
      </tp>
      <tp t="s">
        <v>#N/A N/A</v>
        <stp/>
        <stp>BDP|6405224910070670423</stp>
        <tr r="X124" s="1"/>
      </tp>
      <tp t="s">
        <v>#N/A N/A</v>
        <stp/>
        <stp>BDP|3007733850564813494</stp>
        <tr r="AC298" s="1"/>
      </tp>
      <tp t="s">
        <v>#N/A N/A</v>
        <stp/>
        <stp>BDP|2352006630621699167</stp>
        <tr r="AA192" s="1"/>
      </tp>
      <tp t="s">
        <v>#N/A N/A</v>
        <stp/>
        <stp>BDP|8636445856438742009</stp>
        <tr r="Y323" s="1"/>
      </tp>
      <tp t="s">
        <v>#N/A N/A</v>
        <stp/>
        <stp>BDP|2044075450611091740</stp>
        <tr r="AB69" s="1"/>
      </tp>
      <tp t="s">
        <v>#N/A N/A</v>
        <stp/>
        <stp>BDP|2870086274393014772</stp>
        <tr r="Y173" s="1"/>
      </tp>
      <tp t="s">
        <v>#N/A N/A</v>
        <stp/>
        <stp>BDP|3956792245251025062</stp>
        <tr r="AA155" s="1"/>
      </tp>
      <tp t="s">
        <v>#N/A N/A</v>
        <stp/>
        <stp>BDP|6905328769163456159</stp>
        <tr r="AB302" s="1"/>
      </tp>
      <tp t="s">
        <v>#N/A N/A</v>
        <stp/>
        <stp>BDP|4767897399422628620</stp>
        <tr r="Y243" s="1"/>
      </tp>
      <tp t="s">
        <v>#N/A N/A</v>
        <stp/>
        <stp>BDP|4030175821363150578</stp>
        <tr r="AC122" s="1"/>
      </tp>
      <tp t="s">
        <v>#N/A N/A</v>
        <stp/>
        <stp>BDP|2060010338886862618</stp>
        <tr r="X136" s="1"/>
      </tp>
      <tp t="s">
        <v>#N/A N/A</v>
        <stp/>
        <stp>BDP|3916100599213119916</stp>
        <tr r="Y16" s="1"/>
      </tp>
      <tp t="s">
        <v>#N/A N/A</v>
        <stp/>
        <stp>BDP|5391704547056097143</stp>
        <tr r="Y53" s="1"/>
      </tp>
      <tp t="s">
        <v>#N/A N/A</v>
        <stp/>
        <stp>BDP|4732916543170294869</stp>
        <tr r="AA170" s="1"/>
      </tp>
      <tp t="s">
        <v>#N/A N/A</v>
        <stp/>
        <stp>BDP|6553775134472750105</stp>
        <tr r="AA243" s="1"/>
      </tp>
      <tp t="s">
        <v>#N/A N/A</v>
        <stp/>
        <stp>BDP|7837352457541886145</stp>
        <tr r="AA212" s="1"/>
      </tp>
      <tp t="s">
        <v>#N/A N/A</v>
        <stp/>
        <stp>BDP|5563476011891559007</stp>
        <tr r="AC89" s="1"/>
      </tp>
      <tp t="s">
        <v>#N/A N/A</v>
        <stp/>
        <stp>BDP|1404762447172077135</stp>
        <tr r="AC256" s="1"/>
      </tp>
      <tp t="s">
        <v>#N/A N/A</v>
        <stp/>
        <stp>BDP|6639833647869116258</stp>
        <tr r="AB225" s="1"/>
      </tp>
      <tp t="s">
        <v>#N/A N/A</v>
        <stp/>
        <stp>BDP|6619132761310270004</stp>
        <tr r="AB21" s="1"/>
      </tp>
      <tp t="s">
        <v>#N/A N/A</v>
        <stp/>
        <stp>BDP|8323856558965053199</stp>
        <tr r="X251" s="1"/>
      </tp>
      <tp t="s">
        <v>#N/A N/A</v>
        <stp/>
        <stp>BDP|4392763243505792365</stp>
        <tr r="AA241" s="1"/>
      </tp>
      <tp t="s">
        <v>#N/A N/A</v>
        <stp/>
        <stp>BDP|2064090747711817615</stp>
        <tr r="AA74" s="1"/>
      </tp>
      <tp t="s">
        <v>#N/A N/A</v>
        <stp/>
        <stp>BDP|4696311332444357123</stp>
        <tr r="AA338" s="1"/>
      </tp>
      <tp t="s">
        <v>#N/A N/A</v>
        <stp/>
        <stp>BDP|6567424893119199316</stp>
        <tr r="X9" s="1"/>
      </tp>
      <tp t="s">
        <v>#N/A N/A</v>
        <stp/>
        <stp>BDP|4041853094834604024</stp>
        <tr r="AB228" s="1"/>
      </tp>
      <tp t="s">
        <v>#N/A N/A</v>
        <stp/>
        <stp>BDP|9819152873606211894</stp>
        <tr r="AB238" s="1"/>
      </tp>
      <tp t="s">
        <v>#N/A N/A</v>
        <stp/>
        <stp>BDP|2135110414626178502</stp>
        <tr r="AB301" s="1"/>
      </tp>
      <tp t="s">
        <v>#N/A N/A</v>
        <stp/>
        <stp>BDP|9652624013628694749</stp>
        <tr r="Y278" s="1"/>
      </tp>
      <tp t="s">
        <v>#N/A N/A</v>
        <stp/>
        <stp>BDP|8698279521282294882</stp>
        <tr r="AA208" s="1"/>
      </tp>
      <tp t="s">
        <v>#N/A N/A</v>
        <stp/>
        <stp>BDP|7717042017174849061</stp>
        <tr r="AC136" s="1"/>
      </tp>
      <tp t="s">
        <v>#N/A N/A</v>
        <stp/>
        <stp>BDP|3550894554964565867</stp>
        <tr r="X328" s="1"/>
      </tp>
      <tp t="s">
        <v>#N/A N/A</v>
        <stp/>
        <stp>BDP|3885209442572007514</stp>
        <tr r="AC141" s="1"/>
      </tp>
      <tp t="s">
        <v>#N/A N/A</v>
        <stp/>
        <stp>BDP|3218075989721316847</stp>
        <tr r="AC224" s="1"/>
      </tp>
      <tp t="s">
        <v>#N/A N/A</v>
        <stp/>
        <stp>BDP|7323513884591911943</stp>
        <tr r="AA308" s="1"/>
      </tp>
      <tp t="s">
        <v>#N/A N/A</v>
        <stp/>
        <stp>BDP|3129988240089379524</stp>
        <tr r="AC265" s="1"/>
      </tp>
      <tp t="s">
        <v>#N/A N/A</v>
        <stp/>
        <stp>BDP|6206506797619582180</stp>
        <tr r="AC328" s="1"/>
      </tp>
      <tp t="s">
        <v>#N/A N/A</v>
        <stp/>
        <stp>BDP|9593515728378156457</stp>
        <tr r="X122" s="1"/>
      </tp>
      <tp t="s">
        <v>#N/A N/A</v>
        <stp/>
        <stp>BDP|7553268029026260304</stp>
        <tr r="Y296" s="1"/>
      </tp>
      <tp t="s">
        <v>#N/A N/A</v>
        <stp/>
        <stp>BDP|2831660616326615162</stp>
        <tr r="AC280" s="1"/>
      </tp>
      <tp t="s">
        <v>#N/A N/A</v>
        <stp/>
        <stp>BDP|4038489351383127418</stp>
        <tr r="AB297" s="1"/>
      </tp>
      <tp t="s">
        <v>#N/A N/A</v>
        <stp/>
        <stp>BDP|3697198127200845294</stp>
        <tr r="AC196" s="1"/>
      </tp>
      <tp t="s">
        <v>#N/A N/A</v>
        <stp/>
        <stp>BDP|4221838877139795085</stp>
        <tr r="AC52" s="1"/>
      </tp>
      <tp t="s">
        <v>#N/A N/A</v>
        <stp/>
        <stp>BDP|2557930483980231190</stp>
        <tr r="AC187" s="1"/>
      </tp>
      <tp t="s">
        <v>#N/A N/A</v>
        <stp/>
        <stp>BDP|6074616729547451720</stp>
        <tr r="Y36" s="1"/>
      </tp>
      <tp t="s">
        <v>#N/A N/A</v>
        <stp/>
        <stp>BDP|4526167061800987148</stp>
        <tr r="AB310" s="1"/>
      </tp>
      <tp t="s">
        <v>#N/A N/A</v>
        <stp/>
        <stp>BDP|4689380992504472876</stp>
        <tr r="AA62" s="1"/>
      </tp>
      <tp t="s">
        <v>#N/A N/A</v>
        <stp/>
        <stp>BDP|5439555324413267380</stp>
        <tr r="AA88" s="1"/>
      </tp>
      <tp t="s">
        <v>#N/A N/A</v>
        <stp/>
        <stp>BDP|8479673916909981433</stp>
        <tr r="X329" s="1"/>
      </tp>
      <tp t="s">
        <v>#N/A N/A</v>
        <stp/>
        <stp>BDP|9693946302256794482</stp>
        <tr r="AB143" s="1"/>
      </tp>
      <tp t="s">
        <v>#N/A N/A</v>
        <stp/>
        <stp>BDP|2403872792292958349</stp>
        <tr r="Y185" s="1"/>
      </tp>
      <tp t="s">
        <v>#N/A N/A</v>
        <stp/>
        <stp>BDP|4875963554458130263</stp>
        <tr r="AA257" s="1"/>
      </tp>
      <tp t="s">
        <v>#N/A N/A</v>
        <stp/>
        <stp>BDP|9879239220999464224</stp>
        <tr r="AC39" s="1"/>
      </tp>
      <tp t="s">
        <v>#N/A N/A</v>
        <stp/>
        <stp>BDP|9781773500584569870</stp>
        <tr r="AA114" s="1"/>
      </tp>
      <tp t="s">
        <v>#N/A N/A</v>
        <stp/>
        <stp>BDP|6896080410030528570</stp>
        <tr r="AC132" s="1"/>
      </tp>
      <tp t="s">
        <v>#N/A N/A</v>
        <stp/>
        <stp>BDP|3682244864884462101</stp>
        <tr r="AA45" s="1"/>
      </tp>
      <tp t="s">
        <v>#N/A N/A</v>
        <stp/>
        <stp>BDP|7425726229220559084</stp>
        <tr r="AC206" s="1"/>
      </tp>
      <tp t="s">
        <v>#N/A N/A</v>
        <stp/>
        <stp>BDP|4034540577470803491</stp>
        <tr r="Y335" s="1"/>
      </tp>
      <tp t="s">
        <v>#N/A N/A</v>
        <stp/>
        <stp>BDP|5332581154020572783</stp>
        <tr r="Y113" s="1"/>
      </tp>
      <tp t="s">
        <v>#N/A N/A</v>
        <stp/>
        <stp>BDP|8196394861036242980</stp>
        <tr r="AB251" s="1"/>
      </tp>
      <tp t="s">
        <v>#N/A N/A</v>
        <stp/>
        <stp>BDP|8751955384059175246</stp>
        <tr r="Y58" s="1"/>
      </tp>
      <tp t="s">
        <v>#N/A N/A</v>
        <stp/>
        <stp>BDP|4427004672128477910</stp>
        <tr r="AA292" s="1"/>
      </tp>
      <tp t="s">
        <v>#N/A N/A</v>
        <stp/>
        <stp>BDP|4932550144420948727</stp>
        <tr r="AA56" s="1"/>
      </tp>
      <tp t="s">
        <v>#N/A N/A</v>
        <stp/>
        <stp>BDP|1825261728571129275</stp>
        <tr r="X252" s="1"/>
      </tp>
      <tp t="s">
        <v>#N/A N/A</v>
        <stp/>
        <stp>BDP|3688402536720470649</stp>
        <tr r="AB146" s="1"/>
      </tp>
      <tp t="s">
        <v>#N/A N/A</v>
        <stp/>
        <stp>BDP|5397550351747157072</stp>
        <tr r="X95" s="1"/>
      </tp>
      <tp t="s">
        <v>#N/A N/A</v>
        <stp/>
        <stp>BDP|9123634693186188217</stp>
        <tr r="AB232" s="1"/>
      </tp>
      <tp t="s">
        <v>#N/A N/A</v>
        <stp/>
        <stp>BDP|4259517927953452216</stp>
        <tr r="AC193" s="1"/>
      </tp>
      <tp t="s">
        <v>#N/A N/A</v>
        <stp/>
        <stp>BDP|6670815986897030301</stp>
        <tr r="AC264" s="1"/>
      </tp>
      <tp t="s">
        <v>#N/A N/A</v>
        <stp/>
        <stp>BDP|7489367488119325780</stp>
        <tr r="Y147" s="1"/>
      </tp>
      <tp t="s">
        <v>#N/A N/A</v>
        <stp/>
        <stp>BDP|8782924038248888847</stp>
        <tr r="AB15" s="1"/>
      </tp>
      <tp t="s">
        <v>#N/A N/A</v>
        <stp/>
        <stp>BDP|2307735303245350211</stp>
        <tr r="Y39" s="1"/>
      </tp>
      <tp t="s">
        <v>#N/A N/A</v>
        <stp/>
        <stp>BDP|7042311926754355055</stp>
        <tr r="X143" s="1"/>
      </tp>
      <tp t="s">
        <v>#N/A N/A</v>
        <stp/>
        <stp>BDP|2437964437192132829</stp>
        <tr r="AC217" s="1"/>
      </tp>
      <tp t="s">
        <v>#N/A N/A</v>
        <stp/>
        <stp>BDP|5101929482991306742</stp>
        <tr r="X343" s="1"/>
      </tp>
      <tp t="s">
        <v>#N/A N/A</v>
        <stp/>
        <stp>BDP|6081866104419223570</stp>
        <tr r="AA298" s="1"/>
      </tp>
      <tp t="s">
        <v>#N/A N/A</v>
        <stp/>
        <stp>BDP|6083785750117865177</stp>
        <tr r="AB178" s="1"/>
      </tp>
      <tp t="s">
        <v>#N/A N/A</v>
        <stp/>
        <stp>BDP|6545978081023419601</stp>
        <tr r="Y100" s="1"/>
      </tp>
      <tp t="s">
        <v>#N/A N/A</v>
        <stp/>
        <stp>BDP|4508087844203920179</stp>
        <tr r="AA82" s="1"/>
      </tp>
      <tp t="s">
        <v>#N/A N/A</v>
        <stp/>
        <stp>BDP|4659747926246463571</stp>
        <tr r="X139" s="1"/>
      </tp>
      <tp t="s">
        <v>#N/A N/A</v>
        <stp/>
        <stp>BDP|9674627660812438943</stp>
        <tr r="Y74" s="1"/>
      </tp>
      <tp t="s">
        <v>#N/A N/A</v>
        <stp/>
        <stp>BDP|1051480659586690438</stp>
        <tr r="Y337" s="1"/>
      </tp>
      <tp t="s">
        <v>#N/A N/A</v>
        <stp/>
        <stp>BDP|7124741728203872314</stp>
        <tr r="X44" s="1"/>
      </tp>
      <tp t="s">
        <v>#N/A N/A</v>
        <stp/>
        <stp>BDP|6767337365587524601</stp>
        <tr r="AA95" s="1"/>
      </tp>
      <tp t="s">
        <v>#N/A N/A</v>
        <stp/>
        <stp>BDP|8068929456363914586</stp>
        <tr r="Y345" s="1"/>
      </tp>
      <tp t="s">
        <v>#N/A N/A</v>
        <stp/>
        <stp>BDP|5182672370577608153</stp>
        <tr r="X226" s="1"/>
      </tp>
      <tp t="s">
        <v>#N/A N/A</v>
        <stp/>
        <stp>BDP|4397390388558476534</stp>
        <tr r="Y339" s="1"/>
      </tp>
      <tp t="s">
        <v>#N/A N/A</v>
        <stp/>
        <stp>BDP|4578819064879328165</stp>
        <tr r="X313" s="1"/>
      </tp>
      <tp t="s">
        <v>#N/A N/A</v>
        <stp/>
        <stp>BDP|2236535351328354863</stp>
        <tr r="AA232" s="1"/>
      </tp>
      <tp t="s">
        <v>#N/A N/A</v>
        <stp/>
        <stp>BDP|1465595393816098849</stp>
        <tr r="X268" s="1"/>
      </tp>
      <tp t="s">
        <v>#N/A N/A</v>
        <stp/>
        <stp>BDP|3561488245001641147</stp>
        <tr r="AB290" s="1"/>
      </tp>
      <tp t="s">
        <v>#N/A N/A</v>
        <stp/>
        <stp>BDP|4347909608468669672</stp>
        <tr r="AC282" s="1"/>
      </tp>
      <tp t="s">
        <v>#N/A N/A</v>
        <stp/>
        <stp>BDP|4558451156160536693</stp>
        <tr r="AB135" s="1"/>
      </tp>
      <tp t="s">
        <v>#N/A N/A</v>
        <stp/>
        <stp>BDP|7655276833451072484</stp>
        <tr r="AA38" s="1"/>
      </tp>
      <tp t="s">
        <v>#N/A N/A</v>
        <stp/>
        <stp>BDP|1110089000850199230</stp>
        <tr r="Y319" s="1"/>
      </tp>
      <tp t="s">
        <v>#N/A N/A</v>
        <stp/>
        <stp>BDP|1903440360812712212</stp>
        <tr r="AA5" s="1"/>
      </tp>
      <tp t="s">
        <v>#N/A N/A</v>
        <stp/>
        <stp>BDP|3372086794210646926</stp>
        <tr r="AB27" s="1"/>
      </tp>
      <tp t="s">
        <v>#N/A N/A</v>
        <stp/>
        <stp>BDP|4697689596368167027</stp>
        <tr r="AB93" s="1"/>
      </tp>
      <tp t="s">
        <v>#N/A N/A</v>
        <stp/>
        <stp>BDP|6538957659071643842</stp>
        <tr r="AC29" s="1"/>
      </tp>
      <tp t="s">
        <v>#N/A N/A</v>
        <stp/>
        <stp>BDP|6111318040846270491</stp>
        <tr r="AC51" s="1"/>
      </tp>
      <tp t="s">
        <v>#N/A N/A</v>
        <stp/>
        <stp>BDP|3548680070579396867</stp>
        <tr r="AC90" s="1"/>
      </tp>
      <tp t="s">
        <v>#N/A N/A</v>
        <stp/>
        <stp>BDP|9060836089553551976</stp>
        <tr r="AA39" s="1"/>
      </tp>
      <tp t="s">
        <v>#N/A N/A</v>
        <stp/>
        <stp>BDP|5807667403425156540</stp>
        <tr r="X231" s="1"/>
      </tp>
      <tp t="s">
        <v>#N/A N/A</v>
        <stp/>
        <stp>BDP|7885179836460417649</stp>
        <tr r="AB162" s="1"/>
      </tp>
      <tp t="s">
        <v>#N/A N/A</v>
        <stp/>
        <stp>BDP|6635632995873974900</stp>
        <tr r="Y10" s="1"/>
      </tp>
      <tp t="s">
        <v>#N/A N/A</v>
        <stp/>
        <stp>BDP|5981545534260261028</stp>
        <tr r="X38" s="1"/>
      </tp>
      <tp t="s">
        <v>#N/A N/A</v>
        <stp/>
        <stp>BDP|3583393172993524721</stp>
        <tr r="X82" s="1"/>
      </tp>
      <tp t="s">
        <v>#N/A N/A</v>
        <stp/>
        <stp>BDP|4564619906958970921</stp>
        <tr r="AA175" s="1"/>
      </tp>
      <tp t="s">
        <v>#N/A N/A</v>
        <stp/>
        <stp>BDP|7867131470394428663</stp>
        <tr r="X337" s="1"/>
      </tp>
      <tp t="s">
        <v>#N/A N/A</v>
        <stp/>
        <stp>BDP|6768652778593263710</stp>
        <tr r="AC17" s="1"/>
      </tp>
      <tp t="s">
        <v>#N/A N/A</v>
        <stp/>
        <stp>BDP|7864926495861204532</stp>
        <tr r="AA262" s="1"/>
      </tp>
      <tp t="s">
        <v>#N/A N/A</v>
        <stp/>
        <stp>BDP|1523755282974859941</stp>
        <tr r="AB142" s="1"/>
      </tp>
      <tp t="s">
        <v>#N/A N/A</v>
        <stp/>
        <stp>BDP|8185990322788776836</stp>
        <tr r="AC160" s="1"/>
      </tp>
      <tp t="s">
        <v>#N/A N/A</v>
        <stp/>
        <stp>BDP|8908606178543866974</stp>
        <tr r="AC222" s="1"/>
      </tp>
      <tp t="s">
        <v>#N/A N/A</v>
        <stp/>
        <stp>BDP|3495735019925413340</stp>
        <tr r="AA59" s="1"/>
      </tp>
      <tp t="s">
        <v>#N/A N/A</v>
        <stp/>
        <stp>BDP|8506614486013985643</stp>
        <tr r="AC232" s="1"/>
      </tp>
      <tp t="s">
        <v>#N/A N/A</v>
        <stp/>
        <stp>BDP|7914887729946628812</stp>
        <tr r="Y88" s="1"/>
      </tp>
      <tp t="s">
        <v>#N/A N/A</v>
        <stp/>
        <stp>BDP|5778117157773885161</stp>
        <tr r="AA277" s="1"/>
      </tp>
      <tp t="s">
        <v>#N/A N/A</v>
        <stp/>
        <stp>BDP|1991513433575423109</stp>
        <tr r="AB206" s="1"/>
      </tp>
      <tp t="s">
        <v>#N/A N/A</v>
        <stp/>
        <stp>BDP|4103565415715992674</stp>
        <tr r="Y238" s="1"/>
      </tp>
      <tp t="s">
        <v>#N/A N/A</v>
        <stp/>
        <stp>BDP|8255460498987658168</stp>
        <tr r="AA46" s="1"/>
      </tp>
      <tp t="s">
        <v>#N/A N/A</v>
        <stp/>
        <stp>BDP|9917202126353468973</stp>
        <tr r="AA48" s="1"/>
      </tp>
      <tp t="s">
        <v>#N/A N/A</v>
        <stp/>
        <stp>BDP|3711694857396610533</stp>
        <tr r="AC207" s="1"/>
      </tp>
      <tp t="s">
        <v>#N/A N/A</v>
        <stp/>
        <stp>BDP|1814248071496835185</stp>
        <tr r="AC336" s="1"/>
      </tp>
      <tp t="s">
        <v>#N/A N/A</v>
        <stp/>
        <stp>BDP|4254124728411282571</stp>
        <tr r="Y245" s="1"/>
      </tp>
      <tp t="s">
        <v>#N/A N/A</v>
        <stp/>
        <stp>BDP|4759357358629103868</stp>
        <tr r="AA327" s="1"/>
      </tp>
      <tp t="s">
        <v>#N/A N/A</v>
        <stp/>
        <stp>BDP|3343545354654317425</stp>
        <tr r="AB200" s="1"/>
      </tp>
      <tp t="s">
        <v>#N/A N/A</v>
        <stp/>
        <stp>BDP|6871913201164911832</stp>
        <tr r="AC78" s="1"/>
      </tp>
      <tp t="s">
        <v>#N/A N/A</v>
        <stp/>
        <stp>BDP|4735128357660765364</stp>
        <tr r="AA255" s="1"/>
      </tp>
      <tp t="s">
        <v>#N/A N/A</v>
        <stp/>
        <stp>BDP|1722041775262070755</stp>
        <tr r="AC279" s="1"/>
      </tp>
      <tp t="s">
        <v>#N/A N/A</v>
        <stp/>
        <stp>BDP|8711270767427518817</stp>
        <tr r="Y312" s="1"/>
      </tp>
      <tp t="s">
        <v>#N/A N/A</v>
        <stp/>
        <stp>BDP|4566411245253019427</stp>
        <tr r="Y119" s="1"/>
      </tp>
      <tp t="s">
        <v>#N/A N/A</v>
        <stp/>
        <stp>BDP|1132347235303705142</stp>
        <tr r="X147" s="1"/>
      </tp>
      <tp t="s">
        <v>#N/A N/A</v>
        <stp/>
        <stp>BDP|3483608963471471107</stp>
        <tr r="AA150" s="1"/>
      </tp>
      <tp t="s">
        <v>#N/A N/A</v>
        <stp/>
        <stp>BDP|7817134659892051222</stp>
        <tr r="X232" s="1"/>
      </tp>
      <tp t="s">
        <v>#N/A N/A</v>
        <stp/>
        <stp>BDP|6177431672215428347</stp>
        <tr r="AA201" s="1"/>
      </tp>
      <tp t="s">
        <v>#N/A N/A</v>
        <stp/>
        <stp>BDP|7390941154038520068</stp>
        <tr r="AC108" s="1"/>
      </tp>
      <tp t="s">
        <v>#N/A N/A</v>
        <stp/>
        <stp>BDP|7494601730418243976</stp>
        <tr r="Y17" s="1"/>
      </tp>
      <tp t="s">
        <v>#N/A N/A</v>
        <stp/>
        <stp>BDP|6192070088108879571</stp>
        <tr r="AC335" s="1"/>
      </tp>
      <tp t="s">
        <v>#N/A N/A</v>
        <stp/>
        <stp>BDP|2502600860834557564</stp>
        <tr r="X295" s="1"/>
      </tp>
      <tp t="s">
        <v>#N/A N/A</v>
        <stp/>
        <stp>BDP|5279028745634632652</stp>
        <tr r="AC80" s="1"/>
      </tp>
      <tp t="s">
        <v>#N/A N/A</v>
        <stp/>
        <stp>BDP|9183133175525566942</stp>
        <tr r="AC269" s="1"/>
      </tp>
      <tp t="s">
        <v>#N/A N/A</v>
        <stp/>
        <stp>BDP|1373120253224202263</stp>
        <tr r="AC126" s="1"/>
      </tp>
      <tp t="s">
        <v>#N/A N/A</v>
        <stp/>
        <stp>BDP|7029626603532083066</stp>
        <tr r="AA238" s="1"/>
      </tp>
      <tp t="s">
        <v>#N/A N/A</v>
        <stp/>
        <stp>BDP|2343680548291017241</stp>
        <tr r="AA219" s="1"/>
      </tp>
      <tp t="s">
        <v>#N/A N/A</v>
        <stp/>
        <stp>BDP|9281717992466334260</stp>
        <tr r="X239" s="1"/>
      </tp>
      <tp t="s">
        <v>#N/A N/A</v>
        <stp/>
        <stp>BDP|7458504510175290526</stp>
        <tr r="Y43" s="1"/>
      </tp>
      <tp t="s">
        <v>#N/A N/A</v>
        <stp/>
        <stp>BDP|1478311620375852690</stp>
        <tr r="AA117" s="1"/>
      </tp>
      <tp t="s">
        <v>#N/A N/A</v>
        <stp/>
        <stp>BDP|5458526967227166245</stp>
        <tr r="Y142" s="1"/>
      </tp>
      <tp t="s">
        <v>#N/A N/A</v>
        <stp/>
        <stp>BDP|2165735224110512476</stp>
        <tr r="AA94" s="1"/>
      </tp>
      <tp t="s">
        <v>#N/A N/A</v>
        <stp/>
        <stp>BDP|6724337754287414401</stp>
        <tr r="AB227" s="1"/>
      </tp>
      <tp t="s">
        <v>#N/A N/A</v>
        <stp/>
        <stp>BDP|9264553910059462775</stp>
        <tr r="Y277" s="1"/>
      </tp>
      <tp t="s">
        <v>#N/A N/A</v>
        <stp/>
        <stp>BDP|3624902891306065628</stp>
        <tr r="X246" s="1"/>
      </tp>
      <tp t="s">
        <v>#N/A N/A</v>
        <stp/>
        <stp>BDP|6767569364175944396</stp>
        <tr r="AC343" s="1"/>
      </tp>
      <tp t="s">
        <v>#N/A N/A</v>
        <stp/>
        <stp>BDP|4029218704106676360</stp>
        <tr r="AB338" s="1"/>
      </tp>
      <tp t="s">
        <v>#N/A N/A</v>
        <stp/>
        <stp>BDP|2398297759762441429</stp>
        <tr r="AC223" s="1"/>
      </tp>
      <tp t="s">
        <v>#N/A N/A</v>
        <stp/>
        <stp>BDP|3178031510385538420</stp>
        <tr r="AA127" s="1"/>
      </tp>
      <tp t="s">
        <v>#N/A N/A</v>
        <stp/>
        <stp>BDP|97880517382269344</stp>
        <tr r="AC156" s="1"/>
      </tp>
      <tp t="s">
        <v>#N/A N/A</v>
        <stp/>
        <stp>BDP|58539981952281050</stp>
        <tr r="AA339" s="1"/>
      </tp>
      <tp t="s">
        <v>#N/A N/A</v>
        <stp/>
        <stp>BDP|48352939828470635</stp>
        <tr r="Y99" s="1"/>
      </tp>
      <tp t="s">
        <v>#N/A N/A</v>
        <stp/>
        <stp>BDP|54429210220367673</stp>
        <tr r="AB333" s="1"/>
      </tp>
      <tp t="s">
        <v>#N/A N/A</v>
        <stp/>
        <stp>BDP|580232748567700402</stp>
        <tr r="AB305" s="1"/>
      </tp>
      <tp t="s">
        <v>#N/A N/A</v>
        <stp/>
        <stp>BDP|766825166052409918</stp>
        <tr r="AC49" s="1"/>
      </tp>
      <tp t="s">
        <v>#N/A N/A</v>
        <stp/>
        <stp>BDP|125132851901645042</stp>
        <tr r="AA183" s="1"/>
      </tp>
      <tp t="s">
        <v>#N/A N/A</v>
        <stp/>
        <stp>BDP|746132559990829140</stp>
        <tr r="X279" s="1"/>
      </tp>
      <tp t="s">
        <v>#N/A N/A</v>
        <stp/>
        <stp>BDP|170714234191531005</stp>
        <tr r="AB148" s="1"/>
      </tp>
      <tp t="s">
        <v>#N/A N/A</v>
        <stp/>
        <stp>BDP|683923118849159577</stp>
        <tr r="AA173" s="1"/>
      </tp>
      <tp t="s">
        <v>#N/A N/A</v>
        <stp/>
        <stp>BDP|445436704540194071</stp>
        <tr r="AA206" s="1"/>
      </tp>
      <tp t="s">
        <v>#N/A N/A</v>
        <stp/>
        <stp>BDP|318063645548176860</stp>
        <tr r="AB236" s="1"/>
      </tp>
      <tp t="s">
        <v>#N/A N/A</v>
        <stp/>
        <stp>BDP|661405040962625633</stp>
        <tr r="X112" s="1"/>
      </tp>
      <tp t="s">
        <v>#N/A N/A</v>
        <stp/>
        <stp>BDP|861378744531584121</stp>
        <tr r="AA42" s="1"/>
      </tp>
      <tp t="s">
        <v>#N/A N/A</v>
        <stp/>
        <stp>BDP|979132412771571631</stp>
        <tr r="X102" s="1"/>
      </tp>
      <tp t="s">
        <v>#N/A N/A</v>
        <stp/>
        <stp>BDP|103140565743613395</stp>
        <tr r="X152" s="1"/>
      </tp>
      <tp t="s">
        <v>#N/A N/A</v>
        <stp/>
        <stp>BDP|545406529575173425</stp>
        <tr r="Y213" s="1"/>
      </tp>
      <tp t="s">
        <v>#N/A N/A</v>
        <stp/>
        <stp>BDP|988722858131370482</stp>
        <tr r="AB216" s="1"/>
      </tp>
      <tp t="s">
        <v>#N/A N/A</v>
        <stp/>
        <stp>BDP|423571654490456787</stp>
        <tr r="AC7" s="1"/>
      </tp>
      <tp t="s">
        <v>#N/A N/A</v>
        <stp/>
        <stp>BDP|907622222194452793</stp>
        <tr r="AB102" s="1"/>
      </tp>
      <tp t="s">
        <v>#N/A N/A</v>
        <stp/>
        <stp>BDP|690360115757380231</stp>
        <tr r="AA15" s="1"/>
      </tp>
      <tp t="s">
        <v>#N/A N/A</v>
        <stp/>
        <stp>BDP|189015369301163098</stp>
        <tr r="AA64" s="1"/>
      </tp>
      <tp t="s">
        <v>#N/A N/A</v>
        <stp/>
        <stp>BDP|307956506929638748</stp>
        <tr r="Y103" s="1"/>
      </tp>
      <tp t="s">
        <v>#N/A N/A</v>
        <stp/>
        <stp>BDP|870430615605001633</stp>
        <tr r="AC245" s="1"/>
      </tp>
      <tp t="s">
        <v>#N/A N/A</v>
        <stp/>
        <stp>BDP|530336850204958497</stp>
        <tr r="X339" s="1"/>
      </tp>
      <tp t="s">
        <v>#N/A N/A</v>
        <stp/>
        <stp>BDP|499134496498406627</stp>
        <tr r="AB38" s="1"/>
      </tp>
      <tp t="s">
        <v>#N/A N/A</v>
        <stp/>
        <stp>BDP|490109136244295077</stp>
        <tr r="AB59" s="1"/>
      </tp>
      <tp t="s">
        <v>#N/A N/A</v>
        <stp/>
        <stp>BDP|778588050651666795</stp>
        <tr r="AA282" s="1"/>
      </tp>
      <tp t="s">
        <v>#N/A N/A</v>
        <stp/>
        <stp>BDP|138535552447335131</stp>
        <tr r="AC263" s="1"/>
      </tp>
      <tp t="s">
        <v>#N/A N/A</v>
        <stp/>
        <stp>BDP|359743146225027029</stp>
        <tr r="AC192" s="1"/>
      </tp>
      <tp t="s">
        <v>#N/A N/A</v>
        <stp/>
        <stp>BDP|863927765646300828</stp>
        <tr r="AB126" s="1"/>
      </tp>
      <tp t="s">
        <v>#N/A N/A</v>
        <stp/>
        <stp>BDP|835601764236460779</stp>
        <tr r="AC133" s="1"/>
      </tp>
      <tp t="s">
        <v>#N/A N/A</v>
        <stp/>
        <stp>BDP|324469563822432181</stp>
        <tr r="X12" s="1"/>
      </tp>
      <tp t="s">
        <v>#N/A N/A</v>
        <stp/>
        <stp>BDP|841714772878391924</stp>
        <tr r="AB259" s="1"/>
      </tp>
      <tp t="s">
        <v>#N/A N/A</v>
        <stp/>
        <stp>BDP|699945221292339815</stp>
        <tr r="AC219" s="1"/>
      </tp>
      <tp t="s">
        <v>#N/A N/A</v>
        <stp/>
        <stp>BDP|828608241364006675</stp>
        <tr r="AC201" s="1"/>
      </tp>
      <tp t="s">
        <v>#N/A N/A</v>
        <stp/>
        <stp>BDP|279017623503605175</stp>
        <tr r="AA202" s="1"/>
      </tp>
      <tp t="s">
        <v>#N/A N/A</v>
        <stp/>
        <stp>BDP|685339905900300308</stp>
        <tr r="Y67" s="1"/>
      </tp>
      <tp t="s">
        <v>#N/A N/A</v>
        <stp/>
        <stp>BDP|613834360474107993</stp>
        <tr r="AA24" s="1"/>
      </tp>
      <tp t="s">
        <v>#N/A N/A</v>
        <stp/>
        <stp>BDP|463907729398294047</stp>
        <tr r="Y228" s="1"/>
      </tp>
      <tp t="s">
        <v>#N/A N/A</v>
        <stp/>
        <stp>BDP|403995118408506353</stp>
        <tr r="AA86" s="1"/>
      </tp>
      <tp t="s">
        <v>#N/A N/A</v>
        <stp/>
        <stp>BDP|210700389935916979</stp>
        <tr r="Y231" s="1"/>
      </tp>
      <tp t="s">
        <v>#N/A N/A</v>
        <stp/>
        <stp>BDP|656522304835367333</stp>
        <tr r="X109" s="1"/>
      </tp>
      <tp t="s">
        <v>#N/A N/A</v>
        <stp/>
        <stp>BDP|655073339662178292</stp>
        <tr r="AA314" s="1"/>
      </tp>
      <tp t="s">
        <v>#N/A N/A</v>
        <stp/>
        <stp>BDP|156725921634999293</stp>
        <tr r="X85" s="1"/>
      </tp>
      <tp t="s">
        <v>#N/A N/A</v>
        <stp/>
        <stp>BDP|976060796643704830</stp>
        <tr r="AC195" s="1"/>
      </tp>
      <tp t="s">
        <v>#N/A N/A</v>
        <stp/>
        <stp>BDP|292770461563327094</stp>
        <tr r="AB342" s="1"/>
      </tp>
      <tp t="s">
        <v>#N/A N/A</v>
        <stp/>
        <stp>BDP|768428999067049836</stp>
        <tr r="X48" s="1"/>
      </tp>
      <tp t="s">
        <v>#N/A N/A</v>
        <stp/>
        <stp>BDP|936849499213448093</stp>
        <tr r="AC268" s="1"/>
      </tp>
      <tp t="s">
        <v>#N/A N/A</v>
        <stp/>
        <stp>BDP|136517267753632269</stp>
        <tr r="AC127" s="1"/>
      </tp>
      <tp t="s">
        <v>#N/A N/A</v>
        <stp/>
        <stp>BDP|695770693798778446</stp>
        <tr r="Y214" s="1"/>
      </tp>
      <tp t="s">
        <v>#N/A N/A</v>
        <stp/>
        <stp>BDP|795145370833108733</stp>
        <tr r="AB204" s="1"/>
      </tp>
      <tp t="s">
        <v>#N/A N/A</v>
        <stp/>
        <stp>BDP|553112122875618426</stp>
        <tr r="X53" s="1"/>
      </tp>
      <tp t="s">
        <v>#N/A N/A</v>
        <stp/>
        <stp>BDP|910851817496066273</stp>
        <tr r="Y325" s="1"/>
      </tp>
      <tp t="s">
        <v>#N/A N/A</v>
        <stp/>
        <stp>BDP|287573280131447177</stp>
        <tr r="AC92" s="1"/>
      </tp>
      <tp t="s">
        <v>#N/A N/A</v>
        <stp/>
        <stp>BDP|764934789024963869</stp>
        <tr r="AB293" s="1"/>
      </tp>
      <tp t="s">
        <v>#N/A N/A</v>
        <stp/>
        <stp>BDP|670468989424218586</stp>
        <tr r="AB284" s="1"/>
      </tp>
      <tp t="s">
        <v>#N/A N/A</v>
        <stp/>
        <stp>BDP|358150144789417097</stp>
        <tr r="AA248" s="1"/>
      </tp>
      <tp t="s">
        <v>#N/A N/A</v>
        <stp/>
        <stp>BDP|958926103566732374</stp>
        <tr r="AB337" s="1"/>
      </tp>
      <tp t="s">
        <v>#N/A N/A</v>
        <stp/>
        <stp>BDP|174575289737909620</stp>
        <tr r="AC181" s="1"/>
      </tp>
      <tp t="s">
        <v>#N/A N/A</v>
        <stp/>
        <stp>BDP|771909077786374454</stp>
        <tr r="AB194" s="1"/>
      </tp>
      <tp t="s">
        <v>#N/A N/A</v>
        <stp/>
        <stp>BDP|438299709989271773</stp>
        <tr r="AB26" s="1"/>
      </tp>
      <tp t="s">
        <v>#N/A N/A</v>
        <stp/>
        <stp>BDP|784854936445353256</stp>
        <tr r="Y340" s="1"/>
      </tp>
      <tp t="s">
        <v>#N/A N/A</v>
        <stp/>
        <stp>BDP|894392230137951860</stp>
        <tr r="AA184" s="1"/>
      </tp>
      <tp t="s">
        <v>#N/A N/A</v>
        <stp/>
        <stp>BDP|316970350905803688</stp>
        <tr r="AB325" s="1"/>
      </tp>
      <tp t="s">
        <v>#N/A N/A</v>
        <stp/>
        <stp>BDP|174216756349627145</stp>
        <tr r="AC281" s="1"/>
      </tp>
      <tp t="s">
        <v>#N/A N/A</v>
        <stp/>
        <stp>BDP|919427933171672996</stp>
        <tr r="X214" s="1"/>
      </tp>
      <tp t="s">
        <v>#N/A N/A</v>
        <stp/>
        <stp>BDP|381341560113699936</stp>
        <tr r="Y261" s="1"/>
      </tp>
      <tp t="s">
        <v>#N/A N/A</v>
        <stp/>
        <stp>BDP|901855968931221192</stp>
        <tr r="AA108" s="1"/>
      </tp>
      <tp t="s">
        <v>#N/A N/A</v>
        <stp/>
        <stp>BDP|525906974559933939</stp>
        <tr r="X241" s="1"/>
      </tp>
      <tp t="s">
        <v>#N/A N/A</v>
        <stp/>
        <stp>BDP|870142306276975960</stp>
        <tr r="Y267" s="1"/>
      </tp>
      <tp t="s">
        <v>#N/A N/A</v>
        <stp/>
        <stp>BDP|200661590242122306</stp>
        <tr r="AA147" s="1"/>
      </tp>
      <tp t="s">
        <v>#N/A N/A</v>
        <stp/>
        <stp>BDP|105652292682495357</stp>
        <tr r="AA126" s="1"/>
      </tp>
      <tp t="s">
        <v>#N/A N/A</v>
        <stp/>
        <stp>BDP|264845885588775634</stp>
        <tr r="AA335" s="1"/>
      </tp>
      <tp t="s">
        <v>#N/A N/A</v>
        <stp/>
        <stp>BDP|563333971553353948</stp>
        <tr r="Y90" s="1"/>
      </tp>
      <tp t="s">
        <v>#N/A N/A</v>
        <stp/>
        <stp>BDP|722716354194147832</stp>
        <tr r="Y260" s="1"/>
      </tp>
      <tp t="s">
        <v>#N/A N/A</v>
        <stp/>
        <stp>BDP|682944004930273757</stp>
        <tr r="Y125" s="1"/>
      </tp>
      <tp t="s">
        <v>#N/A N/A</v>
        <stp/>
        <stp>BDP|649567052126768878</stp>
        <tr r="Y202" s="1"/>
      </tp>
      <tp t="s">
        <v>#N/A N/A</v>
        <stp/>
        <stp>BDP|997613565389021004</stp>
        <tr r="AC155" s="1"/>
      </tp>
      <tp t="s">
        <v>#N/A N/A</v>
        <stp/>
        <stp>BDP|627324774349973474</stp>
        <tr r="AA172" s="1"/>
      </tp>
      <tp t="s">
        <v>#N/A N/A</v>
        <stp/>
        <stp>BDP|760150192580657138</stp>
        <tr r="AB180" s="1"/>
      </tp>
      <tp t="s">
        <v>#N/A N/A</v>
        <stp/>
        <stp>BDP|548555421068159656</stp>
        <tr r="AB270" s="1"/>
      </tp>
      <tp t="s">
        <v>#N/A N/A</v>
        <stp/>
        <stp>BDP|916595685401555579</stp>
        <tr r="Y97" s="1"/>
      </tp>
      <tp t="s">
        <v>#N/A N/A</v>
        <stp/>
        <stp>BDP|303140521852417800</stp>
        <tr r="AB16" s="1"/>
      </tp>
      <tp t="s">
        <v>#N/A N/A</v>
        <stp/>
        <stp>BDP|870789952618014306</stp>
        <tr r="AC65" s="1"/>
      </tp>
      <tp t="s">
        <v>#N/A N/A</v>
        <stp/>
        <stp>BDP|726363632189621198</stp>
        <tr r="AB263" s="1"/>
      </tp>
      <tp t="s">
        <v>#N/A N/A</v>
        <stp/>
        <stp>BDP|103802468933566532</stp>
        <tr r="X183" s="1"/>
      </tp>
      <tp t="s">
        <v>#N/A N/A</v>
        <stp/>
        <stp>BDP|678865963454871241</stp>
        <tr r="X170" s="1"/>
      </tp>
      <tp t="s">
        <v>#N/A N/A</v>
        <stp/>
        <stp>BDP|405143329642114927</stp>
        <tr r="AB118" s="1"/>
      </tp>
      <tp t="s">
        <v>#N/A N/A</v>
        <stp/>
        <stp>BDP|326058982282418254</stp>
        <tr r="X184" s="1"/>
      </tp>
      <tp t="s">
        <v>#N/A N/A</v>
        <stp/>
        <stp>BDP|505655355218276316</stp>
        <tr r="AB61" s="1"/>
      </tp>
      <tp t="s">
        <v>#N/A N/A</v>
        <stp/>
        <stp>BDP|249815423756532472</stp>
        <tr r="AC61" s="1"/>
      </tp>
      <tp t="s">
        <v>#N/A N/A</v>
        <stp/>
        <stp>BDP|443711934108216411</stp>
        <tr r="AA139" s="1"/>
      </tp>
      <tp t="s">
        <v>#N/A N/A</v>
        <stp/>
        <stp>BDP|301847395009475333</stp>
        <tr r="AA223" s="1"/>
      </tp>
      <tp t="s">
        <v>#N/A N/A</v>
        <stp/>
        <stp>BDP|316253201481291841</stp>
        <tr r="Y49" s="1"/>
      </tp>
      <tp t="s">
        <v>#N/A N/A</v>
        <stp/>
        <stp>BDP|566931642157930077</stp>
        <tr r="Y72" s="1"/>
      </tp>
      <tp t="s">
        <v>#N/A N/A</v>
        <stp/>
        <stp>BDP|728255321022866805</stp>
        <tr r="Y107" s="1"/>
      </tp>
      <tp t="s">
        <v>#N/A N/A</v>
        <stp/>
        <stp>BDP|718641804244296837</stp>
        <tr r="AB170" s="1"/>
      </tp>
      <tp t="s">
        <v>#N/A N/A</v>
        <stp/>
        <stp>BDP|962212665257993947</stp>
        <tr r="AC60" s="1"/>
      </tp>
      <tp t="s">
        <v>#N/A N/A</v>
        <stp/>
        <stp>BDP|339882648304213217</stp>
        <tr r="X325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isSummary" displayName="BasisSummary" ref="A4:AH346">
  <autoFilter ref="A4:AH346" xr:uid="{00000000-0009-0000-0100-000001000000}"/>
  <tableColumns count="34">
    <tableColumn id="1" xr3:uid="{00000000-0010-0000-0000-000001000000}" name="CDS_Ticker"/>
    <tableColumn id="2" xr3:uid="{00000000-0010-0000-0000-000002000000}" name="CDS_Index"/>
    <tableColumn id="3" xr3:uid="{00000000-0010-0000-0000-000003000000}" name="bond_name"/>
    <tableColumn id="4" xr3:uid="{00000000-0010-0000-0000-000004000000}" name="bbg_cds_ticker"/>
    <tableColumn id="5" xr3:uid="{00000000-0010-0000-0000-000005000000}" name="bond_ISIN"/>
    <tableColumn id="6" xr3:uid="{00000000-0010-0000-0000-000006000000}" name="date_start"/>
    <tableColumn id="7" xr3:uid="{00000000-0010-0000-0000-000007000000}" name="date_end"/>
    <tableColumn id="8" xr3:uid="{00000000-0010-0000-0000-000008000000}" name="cds_mat"/>
    <tableColumn id="9" xr3:uid="{00000000-0010-0000-0000-000009000000}" name="latest_CDS"/>
    <tableColumn id="10" xr3:uid="{00000000-0010-0000-0000-00000A000000}" name="latest_5y"/>
    <tableColumn id="11" xr3:uid="{00000000-0010-0000-0000-00000B000000}" name="latest_bond_g"/>
    <tableColumn id="12" xr3:uid="{00000000-0010-0000-0000-00000C000000}" name="latest_benchmark"/>
    <tableColumn id="13" xr3:uid="{00000000-0010-0000-0000-00000D000000}" name="obs"/>
    <tableColumn id="14" xr3:uid="{00000000-0010-0000-0000-00000E000000}" name="basis"/>
    <tableColumn id="15" xr3:uid="{00000000-0010-0000-0000-00000F000000}" name="min"/>
    <tableColumn id="16" xr3:uid="{00000000-0010-0000-0000-000010000000}" name="max"/>
    <tableColumn id="17" xr3:uid="{00000000-0010-0000-0000-000011000000}" name="avg"/>
    <tableColumn id="18" xr3:uid="{00000000-0010-0000-0000-000012000000}" name="range_pct"/>
    <tableColumn id="19" xr3:uid="{00000000-0010-0000-0000-000013000000}" name="basis_5y"/>
    <tableColumn id="20" xr3:uid="{00000000-0010-0000-0000-000014000000}" name="min_5y"/>
    <tableColumn id="21" xr3:uid="{00000000-0010-0000-0000-000015000000}" name="max_5y"/>
    <tableColumn id="22" xr3:uid="{00000000-0010-0000-0000-000016000000}" name="avg_5y"/>
    <tableColumn id="23" xr3:uid="{00000000-0010-0000-0000-000017000000}" name="range_5y_pct"/>
    <tableColumn id="24" xr3:uid="{00000000-0010-0000-0000-000018000000}" name="bond_live"/>
    <tableColumn id="25" xr3:uid="{00000000-0010-0000-0000-000019000000}" name="bond_bench"/>
    <tableColumn id="26" xr3:uid="{00000000-0010-0000-0000-00001A000000}" name="bench_price"/>
    <tableColumn id="27" xr3:uid="{00000000-0010-0000-0000-00001B000000}" name="spread_live"/>
    <tableColumn id="28" xr3:uid="{00000000-0010-0000-0000-00001C000000}" name="g_live"/>
    <tableColumn id="29" xr3:uid="{00000000-0010-0000-0000-00001D000000}" name="live_cds_5y"/>
    <tableColumn id="30" xr3:uid="{00000000-0010-0000-0000-00001E000000}" name="cds_override"/>
    <tableColumn id="31" xr3:uid="{00000000-0010-0000-0000-00001F000000}" name="cds_5y"/>
    <tableColumn id="32" xr3:uid="{00000000-0010-0000-0000-000020000000}" name="live_basis"/>
    <tableColumn id="33" xr3:uid="{00000000-0010-0000-0000-000021000000}" name="live_range_pct"/>
    <tableColumn id="34" xr3:uid="{00000000-0010-0000-0000-000022000000}" name="dev_mean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H346"/>
  <sheetViews>
    <sheetView tabSelected="1" workbookViewId="0">
      <pane xSplit="3" ySplit="4" topLeftCell="D5" activePane="bottomRight" state="frozen"/>
      <selection pane="topRight"/>
      <selection pane="bottomLeft"/>
      <selection pane="bottomRight"/>
    </sheetView>
  </sheetViews>
  <sheetFormatPr defaultRowHeight="14.25" outlineLevelCol="1" x14ac:dyDescent="0.45"/>
  <cols>
    <col min="1" max="1" width="12" customWidth="1"/>
    <col min="2" max="2" width="10" customWidth="1"/>
    <col min="3" max="3" width="28" customWidth="1"/>
    <col min="4" max="4" width="26" hidden="1" customWidth="1" outlineLevel="1"/>
    <col min="5" max="5" width="16" hidden="1" customWidth="1" outlineLevel="1"/>
    <col min="6" max="8" width="12" hidden="1" customWidth="1" outlineLevel="1"/>
    <col min="9" max="9" width="14" hidden="1" customWidth="1" outlineLevel="1"/>
    <col min="10" max="10" width="12" hidden="1" customWidth="1" outlineLevel="1"/>
    <col min="11" max="11" width="14" hidden="1" customWidth="1" outlineLevel="1"/>
    <col min="12" max="12" width="16" hidden="1" customWidth="1" outlineLevel="1"/>
    <col min="13" max="13" width="8" customWidth="1" collapsed="1"/>
    <col min="14" max="24" width="8" customWidth="1"/>
    <col min="25" max="25" width="22" hidden="1" customWidth="1" outlineLevel="1"/>
    <col min="26" max="26" width="14" hidden="1" customWidth="1" outlineLevel="1"/>
    <col min="27" max="27" width="8" customWidth="1" collapsed="1"/>
    <col min="28" max="34" width="8" customWidth="1"/>
  </cols>
  <sheetData>
    <row r="2" spans="1:34" x14ac:dyDescent="0.45">
      <c r="AF2" s="1" t="e">
        <f>AVERAGE(AF5:AF346)</f>
        <v>#DIV/0!</v>
      </c>
    </row>
    <row r="3" spans="1:34" x14ac:dyDescent="0.45">
      <c r="A3" s="39" t="s">
        <v>0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37" t="s">
        <v>1</v>
      </c>
      <c r="O3" s="38"/>
      <c r="P3" s="38"/>
      <c r="Q3" s="38"/>
      <c r="R3" s="38"/>
      <c r="S3" s="41" t="s">
        <v>2</v>
      </c>
      <c r="T3" s="38"/>
      <c r="U3" s="38"/>
      <c r="V3" s="38"/>
      <c r="W3" s="42"/>
      <c r="X3" s="39" t="s">
        <v>3</v>
      </c>
      <c r="Y3" s="40"/>
      <c r="Z3" s="40"/>
      <c r="AA3" s="40"/>
      <c r="AB3" s="40"/>
      <c r="AC3" s="40"/>
      <c r="AD3" s="40"/>
      <c r="AE3" s="40"/>
      <c r="AF3" s="40"/>
      <c r="AG3" s="40"/>
      <c r="AH3" s="40"/>
    </row>
    <row r="4" spans="1:34" x14ac:dyDescent="0.45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  <c r="F4" s="2" t="s">
        <v>9</v>
      </c>
      <c r="G4" s="2" t="s">
        <v>10</v>
      </c>
      <c r="H4" s="2" t="s">
        <v>11</v>
      </c>
      <c r="I4" s="2" t="s">
        <v>12</v>
      </c>
      <c r="J4" s="2" t="s">
        <v>13</v>
      </c>
      <c r="K4" s="2" t="s">
        <v>14</v>
      </c>
      <c r="L4" s="2" t="s">
        <v>15</v>
      </c>
      <c r="M4" s="2" t="s">
        <v>16</v>
      </c>
      <c r="N4" s="3" t="s">
        <v>17</v>
      </c>
      <c r="O4" s="4" t="s">
        <v>18</v>
      </c>
      <c r="P4" s="4" t="s">
        <v>19</v>
      </c>
      <c r="Q4" s="4" t="s">
        <v>20</v>
      </c>
      <c r="R4" s="4" t="s">
        <v>21</v>
      </c>
      <c r="S4" s="4" t="s">
        <v>22</v>
      </c>
      <c r="T4" s="4" t="s">
        <v>23</v>
      </c>
      <c r="U4" s="4" t="s">
        <v>24</v>
      </c>
      <c r="V4" s="4" t="s">
        <v>25</v>
      </c>
      <c r="W4" s="5" t="s">
        <v>26</v>
      </c>
      <c r="X4" s="6" t="s">
        <v>27</v>
      </c>
      <c r="Y4" s="2" t="s">
        <v>28</v>
      </c>
      <c r="Z4" s="2" t="s">
        <v>29</v>
      </c>
      <c r="AA4" s="2" t="s">
        <v>30</v>
      </c>
      <c r="AB4" s="2" t="s">
        <v>31</v>
      </c>
      <c r="AC4" s="2" t="s">
        <v>32</v>
      </c>
      <c r="AD4" s="2" t="s">
        <v>33</v>
      </c>
      <c r="AE4" s="2" t="s">
        <v>34</v>
      </c>
      <c r="AF4" s="2" t="s">
        <v>35</v>
      </c>
      <c r="AG4" s="2" t="s">
        <v>36</v>
      </c>
      <c r="AH4" s="2" t="s">
        <v>37</v>
      </c>
    </row>
    <row r="5" spans="1:34" x14ac:dyDescent="0.45">
      <c r="A5" s="7" t="s">
        <v>38</v>
      </c>
      <c r="B5" s="8" t="s">
        <v>39</v>
      </c>
      <c r="C5" s="7" t="s">
        <v>40</v>
      </c>
      <c r="D5" s="8" t="s">
        <v>41</v>
      </c>
      <c r="E5" s="8" t="s">
        <v>42</v>
      </c>
      <c r="F5" s="9">
        <v>46129</v>
      </c>
      <c r="G5" s="9">
        <v>46226</v>
      </c>
      <c r="H5" s="9">
        <v>48385</v>
      </c>
      <c r="I5" s="10">
        <v>64.148399353027344</v>
      </c>
      <c r="J5" s="10">
        <v>55.957698822021477</v>
      </c>
      <c r="K5" s="10">
        <v>74.144000000000005</v>
      </c>
      <c r="L5" s="10">
        <v>75.328999999999994</v>
      </c>
      <c r="M5" s="11">
        <v>67</v>
      </c>
      <c r="N5" s="12">
        <v>-9.9956006469726617</v>
      </c>
      <c r="O5" s="13">
        <v>-13.040101715087889</v>
      </c>
      <c r="P5" s="13">
        <v>0.33619964599609631</v>
      </c>
      <c r="Q5" s="13">
        <v>-6.0705270513278329</v>
      </c>
      <c r="R5" s="14">
        <v>22.760410265371782</v>
      </c>
      <c r="S5" s="13">
        <v>-18.186301177978521</v>
      </c>
      <c r="T5" s="13">
        <v>-21.130998321533198</v>
      </c>
      <c r="U5" s="13">
        <v>-7.9093981933593724</v>
      </c>
      <c r="V5" s="13">
        <v>-14.24096117754125</v>
      </c>
      <c r="W5" s="15">
        <v>22.271866604707249</v>
      </c>
      <c r="X5" s="16" t="str">
        <f>IFERROR(_xll.BDP(E5&amp;" Corp","LAST_PRICE"),"--")</f>
        <v>#N/A Requesting Data...</v>
      </c>
      <c r="Y5" s="17" t="str">
        <f>IFERROR(_xll.BDP(E5&amp;" Corp","YAS_BENCHMARK_BOND_ISIN"),"--")</f>
        <v>#N/A Requesting Data...</v>
      </c>
      <c r="Z5" s="18" t="str">
        <f>IFERROR(_xll.BDP(Y5&amp;" CORP","LAST_PRICE"),"--")</f>
        <v>#N/A Requesting Data... CORP</v>
      </c>
      <c r="AA5" s="19" t="str">
        <f>IFERROR(_xll.BDP(E5&amp;" Corp","YAS_YLD_SPREAD","YAS_BOND_PX="&amp;X5,"YAS_BNCHMRK_BOND_PX="&amp;Z5),"--")</f>
        <v>#N/A Requesting Data...</v>
      </c>
      <c r="AB5" s="19" t="str">
        <f>IFERROR(_xll.BDP(E5&amp;" Corp","BLOOMBERG_MID_G_SPREAD","YAS_BOND_PX="&amp;X5,"YAS_BNCHMRK_BOND_PX="&amp;Z5),"--")</f>
        <v>#N/A Requesting Data...</v>
      </c>
      <c r="AC5" s="19" t="str">
        <f>IFERROR(_xll.BDP(D5,"LAST_PRICE"),"--")</f>
        <v>#N/A Requesting Data...</v>
      </c>
      <c r="AD5" s="20"/>
      <c r="AE5" s="19" t="str">
        <f t="shared" ref="AE5:AE68" si="0">IFERROR(IF(ISBLANK(AD5),AC5,AD5),"--")</f>
        <v>#N/A Requesting Data...</v>
      </c>
      <c r="AF5" s="19" t="str">
        <f t="shared" ref="AF5:AF68" si="1">IFERROR(MAX(-500,MIN(500,AE5-AB5)),"--")</f>
        <v>--</v>
      </c>
      <c r="AG5" s="21" t="str">
        <f t="shared" ref="AG5:AG68" si="2">IFERROR((AF5-T5)/(U5-T5)*100,"--")</f>
        <v>--</v>
      </c>
      <c r="AH5" s="19" t="str">
        <f t="shared" ref="AH5:AH68" si="3">IFERROR(AF5-V5,"--")</f>
        <v>--</v>
      </c>
    </row>
    <row r="6" spans="1:34" x14ac:dyDescent="0.45">
      <c r="A6" s="22" t="s">
        <v>43</v>
      </c>
      <c r="B6" s="23" t="s">
        <v>39</v>
      </c>
      <c r="C6" s="22" t="s">
        <v>44</v>
      </c>
      <c r="D6" s="23" t="s">
        <v>45</v>
      </c>
      <c r="E6" s="23" t="s">
        <v>46</v>
      </c>
      <c r="F6" s="24">
        <v>46185</v>
      </c>
      <c r="G6" s="24">
        <v>46226</v>
      </c>
      <c r="H6" s="24">
        <v>48385</v>
      </c>
      <c r="I6" s="25">
        <v>62.423801422119141</v>
      </c>
      <c r="J6" s="25">
        <v>53.458599090576172</v>
      </c>
      <c r="K6" s="25">
        <v>71.075999999999993</v>
      </c>
      <c r="L6" s="25">
        <v>70.912000000000006</v>
      </c>
      <c r="M6" s="26">
        <v>28</v>
      </c>
      <c r="N6" s="27">
        <v>-8.6521985778808528</v>
      </c>
      <c r="O6" s="28">
        <v>-9.0266001586914086</v>
      </c>
      <c r="P6" s="28">
        <v>-2.267899993896485</v>
      </c>
      <c r="Q6" s="28">
        <v>-5.2954926790509917</v>
      </c>
      <c r="R6" s="29">
        <v>5.5395500862837306</v>
      </c>
      <c r="S6" s="28">
        <v>-17.617400909423822</v>
      </c>
      <c r="T6" s="28">
        <v>-18.137898864746091</v>
      </c>
      <c r="U6" s="28">
        <v>-10.80100012207031</v>
      </c>
      <c r="V6" s="28">
        <v>-14.248517815726141</v>
      </c>
      <c r="W6" s="30">
        <v>7.0942502217557326</v>
      </c>
      <c r="X6" s="16" t="str">
        <f>IFERROR(_xll.BDP(E6&amp;" Corp","LAST_PRICE"),"--")</f>
        <v>#N/A Requesting Data...</v>
      </c>
      <c r="Y6" s="17" t="str">
        <f>IFERROR(_xll.BDP(E6&amp;" Corp","YAS_BENCHMARK_BOND_ISIN"),"--")</f>
        <v>#N/A Requesting Data...</v>
      </c>
      <c r="Z6" s="18" t="str">
        <f>IFERROR(_xll.BDP(Y6&amp;" CORP","LAST_PRICE"),"--")</f>
        <v>#N/A Requesting Data... CORP</v>
      </c>
      <c r="AA6" s="19" t="str">
        <f>IFERROR(_xll.BDP(E6&amp;" Corp","YAS_YLD_SPREAD","YAS_BOND_PX="&amp;X6,"YAS_BNCHMRK_BOND_PX="&amp;Z6),"--")</f>
        <v>#N/A Requesting Data...</v>
      </c>
      <c r="AB6" s="19" t="str">
        <f>IFERROR(_xll.BDP(E6&amp;" Corp","BLOOMBERG_MID_G_SPREAD","YAS_BOND_PX="&amp;X6,"YAS_BNCHMRK_BOND_PX="&amp;Z6),"--")</f>
        <v>#N/A Requesting Data...</v>
      </c>
      <c r="AC6" s="19" t="str">
        <f>IFERROR(_xll.BDP(D6,"LAST_PRICE"),"--")</f>
        <v>#N/A Requesting Data...</v>
      </c>
      <c r="AD6" s="20"/>
      <c r="AE6" s="19" t="str">
        <f t="shared" si="0"/>
        <v>#N/A Requesting Data...</v>
      </c>
      <c r="AF6" s="19" t="str">
        <f t="shared" si="1"/>
        <v>--</v>
      </c>
      <c r="AG6" s="21" t="str">
        <f t="shared" si="2"/>
        <v>--</v>
      </c>
      <c r="AH6" s="19" t="str">
        <f t="shared" si="3"/>
        <v>--</v>
      </c>
    </row>
    <row r="7" spans="1:34" x14ac:dyDescent="0.45">
      <c r="A7" s="7" t="s">
        <v>47</v>
      </c>
      <c r="B7" s="8" t="s">
        <v>39</v>
      </c>
      <c r="C7" s="7" t="s">
        <v>48</v>
      </c>
      <c r="D7" s="8" t="s">
        <v>49</v>
      </c>
      <c r="E7" s="8" t="s">
        <v>50</v>
      </c>
      <c r="F7" s="9">
        <v>46170</v>
      </c>
      <c r="G7" s="9">
        <v>46226</v>
      </c>
      <c r="H7" s="9">
        <v>48385</v>
      </c>
      <c r="I7" s="10">
        <v>63.386100769042969</v>
      </c>
      <c r="J7" s="10">
        <v>55.764400482177727</v>
      </c>
      <c r="K7" s="10">
        <v>88.498999999999995</v>
      </c>
      <c r="L7" s="10">
        <v>89.483999999999995</v>
      </c>
      <c r="M7" s="11">
        <v>39</v>
      </c>
      <c r="N7" s="12">
        <v>-25.11289923095703</v>
      </c>
      <c r="O7" s="13">
        <v>-27.817300720214849</v>
      </c>
      <c r="P7" s="13">
        <v>-13.320198791503911</v>
      </c>
      <c r="Q7" s="13">
        <v>-18.297484562800481</v>
      </c>
      <c r="R7" s="14">
        <v>18.654773226791349</v>
      </c>
      <c r="S7" s="13">
        <v>-32.734599517822261</v>
      </c>
      <c r="T7" s="13">
        <v>-35.738801879882807</v>
      </c>
      <c r="U7" s="13">
        <v>-21.29300000000001</v>
      </c>
      <c r="V7" s="13">
        <v>-25.96805650133965</v>
      </c>
      <c r="W7" s="15">
        <v>20.79636967916748</v>
      </c>
      <c r="X7" s="16" t="str">
        <f>IFERROR(_xll.BDP(E7&amp;" Corp","LAST_PRICE"),"--")</f>
        <v>#N/A Requesting Data...</v>
      </c>
      <c r="Y7" s="17" t="str">
        <f>IFERROR(_xll.BDP(E7&amp;" Corp","YAS_BENCHMARK_BOND_ISIN"),"--")</f>
        <v>#N/A Requesting Data...</v>
      </c>
      <c r="Z7" s="18" t="str">
        <f>IFERROR(_xll.BDP(Y7&amp;" CORP","LAST_PRICE"),"--")</f>
        <v>#N/A Requesting Data... CORP</v>
      </c>
      <c r="AA7" s="19" t="str">
        <f>IFERROR(_xll.BDP(E7&amp;" Corp","YAS_YLD_SPREAD","YAS_BOND_PX="&amp;X7,"YAS_BNCHMRK_BOND_PX="&amp;Z7),"--")</f>
        <v>#N/A Requesting Data...</v>
      </c>
      <c r="AB7" s="19" t="str">
        <f>IFERROR(_xll.BDP(E7&amp;" Corp","BLOOMBERG_MID_G_SPREAD","YAS_BOND_PX="&amp;X7,"YAS_BNCHMRK_BOND_PX="&amp;Z7),"--")</f>
        <v>#N/A Requesting Data...</v>
      </c>
      <c r="AC7" s="19" t="str">
        <f>IFERROR(_xll.BDP(D7,"LAST_PRICE"),"--")</f>
        <v>#N/A Requesting Data...</v>
      </c>
      <c r="AD7" s="20"/>
      <c r="AE7" s="19" t="str">
        <f t="shared" si="0"/>
        <v>#N/A Requesting Data...</v>
      </c>
      <c r="AF7" s="19" t="str">
        <f t="shared" si="1"/>
        <v>--</v>
      </c>
      <c r="AG7" s="21" t="str">
        <f t="shared" si="2"/>
        <v>--</v>
      </c>
      <c r="AH7" s="19" t="str">
        <f t="shared" si="3"/>
        <v>--</v>
      </c>
    </row>
    <row r="8" spans="1:34" x14ac:dyDescent="0.45">
      <c r="A8" s="22" t="s">
        <v>51</v>
      </c>
      <c r="B8" s="23" t="s">
        <v>39</v>
      </c>
      <c r="C8" s="22" t="s">
        <v>52</v>
      </c>
      <c r="D8" s="23" t="s">
        <v>53</v>
      </c>
      <c r="E8" s="23" t="s">
        <v>54</v>
      </c>
      <c r="F8" s="24">
        <v>46128</v>
      </c>
      <c r="G8" s="24">
        <v>46226</v>
      </c>
      <c r="H8" s="24">
        <v>48385</v>
      </c>
      <c r="I8" s="25">
        <v>48.351200103759773</v>
      </c>
      <c r="J8" s="25">
        <v>41.085300445556641</v>
      </c>
      <c r="K8" s="25">
        <v>74.710999999999999</v>
      </c>
      <c r="L8" s="25">
        <v>74.962000000000003</v>
      </c>
      <c r="M8" s="26">
        <v>68</v>
      </c>
      <c r="N8" s="27">
        <v>-26.359799896240229</v>
      </c>
      <c r="O8" s="28">
        <v>-28.11549981689453</v>
      </c>
      <c r="P8" s="28">
        <v>-14.51359939575195</v>
      </c>
      <c r="Q8" s="28">
        <v>-20.67655875037698</v>
      </c>
      <c r="R8" s="29">
        <v>12.907754551160091</v>
      </c>
      <c r="S8" s="28">
        <v>-33.625699554443358</v>
      </c>
      <c r="T8" s="28">
        <v>-35.694699859619128</v>
      </c>
      <c r="U8" s="28">
        <v>-22.073101043701168</v>
      </c>
      <c r="V8" s="28">
        <v>-27.94224259769215</v>
      </c>
      <c r="W8" s="30">
        <v>15.18911497201033</v>
      </c>
      <c r="X8" s="16" t="str">
        <f>IFERROR(_xll.BDP(E8&amp;" Corp","LAST_PRICE"),"--")</f>
        <v>#N/A Requesting Data...</v>
      </c>
      <c r="Y8" s="17" t="str">
        <f>IFERROR(_xll.BDP(E8&amp;" Corp","YAS_BENCHMARK_BOND_ISIN"),"--")</f>
        <v>#N/A Requesting Data...</v>
      </c>
      <c r="Z8" s="18" t="str">
        <f>IFERROR(_xll.BDP(Y8&amp;" CORP","LAST_PRICE"),"--")</f>
        <v>#N/A Requesting Data... CORP</v>
      </c>
      <c r="AA8" s="19" t="str">
        <f>IFERROR(_xll.BDP(E8&amp;" Corp","YAS_YLD_SPREAD","YAS_BOND_PX="&amp;X8,"YAS_BNCHMRK_BOND_PX="&amp;Z8),"--")</f>
        <v>#N/A Requesting Data...</v>
      </c>
      <c r="AB8" s="19" t="str">
        <f>IFERROR(_xll.BDP(E8&amp;" Corp","BLOOMBERG_MID_G_SPREAD","YAS_BOND_PX="&amp;X8,"YAS_BNCHMRK_BOND_PX="&amp;Z8),"--")</f>
        <v>#N/A Requesting Data...</v>
      </c>
      <c r="AC8" s="19" t="str">
        <f>IFERROR(_xll.BDP(D8,"LAST_PRICE"),"--")</f>
        <v>#N/A Requesting Data...</v>
      </c>
      <c r="AD8" s="20"/>
      <c r="AE8" s="19" t="str">
        <f t="shared" si="0"/>
        <v>#N/A Requesting Data...</v>
      </c>
      <c r="AF8" s="19" t="str">
        <f t="shared" si="1"/>
        <v>--</v>
      </c>
      <c r="AG8" s="21" t="str">
        <f t="shared" si="2"/>
        <v>--</v>
      </c>
      <c r="AH8" s="19" t="str">
        <f t="shared" si="3"/>
        <v>--</v>
      </c>
    </row>
    <row r="9" spans="1:34" x14ac:dyDescent="0.45">
      <c r="A9" s="7" t="s">
        <v>55</v>
      </c>
      <c r="B9" s="8" t="s">
        <v>39</v>
      </c>
      <c r="C9" s="7" t="s">
        <v>56</v>
      </c>
      <c r="D9" s="8" t="s">
        <v>57</v>
      </c>
      <c r="E9" s="8" t="s">
        <v>58</v>
      </c>
      <c r="F9" s="9">
        <v>46128</v>
      </c>
      <c r="G9" s="9">
        <v>46226</v>
      </c>
      <c r="H9" s="9">
        <v>48385</v>
      </c>
      <c r="I9" s="10">
        <v>67.859001159667969</v>
      </c>
      <c r="J9" s="10">
        <v>58.413898468017578</v>
      </c>
      <c r="K9" s="10">
        <v>83.777000000000001</v>
      </c>
      <c r="L9" s="10">
        <v>85.113</v>
      </c>
      <c r="M9" s="11">
        <v>68</v>
      </c>
      <c r="N9" s="12">
        <v>-15.91799884033203</v>
      </c>
      <c r="O9" s="13">
        <v>-24.095296508789058</v>
      </c>
      <c r="P9" s="13">
        <v>-8.7681013793945368</v>
      </c>
      <c r="Q9" s="13">
        <v>-14.39200322947783</v>
      </c>
      <c r="R9" s="14">
        <v>53.35155975651795</v>
      </c>
      <c r="S9" s="13">
        <v>-25.363101531982419</v>
      </c>
      <c r="T9" s="13">
        <v>-33.115899688720702</v>
      </c>
      <c r="U9" s="13">
        <v>-17.910698577880861</v>
      </c>
      <c r="V9" s="13">
        <v>-23.537353068632239</v>
      </c>
      <c r="W9" s="15">
        <v>50.987804108761743</v>
      </c>
      <c r="X9" s="16" t="str">
        <f>IFERROR(_xll.BDP(E9&amp;" Corp","LAST_PRICE"),"--")</f>
        <v>#N/A Requesting Data...</v>
      </c>
      <c r="Y9" s="17" t="str">
        <f>IFERROR(_xll.BDP(E9&amp;" Corp","YAS_BENCHMARK_BOND_ISIN"),"--")</f>
        <v>#N/A Requesting Data...</v>
      </c>
      <c r="Z9" s="18" t="str">
        <f>IFERROR(_xll.BDP(Y9&amp;" CORP","LAST_PRICE"),"--")</f>
        <v>#N/A Requesting Data... CORP</v>
      </c>
      <c r="AA9" s="19" t="str">
        <f>IFERROR(_xll.BDP(E9&amp;" Corp","YAS_YLD_SPREAD","YAS_BOND_PX="&amp;X9,"YAS_BNCHMRK_BOND_PX="&amp;Z9),"--")</f>
        <v>#N/A Requesting Data...</v>
      </c>
      <c r="AB9" s="19" t="str">
        <f>IFERROR(_xll.BDP(E9&amp;" Corp","BLOOMBERG_MID_G_SPREAD","YAS_BOND_PX="&amp;X9,"YAS_BNCHMRK_BOND_PX="&amp;Z9),"--")</f>
        <v>#N/A Requesting Data...</v>
      </c>
      <c r="AC9" s="19" t="str">
        <f>IFERROR(_xll.BDP(D9,"LAST_PRICE"),"--")</f>
        <v>#N/A Requesting Data...</v>
      </c>
      <c r="AD9" s="20"/>
      <c r="AE9" s="19" t="str">
        <f t="shared" si="0"/>
        <v>#N/A Requesting Data...</v>
      </c>
      <c r="AF9" s="19" t="str">
        <f t="shared" si="1"/>
        <v>--</v>
      </c>
      <c r="AG9" s="21" t="str">
        <f t="shared" si="2"/>
        <v>--</v>
      </c>
      <c r="AH9" s="19" t="str">
        <f t="shared" si="3"/>
        <v>--</v>
      </c>
    </row>
    <row r="10" spans="1:34" x14ac:dyDescent="0.45">
      <c r="A10" s="22" t="s">
        <v>59</v>
      </c>
      <c r="B10" s="23" t="s">
        <v>39</v>
      </c>
      <c r="C10" s="22" t="s">
        <v>60</v>
      </c>
      <c r="D10" s="23" t="s">
        <v>61</v>
      </c>
      <c r="E10" s="23" t="s">
        <v>62</v>
      </c>
      <c r="F10" s="24">
        <v>46156</v>
      </c>
      <c r="G10" s="24">
        <v>46226</v>
      </c>
      <c r="H10" s="24">
        <v>48385</v>
      </c>
      <c r="I10" s="25">
        <v>58.014701843261719</v>
      </c>
      <c r="J10" s="25">
        <v>49.769298553466797</v>
      </c>
      <c r="K10" s="25">
        <v>75.137</v>
      </c>
      <c r="L10" s="25">
        <v>77.48</v>
      </c>
      <c r="M10" s="26">
        <v>48</v>
      </c>
      <c r="N10" s="27">
        <v>-17.122298156738282</v>
      </c>
      <c r="O10" s="28">
        <v>-20.57170169067383</v>
      </c>
      <c r="P10" s="28">
        <v>-10.42249969482423</v>
      </c>
      <c r="Q10" s="28">
        <v>-14.578304128011069</v>
      </c>
      <c r="R10" s="29">
        <v>33.98694336112478</v>
      </c>
      <c r="S10" s="28">
        <v>-25.3677014465332</v>
      </c>
      <c r="T10" s="28">
        <v>-28.58839868164063</v>
      </c>
      <c r="U10" s="28">
        <v>-18.567501678466801</v>
      </c>
      <c r="V10" s="28">
        <v>-22.668541904449469</v>
      </c>
      <c r="W10" s="30">
        <v>32.13980978037555</v>
      </c>
      <c r="X10" s="16" t="str">
        <f>IFERROR(_xll.BDP(E10&amp;" Corp","LAST_PRICE"),"--")</f>
        <v>#N/A Requesting Data...</v>
      </c>
      <c r="Y10" s="17" t="str">
        <f>IFERROR(_xll.BDP(E10&amp;" Corp","YAS_BENCHMARK_BOND_ISIN"),"--")</f>
        <v>#N/A Requesting Data...</v>
      </c>
      <c r="Z10" s="18" t="str">
        <f>IFERROR(_xll.BDP(Y10&amp;" CORP","LAST_PRICE"),"--")</f>
        <v>#N/A Requesting Data... CORP</v>
      </c>
      <c r="AA10" s="19" t="str">
        <f>IFERROR(_xll.BDP(E10&amp;" Corp","YAS_YLD_SPREAD","YAS_BOND_PX="&amp;X10,"YAS_BNCHMRK_BOND_PX="&amp;Z10),"--")</f>
        <v>#N/A Requesting Data...</v>
      </c>
      <c r="AB10" s="19" t="str">
        <f>IFERROR(_xll.BDP(E10&amp;" Corp","BLOOMBERG_MID_G_SPREAD","YAS_BOND_PX="&amp;X10,"YAS_BNCHMRK_BOND_PX="&amp;Z10),"--")</f>
        <v>#N/A Requesting Data...</v>
      </c>
      <c r="AC10" s="19" t="str">
        <f>IFERROR(_xll.BDP(D10,"LAST_PRICE"),"--")</f>
        <v>#N/A Requesting Data...</v>
      </c>
      <c r="AD10" s="20"/>
      <c r="AE10" s="19" t="str">
        <f t="shared" si="0"/>
        <v>#N/A Requesting Data...</v>
      </c>
      <c r="AF10" s="19" t="str">
        <f t="shared" si="1"/>
        <v>--</v>
      </c>
      <c r="AG10" s="21" t="str">
        <f t="shared" si="2"/>
        <v>--</v>
      </c>
      <c r="AH10" s="19" t="str">
        <f t="shared" si="3"/>
        <v>--</v>
      </c>
    </row>
    <row r="11" spans="1:34" x14ac:dyDescent="0.45">
      <c r="A11" s="7" t="s">
        <v>63</v>
      </c>
      <c r="B11" s="8" t="s">
        <v>64</v>
      </c>
      <c r="C11" s="7" t="s">
        <v>65</v>
      </c>
      <c r="D11" s="8" t="s">
        <v>66</v>
      </c>
      <c r="E11" s="8" t="s">
        <v>67</v>
      </c>
      <c r="F11" s="9">
        <v>46121</v>
      </c>
      <c r="G11" s="9">
        <v>46226</v>
      </c>
      <c r="H11" s="9">
        <v>48202</v>
      </c>
      <c r="I11" s="10">
        <v>219.78509521484381</v>
      </c>
      <c r="J11" s="10">
        <v>211.1138000488281</v>
      </c>
      <c r="K11" s="10">
        <v>198.22399999999999</v>
      </c>
      <c r="L11" s="10">
        <v>199.31800000000001</v>
      </c>
      <c r="M11" s="11">
        <v>71</v>
      </c>
      <c r="N11" s="12">
        <v>21.56109521484376</v>
      </c>
      <c r="O11" s="13">
        <v>14.680000610351559</v>
      </c>
      <c r="P11" s="13">
        <v>64.452590087890627</v>
      </c>
      <c r="Q11" s="13">
        <v>29.29289667521731</v>
      </c>
      <c r="R11" s="14">
        <v>13.825068530134329</v>
      </c>
      <c r="S11" s="13">
        <v>12.889800048828141</v>
      </c>
      <c r="T11" s="13">
        <v>5.5396016845703002</v>
      </c>
      <c r="U11" s="13">
        <v>56.929000000000002</v>
      </c>
      <c r="V11" s="13">
        <v>18.828854221291738</v>
      </c>
      <c r="W11" s="15">
        <v>14.302946921351539</v>
      </c>
      <c r="X11" s="16" t="str">
        <f>IFERROR(_xll.BDP(E11&amp;" Corp","LAST_PRICE"),"--")</f>
        <v>#N/A Requesting Data...</v>
      </c>
      <c r="Y11" s="17" t="str">
        <f>IFERROR(_xll.BDP(E11&amp;" Corp","YAS_BENCHMARK_BOND_ISIN"),"--")</f>
        <v>#N/A Requesting Data...</v>
      </c>
      <c r="Z11" s="18" t="str">
        <f>IFERROR(_xll.BDP(Y11&amp;" CORP","LAST_PRICE"),"--")</f>
        <v>#N/A Requesting Data... CORP</v>
      </c>
      <c r="AA11" s="19" t="str">
        <f>IFERROR(_xll.BDP(E11&amp;" Corp","YAS_YLD_SPREAD","YAS_BOND_PX="&amp;X11,"YAS_BNCHMRK_BOND_PX="&amp;Z11),"--")</f>
        <v>#N/A Requesting Data...</v>
      </c>
      <c r="AB11" s="19" t="str">
        <f>IFERROR(_xll.BDP(E11&amp;" Corp","BLOOMBERG_MID_G_SPREAD","YAS_BOND_PX="&amp;X11,"YAS_BNCHMRK_BOND_PX="&amp;Z11),"--")</f>
        <v>#N/A Requesting Data...</v>
      </c>
      <c r="AC11" s="19" t="str">
        <f>IFERROR(_xll.BDP(D11,"LAST_PRICE"),"--")</f>
        <v>#N/A Requesting Data...</v>
      </c>
      <c r="AD11" s="20"/>
      <c r="AE11" s="19" t="str">
        <f t="shared" si="0"/>
        <v>#N/A Requesting Data...</v>
      </c>
      <c r="AF11" s="19" t="str">
        <f t="shared" si="1"/>
        <v>--</v>
      </c>
      <c r="AG11" s="21" t="str">
        <f t="shared" si="2"/>
        <v>--</v>
      </c>
      <c r="AH11" s="19" t="str">
        <f t="shared" si="3"/>
        <v>--</v>
      </c>
    </row>
    <row r="12" spans="1:34" x14ac:dyDescent="0.45">
      <c r="A12" s="22" t="s">
        <v>68</v>
      </c>
      <c r="B12" s="23" t="s">
        <v>64</v>
      </c>
      <c r="C12" s="22" t="s">
        <v>69</v>
      </c>
      <c r="D12" s="23" t="s">
        <v>70</v>
      </c>
      <c r="E12" s="23" t="s">
        <v>71</v>
      </c>
      <c r="F12" s="24">
        <v>46125</v>
      </c>
      <c r="G12" s="24">
        <v>46226</v>
      </c>
      <c r="H12" s="24">
        <v>48385</v>
      </c>
      <c r="I12" s="25">
        <v>231.53509521484381</v>
      </c>
      <c r="J12" s="25">
        <v>209.62300109863281</v>
      </c>
      <c r="K12" s="25">
        <v>164.64099999999999</v>
      </c>
      <c r="L12" s="25">
        <v>173.43100000000001</v>
      </c>
      <c r="M12" s="26">
        <v>71</v>
      </c>
      <c r="N12" s="27">
        <v>66.894095214843759</v>
      </c>
      <c r="O12" s="28">
        <v>49.303895751953121</v>
      </c>
      <c r="P12" s="28">
        <v>80.060911132812492</v>
      </c>
      <c r="Q12" s="28">
        <v>62.817681374133478</v>
      </c>
      <c r="R12" s="29">
        <v>57.190853030028812</v>
      </c>
      <c r="S12" s="28">
        <v>44.982001098632821</v>
      </c>
      <c r="T12" s="28">
        <v>37.058702270507808</v>
      </c>
      <c r="U12" s="28">
        <v>71.976607177734365</v>
      </c>
      <c r="V12" s="28">
        <v>46.990557436660978</v>
      </c>
      <c r="W12" s="30">
        <v>22.691220590629481</v>
      </c>
      <c r="X12" s="16" t="str">
        <f>IFERROR(_xll.BDP(E12&amp;" Corp","LAST_PRICE"),"--")</f>
        <v>#N/A Requesting Data...</v>
      </c>
      <c r="Y12" s="17" t="str">
        <f>IFERROR(_xll.BDP(E12&amp;" Corp","YAS_BENCHMARK_BOND_ISIN"),"--")</f>
        <v>#N/A Requesting Data...</v>
      </c>
      <c r="Z12" s="18" t="str">
        <f>IFERROR(_xll.BDP(Y12&amp;" CORP","LAST_PRICE"),"--")</f>
        <v>#N/A Requesting Data... CORP</v>
      </c>
      <c r="AA12" s="19" t="str">
        <f>IFERROR(_xll.BDP(E12&amp;" Corp","YAS_YLD_SPREAD","YAS_BOND_PX="&amp;X12,"YAS_BNCHMRK_BOND_PX="&amp;Z12),"--")</f>
        <v>#N/A Requesting Data...</v>
      </c>
      <c r="AB12" s="19" t="str">
        <f>IFERROR(_xll.BDP(E12&amp;" Corp","BLOOMBERG_MID_G_SPREAD","YAS_BOND_PX="&amp;X12,"YAS_BNCHMRK_BOND_PX="&amp;Z12),"--")</f>
        <v>#N/A Requesting Data...</v>
      </c>
      <c r="AC12" s="19" t="str">
        <f>IFERROR(_xll.BDP(D12,"LAST_PRICE"),"--")</f>
        <v>#N/A Requesting Data...</v>
      </c>
      <c r="AD12" s="20"/>
      <c r="AE12" s="19" t="str">
        <f t="shared" si="0"/>
        <v>#N/A Requesting Data...</v>
      </c>
      <c r="AF12" s="19" t="str">
        <f t="shared" si="1"/>
        <v>--</v>
      </c>
      <c r="AG12" s="21" t="str">
        <f t="shared" si="2"/>
        <v>--</v>
      </c>
      <c r="AH12" s="19" t="str">
        <f t="shared" si="3"/>
        <v>--</v>
      </c>
    </row>
    <row r="13" spans="1:34" x14ac:dyDescent="0.45">
      <c r="A13" s="7" t="s">
        <v>72</v>
      </c>
      <c r="B13" s="8" t="s">
        <v>64</v>
      </c>
      <c r="C13" s="7" t="s">
        <v>73</v>
      </c>
      <c r="D13" s="8" t="s">
        <v>74</v>
      </c>
      <c r="E13" s="8" t="s">
        <v>75</v>
      </c>
      <c r="F13" s="9">
        <v>46121</v>
      </c>
      <c r="G13" s="9">
        <v>46226</v>
      </c>
      <c r="H13" s="9">
        <v>48385</v>
      </c>
      <c r="I13" s="10">
        <v>241.98970031738281</v>
      </c>
      <c r="J13" s="10">
        <v>220.81669616699219</v>
      </c>
      <c r="K13" s="10">
        <v>202.96899999999999</v>
      </c>
      <c r="L13" s="10">
        <v>209.72300000000001</v>
      </c>
      <c r="M13" s="11">
        <v>73</v>
      </c>
      <c r="N13" s="12">
        <v>39.020700317382818</v>
      </c>
      <c r="O13" s="13">
        <v>22.595006591796871</v>
      </c>
      <c r="P13" s="13">
        <v>111.6314890136719</v>
      </c>
      <c r="Q13" s="13">
        <v>43.552509262293988</v>
      </c>
      <c r="R13" s="14">
        <v>18.448273425445191</v>
      </c>
      <c r="S13" s="13">
        <v>17.84769616699219</v>
      </c>
      <c r="T13" s="13">
        <v>6.4523046875000034</v>
      </c>
      <c r="U13" s="13">
        <v>99.632312988281257</v>
      </c>
      <c r="V13" s="13">
        <v>24.90333662310039</v>
      </c>
      <c r="W13" s="15">
        <v>12.229438145903931</v>
      </c>
      <c r="X13" s="16" t="str">
        <f>IFERROR(_xll.BDP(E13&amp;" Corp","LAST_PRICE"),"--")</f>
        <v>#N/A Requesting Data...</v>
      </c>
      <c r="Y13" s="17" t="str">
        <f>IFERROR(_xll.BDP(E13&amp;" Corp","YAS_BENCHMARK_BOND_ISIN"),"--")</f>
        <v>#N/A Requesting Data...</v>
      </c>
      <c r="Z13" s="18" t="str">
        <f>IFERROR(_xll.BDP(Y13&amp;" CORP","LAST_PRICE"),"--")</f>
        <v>#N/A Requesting Data... CORP</v>
      </c>
      <c r="AA13" s="19" t="str">
        <f>IFERROR(_xll.BDP(E13&amp;" Corp","YAS_YLD_SPREAD","YAS_BOND_PX="&amp;X13,"YAS_BNCHMRK_BOND_PX="&amp;Z13),"--")</f>
        <v>#N/A Requesting Data...</v>
      </c>
      <c r="AB13" s="19" t="str">
        <f>IFERROR(_xll.BDP(E13&amp;" Corp","BLOOMBERG_MID_G_SPREAD","YAS_BOND_PX="&amp;X13,"YAS_BNCHMRK_BOND_PX="&amp;Z13),"--")</f>
        <v>#N/A Requesting Data...</v>
      </c>
      <c r="AC13" s="19" t="str">
        <f>IFERROR(_xll.BDP(D13,"LAST_PRICE"),"--")</f>
        <v>#N/A Requesting Data...</v>
      </c>
      <c r="AD13" s="20"/>
      <c r="AE13" s="19" t="str">
        <f t="shared" si="0"/>
        <v>#N/A Requesting Data...</v>
      </c>
      <c r="AF13" s="19" t="str">
        <f t="shared" si="1"/>
        <v>--</v>
      </c>
      <c r="AG13" s="21" t="str">
        <f t="shared" si="2"/>
        <v>--</v>
      </c>
      <c r="AH13" s="19" t="str">
        <f t="shared" si="3"/>
        <v>--</v>
      </c>
    </row>
    <row r="14" spans="1:34" x14ac:dyDescent="0.45">
      <c r="A14" s="22" t="s">
        <v>76</v>
      </c>
      <c r="B14" s="23" t="s">
        <v>64</v>
      </c>
      <c r="C14" s="22" t="s">
        <v>77</v>
      </c>
      <c r="D14" s="23" t="s">
        <v>78</v>
      </c>
      <c r="E14" s="23" t="s">
        <v>79</v>
      </c>
      <c r="F14" s="24">
        <v>46121</v>
      </c>
      <c r="G14" s="24">
        <v>46226</v>
      </c>
      <c r="H14" s="24">
        <v>48019</v>
      </c>
      <c r="I14" s="25">
        <v>80.501701354980469</v>
      </c>
      <c r="J14" s="25">
        <v>80.501701354980469</v>
      </c>
      <c r="K14" s="25">
        <v>76.707999999999998</v>
      </c>
      <c r="L14" s="25">
        <v>74.61</v>
      </c>
      <c r="M14" s="26">
        <v>73</v>
      </c>
      <c r="N14" s="27">
        <v>3.7937013549804699</v>
      </c>
      <c r="O14" s="28">
        <v>-11.2456030883789</v>
      </c>
      <c r="P14" s="28">
        <v>6.5626019897460992</v>
      </c>
      <c r="Q14" s="28">
        <v>-1.8153685678978491</v>
      </c>
      <c r="R14" s="29">
        <v>84.451545663258031</v>
      </c>
      <c r="S14" s="28">
        <v>3.7937013549804699</v>
      </c>
      <c r="T14" s="28">
        <v>-11.2456030883789</v>
      </c>
      <c r="U14" s="28">
        <v>6.5626019897460992</v>
      </c>
      <c r="V14" s="28">
        <v>-1.8153685678978491</v>
      </c>
      <c r="W14" s="30">
        <v>84.451545663258031</v>
      </c>
      <c r="X14" s="16" t="str">
        <f>IFERROR(_xll.BDP(E14&amp;" Corp","LAST_PRICE"),"--")</f>
        <v>#N/A Requesting Data...</v>
      </c>
      <c r="Y14" s="17" t="str">
        <f>IFERROR(_xll.BDP(E14&amp;" Corp","YAS_BENCHMARK_BOND_ISIN"),"--")</f>
        <v>#N/A Requesting Data...</v>
      </c>
      <c r="Z14" s="18" t="str">
        <f>IFERROR(_xll.BDP(Y14&amp;" CORP","LAST_PRICE"),"--")</f>
        <v>#N/A Requesting Data... CORP</v>
      </c>
      <c r="AA14" s="19" t="str">
        <f>IFERROR(_xll.BDP(E14&amp;" Corp","YAS_YLD_SPREAD","YAS_BOND_PX="&amp;X14,"YAS_BNCHMRK_BOND_PX="&amp;Z14),"--")</f>
        <v>#N/A Requesting Data...</v>
      </c>
      <c r="AB14" s="19" t="str">
        <f>IFERROR(_xll.BDP(E14&amp;" Corp","BLOOMBERG_MID_G_SPREAD","YAS_BOND_PX="&amp;X14,"YAS_BNCHMRK_BOND_PX="&amp;Z14),"--")</f>
        <v>#N/A Requesting Data...</v>
      </c>
      <c r="AC14" s="19" t="str">
        <f>IFERROR(_xll.BDP(D14,"LAST_PRICE"),"--")</f>
        <v>#N/A Requesting Data...</v>
      </c>
      <c r="AD14" s="20"/>
      <c r="AE14" s="19" t="str">
        <f t="shared" si="0"/>
        <v>#N/A Requesting Data...</v>
      </c>
      <c r="AF14" s="19" t="str">
        <f t="shared" si="1"/>
        <v>--</v>
      </c>
      <c r="AG14" s="21" t="str">
        <f t="shared" si="2"/>
        <v>--</v>
      </c>
      <c r="AH14" s="19" t="str">
        <f t="shared" si="3"/>
        <v>--</v>
      </c>
    </row>
    <row r="15" spans="1:34" x14ac:dyDescent="0.45">
      <c r="A15" s="7" t="s">
        <v>80</v>
      </c>
      <c r="B15" s="8" t="s">
        <v>64</v>
      </c>
      <c r="C15" s="7" t="s">
        <v>81</v>
      </c>
      <c r="D15" s="8" t="s">
        <v>82</v>
      </c>
      <c r="E15" s="8" t="s">
        <v>83</v>
      </c>
      <c r="F15" s="9">
        <v>46121</v>
      </c>
      <c r="G15" s="9">
        <v>46226</v>
      </c>
      <c r="H15" s="9">
        <v>48202</v>
      </c>
      <c r="I15" s="10">
        <v>68.443199157714844</v>
      </c>
      <c r="J15" s="10">
        <v>62.503501892089837</v>
      </c>
      <c r="K15" s="10">
        <v>68.150999999999996</v>
      </c>
      <c r="L15" s="10">
        <v>66.180999999999997</v>
      </c>
      <c r="M15" s="11">
        <v>73</v>
      </c>
      <c r="N15" s="12">
        <v>0.2921991577148475</v>
      </c>
      <c r="O15" s="13">
        <v>-9.2290991821289055</v>
      </c>
      <c r="P15" s="13">
        <v>4.6873965454101523</v>
      </c>
      <c r="Q15" s="13">
        <v>-0.79773275547811517</v>
      </c>
      <c r="R15" s="14">
        <v>68.417355390712757</v>
      </c>
      <c r="S15" s="13">
        <v>-5.6474981079101516</v>
      </c>
      <c r="T15" s="13">
        <v>-15.352699188232419</v>
      </c>
      <c r="U15" s="13">
        <v>-1.838301544189449</v>
      </c>
      <c r="V15" s="13">
        <v>-6.704486191004924</v>
      </c>
      <c r="W15" s="15">
        <v>71.813789529866597</v>
      </c>
      <c r="X15" s="16" t="str">
        <f>IFERROR(_xll.BDP(E15&amp;" Corp","LAST_PRICE"),"--")</f>
        <v>#N/A Requesting Data...</v>
      </c>
      <c r="Y15" s="17" t="str">
        <f>IFERROR(_xll.BDP(E15&amp;" Corp","YAS_BENCHMARK_BOND_ISIN"),"--")</f>
        <v>#N/A Requesting Data...</v>
      </c>
      <c r="Z15" s="18" t="str">
        <f>IFERROR(_xll.BDP(Y15&amp;" CORP","LAST_PRICE"),"--")</f>
        <v>#N/A Requesting Data... CORP</v>
      </c>
      <c r="AA15" s="19" t="str">
        <f>IFERROR(_xll.BDP(E15&amp;" Corp","YAS_YLD_SPREAD","YAS_BOND_PX="&amp;X15,"YAS_BNCHMRK_BOND_PX="&amp;Z15),"--")</f>
        <v>#N/A Requesting Data...</v>
      </c>
      <c r="AB15" s="19" t="str">
        <f>IFERROR(_xll.BDP(E15&amp;" Corp","BLOOMBERG_MID_G_SPREAD","YAS_BOND_PX="&amp;X15,"YAS_BNCHMRK_BOND_PX="&amp;Z15),"--")</f>
        <v>#N/A Requesting Data...</v>
      </c>
      <c r="AC15" s="19" t="str">
        <f>IFERROR(_xll.BDP(D15,"LAST_PRICE"),"--")</f>
        <v>#N/A Requesting Data...</v>
      </c>
      <c r="AD15" s="20"/>
      <c r="AE15" s="19" t="str">
        <f t="shared" si="0"/>
        <v>#N/A Requesting Data...</v>
      </c>
      <c r="AF15" s="19" t="str">
        <f t="shared" si="1"/>
        <v>--</v>
      </c>
      <c r="AG15" s="21" t="str">
        <f t="shared" si="2"/>
        <v>--</v>
      </c>
      <c r="AH15" s="19" t="str">
        <f t="shared" si="3"/>
        <v>--</v>
      </c>
    </row>
    <row r="16" spans="1:34" x14ac:dyDescent="0.45">
      <c r="A16" s="22" t="s">
        <v>84</v>
      </c>
      <c r="B16" s="23" t="s">
        <v>64</v>
      </c>
      <c r="C16" s="22" t="s">
        <v>85</v>
      </c>
      <c r="D16" s="23" t="s">
        <v>86</v>
      </c>
      <c r="E16" s="23" t="s">
        <v>87</v>
      </c>
      <c r="F16" s="24">
        <v>45779</v>
      </c>
      <c r="G16" s="24">
        <v>46226</v>
      </c>
      <c r="H16" s="24">
        <v>48385</v>
      </c>
      <c r="I16" s="25">
        <v>65.367897033691406</v>
      </c>
      <c r="J16" s="25">
        <v>56.057201385498047</v>
      </c>
      <c r="K16" s="25">
        <v>57.790999999999997</v>
      </c>
      <c r="L16" s="25">
        <v>65.195999999999998</v>
      </c>
      <c r="M16" s="26">
        <v>307</v>
      </c>
      <c r="N16" s="27">
        <v>7.5768970336914094</v>
      </c>
      <c r="O16" s="28">
        <v>-15.28240063476562</v>
      </c>
      <c r="P16" s="28">
        <v>14.293398132324221</v>
      </c>
      <c r="Q16" s="28">
        <v>0.53590253729307757</v>
      </c>
      <c r="R16" s="29">
        <v>77.290550454696344</v>
      </c>
      <c r="S16" s="28">
        <v>-1.7337986145019499</v>
      </c>
      <c r="T16" s="28">
        <v>-22.48639920043945</v>
      </c>
      <c r="U16" s="28">
        <v>5.070200195312502</v>
      </c>
      <c r="V16" s="28">
        <v>-7.0487508883895629</v>
      </c>
      <c r="W16" s="30">
        <v>75.30900416230844</v>
      </c>
      <c r="X16" s="16" t="str">
        <f>IFERROR(_xll.BDP(E16&amp;" Corp","LAST_PRICE"),"--")</f>
        <v>#N/A Requesting Data...</v>
      </c>
      <c r="Y16" s="17" t="str">
        <f>IFERROR(_xll.BDP(E16&amp;" Corp","YAS_BENCHMARK_BOND_ISIN"),"--")</f>
        <v>#N/A Requesting Data...</v>
      </c>
      <c r="Z16" s="18" t="str">
        <f>IFERROR(_xll.BDP(Y16&amp;" CORP","LAST_PRICE"),"--")</f>
        <v>#N/A Requesting Data... CORP</v>
      </c>
      <c r="AA16" s="19" t="str">
        <f>IFERROR(_xll.BDP(E16&amp;" Corp","YAS_YLD_SPREAD","YAS_BOND_PX="&amp;X16,"YAS_BNCHMRK_BOND_PX="&amp;Z16),"--")</f>
        <v>#N/A Requesting Data...</v>
      </c>
      <c r="AB16" s="19" t="str">
        <f>IFERROR(_xll.BDP(E16&amp;" Corp","BLOOMBERG_MID_G_SPREAD","YAS_BOND_PX="&amp;X16,"YAS_BNCHMRK_BOND_PX="&amp;Z16),"--")</f>
        <v>#N/A Requesting Data...</v>
      </c>
      <c r="AC16" s="19" t="str">
        <f>IFERROR(_xll.BDP(D16,"LAST_PRICE"),"--")</f>
        <v>#N/A Requesting Data...</v>
      </c>
      <c r="AD16" s="20"/>
      <c r="AE16" s="19" t="str">
        <f t="shared" si="0"/>
        <v>#N/A Requesting Data...</v>
      </c>
      <c r="AF16" s="19" t="str">
        <f t="shared" si="1"/>
        <v>--</v>
      </c>
      <c r="AG16" s="21" t="str">
        <f t="shared" si="2"/>
        <v>--</v>
      </c>
      <c r="AH16" s="19" t="str">
        <f t="shared" si="3"/>
        <v>--</v>
      </c>
    </row>
    <row r="17" spans="1:34" x14ac:dyDescent="0.45">
      <c r="A17" s="7" t="s">
        <v>88</v>
      </c>
      <c r="B17" s="8" t="s">
        <v>64</v>
      </c>
      <c r="C17" s="7" t="s">
        <v>89</v>
      </c>
      <c r="D17" s="8" t="s">
        <v>90</v>
      </c>
      <c r="E17" s="8" t="s">
        <v>91</v>
      </c>
      <c r="F17" s="9">
        <v>45712</v>
      </c>
      <c r="G17" s="9">
        <v>46226</v>
      </c>
      <c r="H17" s="9">
        <v>47472</v>
      </c>
      <c r="I17" s="10">
        <v>36.542800903320313</v>
      </c>
      <c r="J17" s="10">
        <v>51.943901062011719</v>
      </c>
      <c r="K17" s="10">
        <v>51.776000000000003</v>
      </c>
      <c r="L17" s="10">
        <v>53.359000000000002</v>
      </c>
      <c r="M17" s="11">
        <v>355</v>
      </c>
      <c r="N17" s="12">
        <v>-15.233199096679691</v>
      </c>
      <c r="O17" s="13">
        <v>-57.656798583984369</v>
      </c>
      <c r="P17" s="13">
        <v>4.956800354003903</v>
      </c>
      <c r="Q17" s="13">
        <v>-18.993921746740209</v>
      </c>
      <c r="R17" s="14">
        <v>67.754609552663609</v>
      </c>
      <c r="S17" s="13">
        <v>0.1679010620117154</v>
      </c>
      <c r="T17" s="13">
        <v>-43.523699981689447</v>
      </c>
      <c r="U17" s="13">
        <v>19.995401275634759</v>
      </c>
      <c r="V17" s="13">
        <v>-4.5492616781745161</v>
      </c>
      <c r="W17" s="15">
        <v>68.784979917616837</v>
      </c>
      <c r="X17" s="16" t="str">
        <f>IFERROR(_xll.BDP(E17&amp;" Corp","LAST_PRICE"),"--")</f>
        <v>#N/A Requesting Data...</v>
      </c>
      <c r="Y17" s="17" t="str">
        <f>IFERROR(_xll.BDP(E17&amp;" Corp","YAS_BENCHMARK_BOND_ISIN"),"--")</f>
        <v>#N/A Requesting Data...</v>
      </c>
      <c r="Z17" s="18" t="str">
        <f>IFERROR(_xll.BDP(Y17&amp;" CORP","LAST_PRICE"),"--")</f>
        <v>#N/A Requesting Data... CORP</v>
      </c>
      <c r="AA17" s="19" t="str">
        <f>IFERROR(_xll.BDP(E17&amp;" Corp","YAS_YLD_SPREAD","YAS_BOND_PX="&amp;X17,"YAS_BNCHMRK_BOND_PX="&amp;Z17),"--")</f>
        <v>#N/A Requesting Data...</v>
      </c>
      <c r="AB17" s="19" t="str">
        <f>IFERROR(_xll.BDP(E17&amp;" Corp","BLOOMBERG_MID_G_SPREAD","YAS_BOND_PX="&amp;X17,"YAS_BNCHMRK_BOND_PX="&amp;Z17),"--")</f>
        <v>#N/A Requesting Data...</v>
      </c>
      <c r="AC17" s="19" t="str">
        <f>IFERROR(_xll.BDP(D17,"LAST_PRICE"),"--")</f>
        <v>#N/A Requesting Data...</v>
      </c>
      <c r="AD17" s="20"/>
      <c r="AE17" s="19" t="str">
        <f t="shared" si="0"/>
        <v>#N/A Requesting Data...</v>
      </c>
      <c r="AF17" s="19" t="str">
        <f t="shared" si="1"/>
        <v>--</v>
      </c>
      <c r="AG17" s="21" t="str">
        <f t="shared" si="2"/>
        <v>--</v>
      </c>
      <c r="AH17" s="19" t="str">
        <f t="shared" si="3"/>
        <v>--</v>
      </c>
    </row>
    <row r="18" spans="1:34" x14ac:dyDescent="0.45">
      <c r="A18" s="22" t="s">
        <v>92</v>
      </c>
      <c r="B18" s="23" t="s">
        <v>64</v>
      </c>
      <c r="C18" s="22" t="s">
        <v>93</v>
      </c>
      <c r="D18" s="23" t="s">
        <v>94</v>
      </c>
      <c r="E18" s="23" t="s">
        <v>95</v>
      </c>
      <c r="F18" s="24">
        <v>46121</v>
      </c>
      <c r="G18" s="24">
        <v>46226</v>
      </c>
      <c r="H18" s="24">
        <v>48202</v>
      </c>
      <c r="I18" s="25">
        <v>157.1907958984375</v>
      </c>
      <c r="J18" s="25">
        <v>150.83329772949219</v>
      </c>
      <c r="K18" s="25">
        <v>115.38</v>
      </c>
      <c r="L18" s="25">
        <v>118.339</v>
      </c>
      <c r="M18" s="26">
        <v>72</v>
      </c>
      <c r="N18" s="27">
        <v>41.810795898437497</v>
      </c>
      <c r="O18" s="28">
        <v>32.736206542968738</v>
      </c>
      <c r="P18" s="28">
        <v>60.550003051757813</v>
      </c>
      <c r="Q18" s="28">
        <v>42.500783108181423</v>
      </c>
      <c r="R18" s="29">
        <v>32.626216103224962</v>
      </c>
      <c r="S18" s="28">
        <v>35.453297729492192</v>
      </c>
      <c r="T18" s="28">
        <v>25.778702270507811</v>
      </c>
      <c r="U18" s="28">
        <v>48.890993896484368</v>
      </c>
      <c r="V18" s="28">
        <v>35.717526002648754</v>
      </c>
      <c r="W18" s="30">
        <v>41.859092190195582</v>
      </c>
      <c r="X18" s="16" t="str">
        <f>IFERROR(_xll.BDP(E18&amp;" Corp","LAST_PRICE"),"--")</f>
        <v>#N/A Requesting Data...</v>
      </c>
      <c r="Y18" s="17" t="str">
        <f>IFERROR(_xll.BDP(E18&amp;" Corp","YAS_BENCHMARK_BOND_ISIN"),"--")</f>
        <v>#N/A Requesting Data...</v>
      </c>
      <c r="Z18" s="18" t="str">
        <f>IFERROR(_xll.BDP(Y18&amp;" CORP","LAST_PRICE"),"--")</f>
        <v>#N/A Requesting Data... CORP</v>
      </c>
      <c r="AA18" s="19" t="str">
        <f>IFERROR(_xll.BDP(E18&amp;" Corp","YAS_YLD_SPREAD","YAS_BOND_PX="&amp;X18,"YAS_BNCHMRK_BOND_PX="&amp;Z18),"--")</f>
        <v>#N/A Requesting Data...</v>
      </c>
      <c r="AB18" s="19" t="str">
        <f>IFERROR(_xll.BDP(E18&amp;" Corp","BLOOMBERG_MID_G_SPREAD","YAS_BOND_PX="&amp;X18,"YAS_BNCHMRK_BOND_PX="&amp;Z18),"--")</f>
        <v>#N/A Requesting Data...</v>
      </c>
      <c r="AC18" s="19" t="str">
        <f>IFERROR(_xll.BDP(D18,"LAST_PRICE"),"--")</f>
        <v>#N/A Requesting Data...</v>
      </c>
      <c r="AD18" s="20"/>
      <c r="AE18" s="19" t="str">
        <f t="shared" si="0"/>
        <v>#N/A Requesting Data...</v>
      </c>
      <c r="AF18" s="19" t="str">
        <f t="shared" si="1"/>
        <v>--</v>
      </c>
      <c r="AG18" s="21" t="str">
        <f t="shared" si="2"/>
        <v>--</v>
      </c>
      <c r="AH18" s="19" t="str">
        <f t="shared" si="3"/>
        <v>--</v>
      </c>
    </row>
    <row r="19" spans="1:34" x14ac:dyDescent="0.45">
      <c r="A19" s="7" t="s">
        <v>96</v>
      </c>
      <c r="B19" s="8" t="s">
        <v>64</v>
      </c>
      <c r="C19" s="7" t="s">
        <v>97</v>
      </c>
      <c r="D19" s="8" t="s">
        <v>98</v>
      </c>
      <c r="E19" s="8" t="s">
        <v>99</v>
      </c>
      <c r="F19" s="9">
        <v>45659</v>
      </c>
      <c r="G19" s="9">
        <v>46226</v>
      </c>
      <c r="H19" s="9">
        <v>48202</v>
      </c>
      <c r="I19" s="10">
        <v>52.637901306152337</v>
      </c>
      <c r="J19" s="10">
        <v>49.756900787353523</v>
      </c>
      <c r="K19" s="10">
        <v>60.503999999999998</v>
      </c>
      <c r="L19" s="10">
        <v>64.265000000000001</v>
      </c>
      <c r="M19" s="11">
        <v>389</v>
      </c>
      <c r="N19" s="12">
        <v>-7.866098693847654</v>
      </c>
      <c r="O19" s="13">
        <v>-38.75020129394531</v>
      </c>
      <c r="P19" s="13">
        <v>0.58480010986328068</v>
      </c>
      <c r="Q19" s="13">
        <v>-15.198713903196669</v>
      </c>
      <c r="R19" s="14">
        <v>78.515575182126014</v>
      </c>
      <c r="S19" s="13">
        <v>-10.74709921264648</v>
      </c>
      <c r="T19" s="13">
        <v>-41.204798767089841</v>
      </c>
      <c r="U19" s="13">
        <v>-2.7732015991210939</v>
      </c>
      <c r="V19" s="13">
        <v>-17.788647068131549</v>
      </c>
      <c r="W19" s="15">
        <v>79.251714211421515</v>
      </c>
      <c r="X19" s="16" t="str">
        <f>IFERROR(_xll.BDP(E19&amp;" Corp","LAST_PRICE"),"--")</f>
        <v>#N/A Requesting Data...</v>
      </c>
      <c r="Y19" s="17" t="str">
        <f>IFERROR(_xll.BDP(E19&amp;" Corp","YAS_BENCHMARK_BOND_ISIN"),"--")</f>
        <v>#N/A Requesting Data...</v>
      </c>
      <c r="Z19" s="18" t="str">
        <f>IFERROR(_xll.BDP(Y19&amp;" CORP","LAST_PRICE"),"--")</f>
        <v>#N/A Requesting Data... CORP</v>
      </c>
      <c r="AA19" s="19" t="str">
        <f>IFERROR(_xll.BDP(E19&amp;" Corp","YAS_YLD_SPREAD","YAS_BOND_PX="&amp;X19,"YAS_BNCHMRK_BOND_PX="&amp;Z19),"--")</f>
        <v>#N/A Requesting Data...</v>
      </c>
      <c r="AB19" s="19" t="str">
        <f>IFERROR(_xll.BDP(E19&amp;" Corp","BLOOMBERG_MID_G_SPREAD","YAS_BOND_PX="&amp;X19,"YAS_BNCHMRK_BOND_PX="&amp;Z19),"--")</f>
        <v>#N/A Requesting Data...</v>
      </c>
      <c r="AC19" s="19" t="str">
        <f>IFERROR(_xll.BDP(D19,"LAST_PRICE"),"--")</f>
        <v>#N/A Requesting Data...</v>
      </c>
      <c r="AD19" s="20"/>
      <c r="AE19" s="19" t="str">
        <f t="shared" si="0"/>
        <v>#N/A Requesting Data...</v>
      </c>
      <c r="AF19" s="19" t="str">
        <f t="shared" si="1"/>
        <v>--</v>
      </c>
      <c r="AG19" s="21" t="str">
        <f t="shared" si="2"/>
        <v>--</v>
      </c>
      <c r="AH19" s="19" t="str">
        <f t="shared" si="3"/>
        <v>--</v>
      </c>
    </row>
    <row r="20" spans="1:34" x14ac:dyDescent="0.45">
      <c r="A20" s="22" t="s">
        <v>100</v>
      </c>
      <c r="B20" s="23" t="s">
        <v>64</v>
      </c>
      <c r="C20" s="22" t="s">
        <v>101</v>
      </c>
      <c r="D20" s="23" t="s">
        <v>102</v>
      </c>
      <c r="E20" s="23" t="s">
        <v>103</v>
      </c>
      <c r="F20" s="24">
        <v>46121</v>
      </c>
      <c r="G20" s="24">
        <v>46226</v>
      </c>
      <c r="H20" s="24">
        <v>48202</v>
      </c>
      <c r="I20" s="25">
        <v>72.800697326660156</v>
      </c>
      <c r="J20" s="25">
        <v>70.3363037109375</v>
      </c>
      <c r="K20" s="25">
        <v>76.744</v>
      </c>
      <c r="L20" s="25">
        <v>74.701999999999998</v>
      </c>
      <c r="M20" s="26">
        <v>73</v>
      </c>
      <c r="N20" s="27">
        <v>-3.943302673339844</v>
      </c>
      <c r="O20" s="28">
        <v>-14.08080029296875</v>
      </c>
      <c r="P20" s="28">
        <v>1.1879028930664079</v>
      </c>
      <c r="Q20" s="28">
        <v>-7.3752493294493791</v>
      </c>
      <c r="R20" s="29">
        <v>66.393966115607768</v>
      </c>
      <c r="S20" s="28">
        <v>-6.4076962890624998</v>
      </c>
      <c r="T20" s="28">
        <v>-17.422000000000001</v>
      </c>
      <c r="U20" s="28">
        <v>-1.166299377441405</v>
      </c>
      <c r="V20" s="28">
        <v>-10.39319450148491</v>
      </c>
      <c r="W20" s="30">
        <v>67.756561016217105</v>
      </c>
      <c r="X20" s="16" t="str">
        <f>IFERROR(_xll.BDP(E20&amp;" Corp","LAST_PRICE"),"--")</f>
        <v>#N/A Requesting Data...</v>
      </c>
      <c r="Y20" s="17" t="str">
        <f>IFERROR(_xll.BDP(E20&amp;" Corp","YAS_BENCHMARK_BOND_ISIN"),"--")</f>
        <v>#N/A Requesting Data...</v>
      </c>
      <c r="Z20" s="18" t="str">
        <f>IFERROR(_xll.BDP(Y20&amp;" CORP","LAST_PRICE"),"--")</f>
        <v>#N/A Requesting Data... CORP</v>
      </c>
      <c r="AA20" s="19" t="str">
        <f>IFERROR(_xll.BDP(E20&amp;" Corp","YAS_YLD_SPREAD","YAS_BOND_PX="&amp;X20,"YAS_BNCHMRK_BOND_PX="&amp;Z20),"--")</f>
        <v>#N/A Requesting Data...</v>
      </c>
      <c r="AB20" s="19" t="str">
        <f>IFERROR(_xll.BDP(E20&amp;" Corp","BLOOMBERG_MID_G_SPREAD","YAS_BOND_PX="&amp;X20,"YAS_BNCHMRK_BOND_PX="&amp;Z20),"--")</f>
        <v>#N/A Requesting Data...</v>
      </c>
      <c r="AC20" s="19" t="str">
        <f>IFERROR(_xll.BDP(D20,"LAST_PRICE"),"--")</f>
        <v>#N/A Requesting Data...</v>
      </c>
      <c r="AD20" s="20"/>
      <c r="AE20" s="19" t="str">
        <f t="shared" si="0"/>
        <v>#N/A Requesting Data...</v>
      </c>
      <c r="AF20" s="19" t="str">
        <f t="shared" si="1"/>
        <v>--</v>
      </c>
      <c r="AG20" s="21" t="str">
        <f t="shared" si="2"/>
        <v>--</v>
      </c>
      <c r="AH20" s="19" t="str">
        <f t="shared" si="3"/>
        <v>--</v>
      </c>
    </row>
    <row r="21" spans="1:34" x14ac:dyDescent="0.45">
      <c r="A21" s="7" t="s">
        <v>104</v>
      </c>
      <c r="B21" s="8" t="s">
        <v>64</v>
      </c>
      <c r="C21" s="7" t="s">
        <v>105</v>
      </c>
      <c r="D21" s="8" t="s">
        <v>106</v>
      </c>
      <c r="E21" s="8" t="s">
        <v>107</v>
      </c>
      <c r="F21" s="9">
        <v>46121</v>
      </c>
      <c r="G21" s="9">
        <v>46226</v>
      </c>
      <c r="H21" s="9">
        <v>48385</v>
      </c>
      <c r="I21" s="10">
        <v>164.15629577636719</v>
      </c>
      <c r="J21" s="10">
        <v>151.6607971191406</v>
      </c>
      <c r="K21" s="10">
        <v>138.59899999999999</v>
      </c>
      <c r="L21" s="10">
        <v>137.506</v>
      </c>
      <c r="M21" s="11">
        <v>70</v>
      </c>
      <c r="N21" s="12">
        <v>25.557295776367202</v>
      </c>
      <c r="O21" s="13">
        <v>-31.96679803466796</v>
      </c>
      <c r="P21" s="13">
        <v>39.984302246093762</v>
      </c>
      <c r="Q21" s="13">
        <v>29.50692157244</v>
      </c>
      <c r="R21" s="14">
        <v>79.94887303539393</v>
      </c>
      <c r="S21" s="13">
        <v>13.061797119140641</v>
      </c>
      <c r="T21" s="13">
        <v>-48.539101806640623</v>
      </c>
      <c r="U21" s="13">
        <v>26.041092773437502</v>
      </c>
      <c r="V21" s="13">
        <v>16.545696143581441</v>
      </c>
      <c r="W21" s="15">
        <v>82.596860027817769</v>
      </c>
      <c r="X21" s="16" t="str">
        <f>IFERROR(_xll.BDP(E21&amp;" Corp","LAST_PRICE"),"--")</f>
        <v>#N/A Requesting Data...</v>
      </c>
      <c r="Y21" s="17" t="str">
        <f>IFERROR(_xll.BDP(E21&amp;" Corp","YAS_BENCHMARK_BOND_ISIN"),"--")</f>
        <v>#N/A Requesting Data...</v>
      </c>
      <c r="Z21" s="18" t="str">
        <f>IFERROR(_xll.BDP(Y21&amp;" CORP","LAST_PRICE"),"--")</f>
        <v>#N/A Requesting Data... CORP</v>
      </c>
      <c r="AA21" s="19" t="str">
        <f>IFERROR(_xll.BDP(E21&amp;" Corp","YAS_YLD_SPREAD","YAS_BOND_PX="&amp;X21,"YAS_BNCHMRK_BOND_PX="&amp;Z21),"--")</f>
        <v>#N/A Requesting Data...</v>
      </c>
      <c r="AB21" s="19" t="str">
        <f>IFERROR(_xll.BDP(E21&amp;" Corp","BLOOMBERG_MID_G_SPREAD","YAS_BOND_PX="&amp;X21,"YAS_BNCHMRK_BOND_PX="&amp;Z21),"--")</f>
        <v>#N/A Requesting Data...</v>
      </c>
      <c r="AC21" s="19" t="str">
        <f>IFERROR(_xll.BDP(D21,"LAST_PRICE"),"--")</f>
        <v>#N/A Requesting Data...</v>
      </c>
      <c r="AD21" s="20"/>
      <c r="AE21" s="19" t="str">
        <f t="shared" si="0"/>
        <v>#N/A Requesting Data...</v>
      </c>
      <c r="AF21" s="19" t="str">
        <f t="shared" si="1"/>
        <v>--</v>
      </c>
      <c r="AG21" s="21" t="str">
        <f t="shared" si="2"/>
        <v>--</v>
      </c>
      <c r="AH21" s="19" t="str">
        <f t="shared" si="3"/>
        <v>--</v>
      </c>
    </row>
    <row r="22" spans="1:34" x14ac:dyDescent="0.45">
      <c r="A22" s="22" t="s">
        <v>108</v>
      </c>
      <c r="B22" s="23" t="s">
        <v>64</v>
      </c>
      <c r="C22" s="22" t="s">
        <v>109</v>
      </c>
      <c r="D22" s="23" t="s">
        <v>110</v>
      </c>
      <c r="E22" s="23" t="s">
        <v>111</v>
      </c>
      <c r="F22" s="24">
        <v>46121</v>
      </c>
      <c r="G22" s="24">
        <v>46226</v>
      </c>
      <c r="H22" s="24">
        <v>48019</v>
      </c>
      <c r="I22" s="25">
        <v>59.5</v>
      </c>
      <c r="J22" s="25">
        <v>59.5</v>
      </c>
      <c r="K22" s="25">
        <v>67.347999999999999</v>
      </c>
      <c r="L22" s="25">
        <v>64.631</v>
      </c>
      <c r="M22" s="26">
        <v>73</v>
      </c>
      <c r="N22" s="27">
        <v>-7.847999999999999</v>
      </c>
      <c r="O22" s="28">
        <v>-17.97189837646485</v>
      </c>
      <c r="P22" s="28">
        <v>-9.2698455810548808E-2</v>
      </c>
      <c r="Q22" s="28">
        <v>-7.2128438904644678</v>
      </c>
      <c r="R22" s="29">
        <v>56.62388933170093</v>
      </c>
      <c r="S22" s="28">
        <v>-7.847999999999999</v>
      </c>
      <c r="T22" s="28">
        <v>-17.97189837646485</v>
      </c>
      <c r="U22" s="28">
        <v>-9.2698455810548808E-2</v>
      </c>
      <c r="V22" s="28">
        <v>-7.2128438904644678</v>
      </c>
      <c r="W22" s="30">
        <v>56.62388933170093</v>
      </c>
      <c r="X22" s="16" t="str">
        <f>IFERROR(_xll.BDP(E22&amp;" Corp","LAST_PRICE"),"--")</f>
        <v>#N/A Requesting Data...</v>
      </c>
      <c r="Y22" s="17" t="str">
        <f>IFERROR(_xll.BDP(E22&amp;" Corp","YAS_BENCHMARK_BOND_ISIN"),"--")</f>
        <v>#N/A Requesting Data...</v>
      </c>
      <c r="Z22" s="18" t="str">
        <f>IFERROR(_xll.BDP(Y22&amp;" CORP","LAST_PRICE"),"--")</f>
        <v>#N/A Requesting Data... CORP</v>
      </c>
      <c r="AA22" s="19" t="str">
        <f>IFERROR(_xll.BDP(E22&amp;" Corp","YAS_YLD_SPREAD","YAS_BOND_PX="&amp;X22,"YAS_BNCHMRK_BOND_PX="&amp;Z22),"--")</f>
        <v>#N/A Requesting Data...</v>
      </c>
      <c r="AB22" s="19" t="str">
        <f>IFERROR(_xll.BDP(E22&amp;" Corp","BLOOMBERG_MID_G_SPREAD","YAS_BOND_PX="&amp;X22,"YAS_BNCHMRK_BOND_PX="&amp;Z22),"--")</f>
        <v>#N/A Requesting Data...</v>
      </c>
      <c r="AC22" s="19" t="str">
        <f>IFERROR(_xll.BDP(D22,"LAST_PRICE"),"--")</f>
        <v>#N/A Requesting Data...</v>
      </c>
      <c r="AD22" s="20"/>
      <c r="AE22" s="19" t="str">
        <f t="shared" si="0"/>
        <v>#N/A Requesting Data...</v>
      </c>
      <c r="AF22" s="19" t="str">
        <f t="shared" si="1"/>
        <v>--</v>
      </c>
      <c r="AG22" s="21" t="str">
        <f t="shared" si="2"/>
        <v>--</v>
      </c>
      <c r="AH22" s="19" t="str">
        <f t="shared" si="3"/>
        <v>--</v>
      </c>
    </row>
    <row r="23" spans="1:34" x14ac:dyDescent="0.45">
      <c r="A23" s="7" t="s">
        <v>112</v>
      </c>
      <c r="B23" s="8" t="s">
        <v>64</v>
      </c>
      <c r="C23" s="7" t="s">
        <v>113</v>
      </c>
      <c r="D23" s="8" t="s">
        <v>114</v>
      </c>
      <c r="E23" s="8" t="s">
        <v>115</v>
      </c>
      <c r="F23" s="9">
        <v>46121</v>
      </c>
      <c r="G23" s="9">
        <v>46226</v>
      </c>
      <c r="H23" s="9">
        <v>48019</v>
      </c>
      <c r="I23" s="10">
        <v>56.814098358154297</v>
      </c>
      <c r="J23" s="10">
        <v>56.814098358154297</v>
      </c>
      <c r="K23" s="10">
        <v>63.365000000000002</v>
      </c>
      <c r="L23" s="10">
        <v>60.63</v>
      </c>
      <c r="M23" s="11">
        <v>73</v>
      </c>
      <c r="N23" s="12">
        <v>-6.5509016418457051</v>
      </c>
      <c r="O23" s="13">
        <v>-22.11279946899414</v>
      </c>
      <c r="P23" s="13">
        <v>0.97770068359375273</v>
      </c>
      <c r="Q23" s="13">
        <v>-7.459158799680945</v>
      </c>
      <c r="R23" s="14">
        <v>67.395239272910771</v>
      </c>
      <c r="S23" s="13">
        <v>-6.5509016418457051</v>
      </c>
      <c r="T23" s="13">
        <v>-22.11279946899414</v>
      </c>
      <c r="U23" s="13">
        <v>0.97770068359375273</v>
      </c>
      <c r="V23" s="13">
        <v>-7.459158799680945</v>
      </c>
      <c r="W23" s="15">
        <v>67.395239272910771</v>
      </c>
      <c r="X23" s="16" t="str">
        <f>IFERROR(_xll.BDP(E23&amp;" Corp","LAST_PRICE"),"--")</f>
        <v>#N/A Requesting Data...</v>
      </c>
      <c r="Y23" s="17" t="str">
        <f>IFERROR(_xll.BDP(E23&amp;" Corp","YAS_BENCHMARK_BOND_ISIN"),"--")</f>
        <v>#N/A Requesting Data...</v>
      </c>
      <c r="Z23" s="18" t="str">
        <f>IFERROR(_xll.BDP(Y23&amp;" CORP","LAST_PRICE"),"--")</f>
        <v>#N/A Requesting Data... CORP</v>
      </c>
      <c r="AA23" s="19" t="str">
        <f>IFERROR(_xll.BDP(E23&amp;" Corp","YAS_YLD_SPREAD","YAS_BOND_PX="&amp;X23,"YAS_BNCHMRK_BOND_PX="&amp;Z23),"--")</f>
        <v>#N/A Requesting Data...</v>
      </c>
      <c r="AB23" s="19" t="str">
        <f>IFERROR(_xll.BDP(E23&amp;" Corp","BLOOMBERG_MID_G_SPREAD","YAS_BOND_PX="&amp;X23,"YAS_BNCHMRK_BOND_PX="&amp;Z23),"--")</f>
        <v>#N/A Requesting Data...</v>
      </c>
      <c r="AC23" s="19" t="str">
        <f>IFERROR(_xll.BDP(D23,"LAST_PRICE"),"--")</f>
        <v>#N/A Requesting Data...</v>
      </c>
      <c r="AD23" s="20"/>
      <c r="AE23" s="19" t="str">
        <f t="shared" si="0"/>
        <v>#N/A Requesting Data...</v>
      </c>
      <c r="AF23" s="19" t="str">
        <f t="shared" si="1"/>
        <v>--</v>
      </c>
      <c r="AG23" s="21" t="str">
        <f t="shared" si="2"/>
        <v>--</v>
      </c>
      <c r="AH23" s="19" t="str">
        <f t="shared" si="3"/>
        <v>--</v>
      </c>
    </row>
    <row r="24" spans="1:34" x14ac:dyDescent="0.45">
      <c r="A24" s="22" t="s">
        <v>116</v>
      </c>
      <c r="B24" s="23" t="s">
        <v>117</v>
      </c>
      <c r="C24" s="22" t="s">
        <v>118</v>
      </c>
      <c r="D24" s="23" t="s">
        <v>119</v>
      </c>
      <c r="E24" s="23" t="s">
        <v>120</v>
      </c>
      <c r="F24" s="24">
        <v>45659</v>
      </c>
      <c r="G24" s="24">
        <v>46226</v>
      </c>
      <c r="H24" s="24">
        <v>46924</v>
      </c>
      <c r="I24" s="25">
        <v>233.8298034667969</v>
      </c>
      <c r="J24" s="25">
        <v>468.7880859375</v>
      </c>
      <c r="K24" s="25">
        <v>120.08199999999999</v>
      </c>
      <c r="L24" s="25">
        <v>87.165000000000006</v>
      </c>
      <c r="M24" s="26">
        <v>388</v>
      </c>
      <c r="N24" s="27">
        <v>113.7478034667969</v>
      </c>
      <c r="O24" s="28">
        <v>-25.03870874023437</v>
      </c>
      <c r="P24" s="28">
        <v>634.57499316406256</v>
      </c>
      <c r="Q24" s="28">
        <v>191.26553511157479</v>
      </c>
      <c r="R24" s="29">
        <v>21.0405744765999</v>
      </c>
      <c r="S24" s="28">
        <v>348.70608593750001</v>
      </c>
      <c r="T24" s="28">
        <v>223.59918823242191</v>
      </c>
      <c r="U24" s="28">
        <v>808.74189379882819</v>
      </c>
      <c r="V24" s="28">
        <v>369.71292610258678</v>
      </c>
      <c r="W24" s="30">
        <v>21.38057887673353</v>
      </c>
      <c r="X24" s="16" t="str">
        <f>IFERROR(_xll.BDP(E24&amp;" Corp","LAST_PRICE"),"--")</f>
        <v>#N/A Requesting Data...</v>
      </c>
      <c r="Y24" s="17" t="str">
        <f>IFERROR(_xll.BDP(E24&amp;" Corp","YAS_BENCHMARK_BOND_ISIN"),"--")</f>
        <v>#N/A Requesting Data...</v>
      </c>
      <c r="Z24" s="18" t="str">
        <f>IFERROR(_xll.BDP(Y24&amp;" CORP","LAST_PRICE"),"--")</f>
        <v>#N/A Requesting Data... CORP</v>
      </c>
      <c r="AA24" s="19" t="str">
        <f>IFERROR(_xll.BDP(E24&amp;" Corp","YAS_YLD_SPREAD","YAS_BOND_PX="&amp;X24,"YAS_BNCHMRK_BOND_PX="&amp;Z24),"--")</f>
        <v>#N/A Requesting Data...</v>
      </c>
      <c r="AB24" s="19" t="str">
        <f>IFERROR(_xll.BDP(E24&amp;" Corp","BLOOMBERG_MID_G_SPREAD","YAS_BOND_PX="&amp;X24,"YAS_BNCHMRK_BOND_PX="&amp;Z24),"--")</f>
        <v>#N/A Requesting Data...</v>
      </c>
      <c r="AC24" s="19" t="str">
        <f>IFERROR(_xll.BDP(D24,"LAST_PRICE"),"--")</f>
        <v>#N/A Requesting Data...</v>
      </c>
      <c r="AD24" s="20"/>
      <c r="AE24" s="19" t="str">
        <f t="shared" si="0"/>
        <v>#N/A Requesting Data...</v>
      </c>
      <c r="AF24" s="19" t="str">
        <f t="shared" si="1"/>
        <v>--</v>
      </c>
      <c r="AG24" s="21" t="str">
        <f t="shared" si="2"/>
        <v>--</v>
      </c>
      <c r="AH24" s="19" t="str">
        <f t="shared" si="3"/>
        <v>--</v>
      </c>
    </row>
    <row r="25" spans="1:34" x14ac:dyDescent="0.45">
      <c r="A25" s="7" t="s">
        <v>121</v>
      </c>
      <c r="B25" s="8" t="s">
        <v>117</v>
      </c>
      <c r="C25" s="7" t="s">
        <v>122</v>
      </c>
      <c r="D25" s="8" t="s">
        <v>123</v>
      </c>
      <c r="E25" s="8" t="s">
        <v>124</v>
      </c>
      <c r="F25" s="9">
        <v>45659</v>
      </c>
      <c r="G25" s="9">
        <v>46226</v>
      </c>
      <c r="H25" s="9">
        <v>48568</v>
      </c>
      <c r="I25" s="10">
        <v>152.90879821777341</v>
      </c>
      <c r="J25" s="10">
        <v>124.33249664306641</v>
      </c>
      <c r="K25" s="10">
        <v>167.91</v>
      </c>
      <c r="L25" s="10">
        <v>175.38900000000001</v>
      </c>
      <c r="M25" s="11">
        <v>390</v>
      </c>
      <c r="N25" s="12">
        <v>-15.001201782226561</v>
      </c>
      <c r="O25" s="13">
        <v>-47.108898315429677</v>
      </c>
      <c r="P25" s="13">
        <v>6.0702023925781248</v>
      </c>
      <c r="Q25" s="13">
        <v>-20.59334530295348</v>
      </c>
      <c r="R25" s="14">
        <v>60.37653158051296</v>
      </c>
      <c r="S25" s="13">
        <v>-43.57750335693359</v>
      </c>
      <c r="T25" s="13">
        <v>-69.568005004882821</v>
      </c>
      <c r="U25" s="13">
        <v>-7.6843934326171848</v>
      </c>
      <c r="V25" s="13">
        <v>-40.930106249373992</v>
      </c>
      <c r="W25" s="15">
        <v>41.999005855691507</v>
      </c>
      <c r="X25" s="16" t="str">
        <f>IFERROR(_xll.BDP(E25&amp;" Corp","LAST_PRICE"),"--")</f>
        <v>#N/A Requesting Data...</v>
      </c>
      <c r="Y25" s="17" t="str">
        <f>IFERROR(_xll.BDP(E25&amp;" Corp","YAS_BENCHMARK_BOND_ISIN"),"--")</f>
        <v>#N/A Requesting Data...</v>
      </c>
      <c r="Z25" s="18" t="str">
        <f>IFERROR(_xll.BDP(Y25&amp;" CORP","LAST_PRICE"),"--")</f>
        <v>#N/A Requesting Data... CORP</v>
      </c>
      <c r="AA25" s="19" t="str">
        <f>IFERROR(_xll.BDP(E25&amp;" Corp","YAS_YLD_SPREAD","YAS_BOND_PX="&amp;X25,"YAS_BNCHMRK_BOND_PX="&amp;Z25),"--")</f>
        <v>#N/A Requesting Data...</v>
      </c>
      <c r="AB25" s="19" t="str">
        <f>IFERROR(_xll.BDP(E25&amp;" Corp","BLOOMBERG_MID_G_SPREAD","YAS_BOND_PX="&amp;X25,"YAS_BNCHMRK_BOND_PX="&amp;Z25),"--")</f>
        <v>#N/A Requesting Data...</v>
      </c>
      <c r="AC25" s="19" t="str">
        <f>IFERROR(_xll.BDP(D25,"LAST_PRICE"),"--")</f>
        <v>#N/A Requesting Data...</v>
      </c>
      <c r="AD25" s="20"/>
      <c r="AE25" s="19" t="str">
        <f t="shared" si="0"/>
        <v>#N/A Requesting Data...</v>
      </c>
      <c r="AF25" s="19" t="str">
        <f t="shared" si="1"/>
        <v>--</v>
      </c>
      <c r="AG25" s="21" t="str">
        <f t="shared" si="2"/>
        <v>--</v>
      </c>
      <c r="AH25" s="19" t="str">
        <f t="shared" si="3"/>
        <v>--</v>
      </c>
    </row>
    <row r="26" spans="1:34" x14ac:dyDescent="0.45">
      <c r="A26" s="22" t="s">
        <v>125</v>
      </c>
      <c r="B26" s="23" t="s">
        <v>117</v>
      </c>
      <c r="C26" s="22" t="s">
        <v>126</v>
      </c>
      <c r="D26" s="23" t="s">
        <v>127</v>
      </c>
      <c r="E26" s="23" t="s">
        <v>128</v>
      </c>
      <c r="F26" s="24">
        <v>45659</v>
      </c>
      <c r="G26" s="24">
        <v>46226</v>
      </c>
      <c r="H26" s="24">
        <v>48568</v>
      </c>
      <c r="I26" s="25">
        <v>261.23300170898438</v>
      </c>
      <c r="J26" s="25">
        <v>246.3327941894531</v>
      </c>
      <c r="K26" s="25">
        <v>291.04500000000002</v>
      </c>
      <c r="L26" s="25">
        <v>294.65600000000001</v>
      </c>
      <c r="M26" s="26">
        <v>389</v>
      </c>
      <c r="N26" s="27">
        <v>-29.811998291015641</v>
      </c>
      <c r="O26" s="28">
        <v>-173.22699475097659</v>
      </c>
      <c r="P26" s="28">
        <v>-6.5943894042968623</v>
      </c>
      <c r="Q26" s="28">
        <v>-112.8640797307424</v>
      </c>
      <c r="R26" s="29">
        <v>86.066587125362133</v>
      </c>
      <c r="S26" s="28">
        <v>-44.712205810546891</v>
      </c>
      <c r="T26" s="28">
        <v>-183.81000256347659</v>
      </c>
      <c r="U26" s="28">
        <v>-21.585997070312491</v>
      </c>
      <c r="V26" s="28">
        <v>-122.084143418339</v>
      </c>
      <c r="W26" s="30">
        <v>85.744274609710018</v>
      </c>
      <c r="X26" s="16" t="str">
        <f>IFERROR(_xll.BDP(E26&amp;" Corp","LAST_PRICE"),"--")</f>
        <v>#N/A Requesting Data...</v>
      </c>
      <c r="Y26" s="17" t="str">
        <f>IFERROR(_xll.BDP(E26&amp;" Corp","YAS_BENCHMARK_BOND_ISIN"),"--")</f>
        <v>#N/A Requesting Data...</v>
      </c>
      <c r="Z26" s="18" t="str">
        <f>IFERROR(_xll.BDP(Y26&amp;" CORP","LAST_PRICE"),"--")</f>
        <v>#N/A Requesting Data... CORP</v>
      </c>
      <c r="AA26" s="19" t="str">
        <f>IFERROR(_xll.BDP(E26&amp;" Corp","YAS_YLD_SPREAD","YAS_BOND_PX="&amp;X26,"YAS_BNCHMRK_BOND_PX="&amp;Z26),"--")</f>
        <v>#N/A Requesting Data...</v>
      </c>
      <c r="AB26" s="19" t="str">
        <f>IFERROR(_xll.BDP(E26&amp;" Corp","BLOOMBERG_MID_G_SPREAD","YAS_BOND_PX="&amp;X26,"YAS_BNCHMRK_BOND_PX="&amp;Z26),"--")</f>
        <v>#N/A Requesting Data...</v>
      </c>
      <c r="AC26" s="19" t="str">
        <f>IFERROR(_xll.BDP(D26,"LAST_PRICE"),"--")</f>
        <v>#N/A Requesting Data...</v>
      </c>
      <c r="AD26" s="20"/>
      <c r="AE26" s="19" t="str">
        <f t="shared" si="0"/>
        <v>#N/A Requesting Data...</v>
      </c>
      <c r="AF26" s="19" t="str">
        <f t="shared" si="1"/>
        <v>--</v>
      </c>
      <c r="AG26" s="21" t="str">
        <f t="shared" si="2"/>
        <v>--</v>
      </c>
      <c r="AH26" s="19" t="str">
        <f t="shared" si="3"/>
        <v>--</v>
      </c>
    </row>
    <row r="27" spans="1:34" x14ac:dyDescent="0.45">
      <c r="A27" s="7" t="s">
        <v>129</v>
      </c>
      <c r="B27" s="8" t="s">
        <v>117</v>
      </c>
      <c r="C27" s="7" t="s">
        <v>130</v>
      </c>
      <c r="D27" s="8" t="s">
        <v>131</v>
      </c>
      <c r="E27" s="8" t="s">
        <v>132</v>
      </c>
      <c r="F27" s="9">
        <v>45908</v>
      </c>
      <c r="G27" s="9">
        <v>46226</v>
      </c>
      <c r="H27" s="9">
        <v>48933</v>
      </c>
      <c r="I27" s="10">
        <v>170.26170349121091</v>
      </c>
      <c r="J27" s="10">
        <v>117.74900054931641</v>
      </c>
      <c r="K27" s="10">
        <v>154.6</v>
      </c>
      <c r="L27" s="10">
        <v>139.40199999999999</v>
      </c>
      <c r="M27" s="11">
        <v>220</v>
      </c>
      <c r="N27" s="12">
        <v>15.66170349121094</v>
      </c>
      <c r="O27" s="13">
        <v>-83.641500244140616</v>
      </c>
      <c r="P27" s="13">
        <v>15.66170349121094</v>
      </c>
      <c r="Q27" s="13">
        <v>-25.443090121737391</v>
      </c>
      <c r="R27" s="14">
        <v>100</v>
      </c>
      <c r="S27" s="13">
        <v>-36.850999450683588</v>
      </c>
      <c r="T27" s="13">
        <v>-111.0579965209961</v>
      </c>
      <c r="U27" s="13">
        <v>-32.725803710937498</v>
      </c>
      <c r="V27" s="13">
        <v>-63.202886194957387</v>
      </c>
      <c r="W27" s="15">
        <v>94.733715996245706</v>
      </c>
      <c r="X27" s="16" t="str">
        <f>IFERROR(_xll.BDP(E27&amp;" Corp","LAST_PRICE"),"--")</f>
        <v>#N/A Requesting Data...</v>
      </c>
      <c r="Y27" s="17" t="str">
        <f>IFERROR(_xll.BDP(E27&amp;" Corp","YAS_BENCHMARK_BOND_ISIN"),"--")</f>
        <v>#N/A Requesting Data...</v>
      </c>
      <c r="Z27" s="18" t="str">
        <f>IFERROR(_xll.BDP(Y27&amp;" CORP","LAST_PRICE"),"--")</f>
        <v>#N/A Requesting Data... CORP</v>
      </c>
      <c r="AA27" s="19" t="str">
        <f>IFERROR(_xll.BDP(E27&amp;" Corp","YAS_YLD_SPREAD","YAS_BOND_PX="&amp;X27,"YAS_BNCHMRK_BOND_PX="&amp;Z27),"--")</f>
        <v>#N/A Requesting Data...</v>
      </c>
      <c r="AB27" s="19" t="str">
        <f>IFERROR(_xll.BDP(E27&amp;" Corp","BLOOMBERG_MID_G_SPREAD","YAS_BOND_PX="&amp;X27,"YAS_BNCHMRK_BOND_PX="&amp;Z27),"--")</f>
        <v>#N/A Requesting Data...</v>
      </c>
      <c r="AC27" s="19" t="str">
        <f>IFERROR(_xll.BDP(D27,"LAST_PRICE"),"--")</f>
        <v>#N/A Requesting Data...</v>
      </c>
      <c r="AD27" s="20"/>
      <c r="AE27" s="19" t="str">
        <f t="shared" si="0"/>
        <v>#N/A Requesting Data...</v>
      </c>
      <c r="AF27" s="19" t="str">
        <f t="shared" si="1"/>
        <v>--</v>
      </c>
      <c r="AG27" s="21" t="str">
        <f t="shared" si="2"/>
        <v>--</v>
      </c>
      <c r="AH27" s="19" t="str">
        <f t="shared" si="3"/>
        <v>--</v>
      </c>
    </row>
    <row r="28" spans="1:34" x14ac:dyDescent="0.45">
      <c r="A28" s="22" t="s">
        <v>133</v>
      </c>
      <c r="B28" s="23" t="s">
        <v>117</v>
      </c>
      <c r="C28" s="22" t="s">
        <v>134</v>
      </c>
      <c r="D28" s="23" t="s">
        <v>135</v>
      </c>
      <c r="E28" s="23" t="s">
        <v>136</v>
      </c>
      <c r="F28" s="24">
        <v>45723</v>
      </c>
      <c r="G28" s="24">
        <v>46226</v>
      </c>
      <c r="H28" s="24">
        <v>48750</v>
      </c>
      <c r="I28" s="25">
        <v>105.40940093994141</v>
      </c>
      <c r="J28" s="25">
        <v>81.852203369140625</v>
      </c>
      <c r="K28" s="25">
        <v>165.00299999999999</v>
      </c>
      <c r="L28" s="25">
        <v>168.744</v>
      </c>
      <c r="M28" s="26">
        <v>349</v>
      </c>
      <c r="N28" s="27">
        <v>-59.59359906005858</v>
      </c>
      <c r="O28" s="28">
        <v>-112.3486982421875</v>
      </c>
      <c r="P28" s="28">
        <v>-19.921607177734391</v>
      </c>
      <c r="Q28" s="28">
        <v>-71.522716478407901</v>
      </c>
      <c r="R28" s="29">
        <v>57.077528433022593</v>
      </c>
      <c r="S28" s="28">
        <v>-83.150796630859361</v>
      </c>
      <c r="T28" s="28">
        <v>-132.12030468750001</v>
      </c>
      <c r="U28" s="28">
        <v>-34.064704101562512</v>
      </c>
      <c r="V28" s="28">
        <v>-96.284061571393693</v>
      </c>
      <c r="W28" s="30">
        <v>49.940551854274737</v>
      </c>
      <c r="X28" s="16" t="str">
        <f>IFERROR(_xll.BDP(E28&amp;" Corp","LAST_PRICE"),"--")</f>
        <v>#N/A Requesting Data...</v>
      </c>
      <c r="Y28" s="17" t="str">
        <f>IFERROR(_xll.BDP(E28&amp;" Corp","YAS_BENCHMARK_BOND_ISIN"),"--")</f>
        <v>#N/A Requesting Data...</v>
      </c>
      <c r="Z28" s="18" t="str">
        <f>IFERROR(_xll.BDP(Y28&amp;" CORP","LAST_PRICE"),"--")</f>
        <v>#N/A Requesting Data... CORP</v>
      </c>
      <c r="AA28" s="19" t="str">
        <f>IFERROR(_xll.BDP(E28&amp;" Corp","YAS_YLD_SPREAD","YAS_BOND_PX="&amp;X28,"YAS_BNCHMRK_BOND_PX="&amp;Z28),"--")</f>
        <v>#N/A Requesting Data...</v>
      </c>
      <c r="AB28" s="19" t="str">
        <f>IFERROR(_xll.BDP(E28&amp;" Corp","BLOOMBERG_MID_G_SPREAD","YAS_BOND_PX="&amp;X28,"YAS_BNCHMRK_BOND_PX="&amp;Z28),"--")</f>
        <v>#N/A Requesting Data...</v>
      </c>
      <c r="AC28" s="19" t="str">
        <f>IFERROR(_xll.BDP(D28,"LAST_PRICE"),"--")</f>
        <v>#N/A Requesting Data...</v>
      </c>
      <c r="AD28" s="20"/>
      <c r="AE28" s="19" t="str">
        <f t="shared" si="0"/>
        <v>#N/A Requesting Data...</v>
      </c>
      <c r="AF28" s="19" t="str">
        <f t="shared" si="1"/>
        <v>--</v>
      </c>
      <c r="AG28" s="21" t="str">
        <f t="shared" si="2"/>
        <v>--</v>
      </c>
      <c r="AH28" s="19" t="str">
        <f t="shared" si="3"/>
        <v>--</v>
      </c>
    </row>
    <row r="29" spans="1:34" x14ac:dyDescent="0.45">
      <c r="A29" s="7" t="s">
        <v>137</v>
      </c>
      <c r="B29" s="8" t="s">
        <v>117</v>
      </c>
      <c r="C29" s="7" t="s">
        <v>138</v>
      </c>
      <c r="D29" s="8" t="s">
        <v>139</v>
      </c>
      <c r="E29" s="8" t="s">
        <v>140</v>
      </c>
      <c r="F29" s="9">
        <v>45659</v>
      </c>
      <c r="G29" s="9">
        <v>46226</v>
      </c>
      <c r="H29" s="9">
        <v>48202</v>
      </c>
      <c r="I29" s="10">
        <v>90.517402648925781</v>
      </c>
      <c r="J29" s="10">
        <v>82.232597351074219</v>
      </c>
      <c r="K29" s="10">
        <v>66.600999999999999</v>
      </c>
      <c r="L29" s="10">
        <v>68.100999999999999</v>
      </c>
      <c r="M29" s="11">
        <v>389</v>
      </c>
      <c r="N29" s="12">
        <v>23.916402648925779</v>
      </c>
      <c r="O29" s="13">
        <v>-71.926797302246086</v>
      </c>
      <c r="P29" s="13">
        <v>41.950697448730473</v>
      </c>
      <c r="Q29" s="13">
        <v>-33.165726816839303</v>
      </c>
      <c r="R29" s="14">
        <v>84.163425056687913</v>
      </c>
      <c r="S29" s="13">
        <v>15.63159735107422</v>
      </c>
      <c r="T29" s="13">
        <v>-76.603097351074211</v>
      </c>
      <c r="U29" s="13">
        <v>32.627699401855473</v>
      </c>
      <c r="V29" s="13">
        <v>-40.191085100267109</v>
      </c>
      <c r="W29" s="15">
        <v>84.440192183872</v>
      </c>
      <c r="X29" s="16" t="str">
        <f>IFERROR(_xll.BDP(E29&amp;" Corp","LAST_PRICE"),"--")</f>
        <v>#N/A Requesting Data...</v>
      </c>
      <c r="Y29" s="17" t="str">
        <f>IFERROR(_xll.BDP(E29&amp;" Corp","YAS_BENCHMARK_BOND_ISIN"),"--")</f>
        <v>#N/A Requesting Data...</v>
      </c>
      <c r="Z29" s="18" t="str">
        <f>IFERROR(_xll.BDP(Y29&amp;" CORP","LAST_PRICE"),"--")</f>
        <v>#N/A Requesting Data... CORP</v>
      </c>
      <c r="AA29" s="19" t="str">
        <f>IFERROR(_xll.BDP(E29&amp;" Corp","YAS_YLD_SPREAD","YAS_BOND_PX="&amp;X29,"YAS_BNCHMRK_BOND_PX="&amp;Z29),"--")</f>
        <v>#N/A Requesting Data...</v>
      </c>
      <c r="AB29" s="19" t="str">
        <f>IFERROR(_xll.BDP(E29&amp;" Corp","BLOOMBERG_MID_G_SPREAD","YAS_BOND_PX="&amp;X29,"YAS_BNCHMRK_BOND_PX="&amp;Z29),"--")</f>
        <v>#N/A Requesting Data...</v>
      </c>
      <c r="AC29" s="19" t="str">
        <f>IFERROR(_xll.BDP(D29,"LAST_PRICE"),"--")</f>
        <v>#N/A Requesting Data...</v>
      </c>
      <c r="AD29" s="20"/>
      <c r="AE29" s="19" t="str">
        <f t="shared" si="0"/>
        <v>#N/A Requesting Data...</v>
      </c>
      <c r="AF29" s="19" t="str">
        <f t="shared" si="1"/>
        <v>--</v>
      </c>
      <c r="AG29" s="21" t="str">
        <f t="shared" si="2"/>
        <v>--</v>
      </c>
      <c r="AH29" s="19" t="str">
        <f t="shared" si="3"/>
        <v>--</v>
      </c>
    </row>
    <row r="30" spans="1:34" x14ac:dyDescent="0.45">
      <c r="A30" s="22" t="s">
        <v>141</v>
      </c>
      <c r="B30" s="23" t="s">
        <v>117</v>
      </c>
      <c r="C30" s="22" t="s">
        <v>142</v>
      </c>
      <c r="D30" s="23" t="s">
        <v>143</v>
      </c>
      <c r="E30" s="23" t="s">
        <v>144</v>
      </c>
      <c r="F30" s="24">
        <v>46106</v>
      </c>
      <c r="G30" s="24">
        <v>46226</v>
      </c>
      <c r="H30" s="24">
        <v>48750</v>
      </c>
      <c r="I30" s="25">
        <v>436.32620239257813</v>
      </c>
      <c r="J30" s="25">
        <v>398.9180908203125</v>
      </c>
      <c r="K30" s="25">
        <v>343.31700000000001</v>
      </c>
      <c r="L30" s="25">
        <v>340.07600000000002</v>
      </c>
      <c r="M30" s="26">
        <v>84</v>
      </c>
      <c r="N30" s="27">
        <v>93.009202392578118</v>
      </c>
      <c r="O30" s="28">
        <v>8.7019128417968545</v>
      </c>
      <c r="P30" s="28">
        <v>131.86389843750001</v>
      </c>
      <c r="Q30" s="28">
        <v>65.526883914039246</v>
      </c>
      <c r="R30" s="29">
        <v>68.452363075350235</v>
      </c>
      <c r="S30" s="28">
        <v>55.601090820312493</v>
      </c>
      <c r="T30" s="28">
        <v>-21.954085693359389</v>
      </c>
      <c r="U30" s="28">
        <v>70.693793457031234</v>
      </c>
      <c r="V30" s="28">
        <v>26.095540835425961</v>
      </c>
      <c r="W30" s="30">
        <v>83.709608061054993</v>
      </c>
      <c r="X30" s="16" t="str">
        <f>IFERROR(_xll.BDP(E30&amp;" Corp","LAST_PRICE"),"--")</f>
        <v>#N/A Requesting Data...</v>
      </c>
      <c r="Y30" s="17" t="str">
        <f>IFERROR(_xll.BDP(E30&amp;" Corp","YAS_BENCHMARK_BOND_ISIN"),"--")</f>
        <v>#N/A Requesting Data...</v>
      </c>
      <c r="Z30" s="18" t="str">
        <f>IFERROR(_xll.BDP(Y30&amp;" CORP","LAST_PRICE"),"--")</f>
        <v>#N/A Requesting Data... CORP</v>
      </c>
      <c r="AA30" s="19" t="str">
        <f>IFERROR(_xll.BDP(E30&amp;" Corp","YAS_YLD_SPREAD","YAS_BOND_PX="&amp;X30,"YAS_BNCHMRK_BOND_PX="&amp;Z30),"--")</f>
        <v>#N/A Requesting Data...</v>
      </c>
      <c r="AB30" s="19" t="str">
        <f>IFERROR(_xll.BDP(E30&amp;" Corp","BLOOMBERG_MID_G_SPREAD","YAS_BOND_PX="&amp;X30,"YAS_BNCHMRK_BOND_PX="&amp;Z30),"--")</f>
        <v>#N/A Requesting Data...</v>
      </c>
      <c r="AC30" s="19" t="str">
        <f>IFERROR(_xll.BDP(D30,"LAST_PRICE"),"--")</f>
        <v>#N/A Requesting Data...</v>
      </c>
      <c r="AD30" s="20"/>
      <c r="AE30" s="19" t="str">
        <f t="shared" si="0"/>
        <v>#N/A Requesting Data...</v>
      </c>
      <c r="AF30" s="19" t="str">
        <f t="shared" si="1"/>
        <v>--</v>
      </c>
      <c r="AG30" s="21" t="str">
        <f t="shared" si="2"/>
        <v>--</v>
      </c>
      <c r="AH30" s="19" t="str">
        <f t="shared" si="3"/>
        <v>--</v>
      </c>
    </row>
    <row r="31" spans="1:34" x14ac:dyDescent="0.45">
      <c r="A31" s="7" t="s">
        <v>145</v>
      </c>
      <c r="B31" s="8" t="s">
        <v>117</v>
      </c>
      <c r="C31" s="7" t="s">
        <v>146</v>
      </c>
      <c r="D31" s="8" t="s">
        <v>147</v>
      </c>
      <c r="E31" s="8" t="s">
        <v>148</v>
      </c>
      <c r="F31" s="9">
        <v>45659</v>
      </c>
      <c r="G31" s="9">
        <v>46226</v>
      </c>
      <c r="H31" s="9">
        <v>48202</v>
      </c>
      <c r="I31" s="10">
        <v>111.4766006469727</v>
      </c>
      <c r="J31" s="10">
        <v>100.2544021606445</v>
      </c>
      <c r="K31" s="10">
        <v>159.79599999999999</v>
      </c>
      <c r="L31" s="10">
        <v>164.49600000000001</v>
      </c>
      <c r="M31" s="11">
        <v>389</v>
      </c>
      <c r="N31" s="12">
        <v>-48.319399353027343</v>
      </c>
      <c r="O31" s="13">
        <v>-113.7142993164063</v>
      </c>
      <c r="P31" s="13">
        <v>-6.5323903808593968</v>
      </c>
      <c r="Q31" s="13">
        <v>-52.826872833644209</v>
      </c>
      <c r="R31" s="14">
        <v>61.013001739597406</v>
      </c>
      <c r="S31" s="13">
        <v>-59.541597839355461</v>
      </c>
      <c r="T31" s="13">
        <v>-120.5778018188477</v>
      </c>
      <c r="U31" s="13">
        <v>-17.20940454101563</v>
      </c>
      <c r="V31" s="13">
        <v>-62.209437505805411</v>
      </c>
      <c r="W31" s="15">
        <v>59.047257756584933</v>
      </c>
      <c r="X31" s="16" t="str">
        <f>IFERROR(_xll.BDP(E31&amp;" Corp","LAST_PRICE"),"--")</f>
        <v>#N/A Requesting Data...</v>
      </c>
      <c r="Y31" s="17" t="str">
        <f>IFERROR(_xll.BDP(E31&amp;" Corp","YAS_BENCHMARK_BOND_ISIN"),"--")</f>
        <v>#N/A Requesting Data...</v>
      </c>
      <c r="Z31" s="18" t="str">
        <f>IFERROR(_xll.BDP(Y31&amp;" CORP","LAST_PRICE"),"--")</f>
        <v>#N/A Requesting Data... CORP</v>
      </c>
      <c r="AA31" s="19" t="str">
        <f>IFERROR(_xll.BDP(E31&amp;" Corp","YAS_YLD_SPREAD","YAS_BOND_PX="&amp;X31,"YAS_BNCHMRK_BOND_PX="&amp;Z31),"--")</f>
        <v>#N/A Requesting Data...</v>
      </c>
      <c r="AB31" s="19" t="str">
        <f>IFERROR(_xll.BDP(E31&amp;" Corp","BLOOMBERG_MID_G_SPREAD","YAS_BOND_PX="&amp;X31,"YAS_BNCHMRK_BOND_PX="&amp;Z31),"--")</f>
        <v>#N/A Requesting Data...</v>
      </c>
      <c r="AC31" s="19" t="str">
        <f>IFERROR(_xll.BDP(D31,"LAST_PRICE"),"--")</f>
        <v>#N/A Requesting Data...</v>
      </c>
      <c r="AD31" s="20"/>
      <c r="AE31" s="19" t="str">
        <f t="shared" si="0"/>
        <v>#N/A Requesting Data...</v>
      </c>
      <c r="AF31" s="19" t="str">
        <f t="shared" si="1"/>
        <v>--</v>
      </c>
      <c r="AG31" s="21" t="str">
        <f t="shared" si="2"/>
        <v>--</v>
      </c>
      <c r="AH31" s="19" t="str">
        <f t="shared" si="3"/>
        <v>--</v>
      </c>
    </row>
    <row r="32" spans="1:34" x14ac:dyDescent="0.45">
      <c r="A32" s="22" t="s">
        <v>149</v>
      </c>
      <c r="B32" s="23" t="s">
        <v>117</v>
      </c>
      <c r="C32" s="22" t="s">
        <v>150</v>
      </c>
      <c r="D32" s="23" t="s">
        <v>151</v>
      </c>
      <c r="E32" s="23" t="s">
        <v>152</v>
      </c>
      <c r="F32" s="24">
        <v>45919</v>
      </c>
      <c r="G32" s="24">
        <v>46226</v>
      </c>
      <c r="H32" s="24">
        <v>48933</v>
      </c>
      <c r="I32" s="25">
        <v>428.17449951171881</v>
      </c>
      <c r="J32" s="25">
        <v>325.00048828125</v>
      </c>
      <c r="K32" s="25">
        <v>355.45100000000002</v>
      </c>
      <c r="L32" s="25">
        <v>346.46600000000001</v>
      </c>
      <c r="M32" s="26">
        <v>211</v>
      </c>
      <c r="N32" s="27">
        <v>72.723499511718728</v>
      </c>
      <c r="O32" s="28">
        <v>3.0100915527343659</v>
      </c>
      <c r="P32" s="28">
        <v>104.10889038085929</v>
      </c>
      <c r="Q32" s="28">
        <v>56.650633019614567</v>
      </c>
      <c r="R32" s="29">
        <v>68.955723279662323</v>
      </c>
      <c r="S32" s="28">
        <v>-30.450511718750018</v>
      </c>
      <c r="T32" s="28">
        <v>-78.597491210937505</v>
      </c>
      <c r="U32" s="28">
        <v>26.254186523437511</v>
      </c>
      <c r="V32" s="28">
        <v>-31.549409849627882</v>
      </c>
      <c r="W32" s="30">
        <v>45.91913122664586</v>
      </c>
      <c r="X32" s="16" t="str">
        <f>IFERROR(_xll.BDP(E32&amp;" Corp","LAST_PRICE"),"--")</f>
        <v>#N/A Requesting Data...</v>
      </c>
      <c r="Y32" s="17" t="str">
        <f>IFERROR(_xll.BDP(E32&amp;" Corp","YAS_BENCHMARK_BOND_ISIN"),"--")</f>
        <v>#N/A Requesting Data...</v>
      </c>
      <c r="Z32" s="18" t="str">
        <f>IFERROR(_xll.BDP(Y32&amp;" CORP","LAST_PRICE"),"--")</f>
        <v>#N/A Requesting Data... CORP</v>
      </c>
      <c r="AA32" s="19" t="str">
        <f>IFERROR(_xll.BDP(E32&amp;" Corp","YAS_YLD_SPREAD","YAS_BOND_PX="&amp;X32,"YAS_BNCHMRK_BOND_PX="&amp;Z32),"--")</f>
        <v>#N/A Requesting Data...</v>
      </c>
      <c r="AB32" s="19" t="str">
        <f>IFERROR(_xll.BDP(E32&amp;" Corp","BLOOMBERG_MID_G_SPREAD","YAS_BOND_PX="&amp;X32,"YAS_BNCHMRK_BOND_PX="&amp;Z32),"--")</f>
        <v>#N/A Requesting Data...</v>
      </c>
      <c r="AC32" s="19" t="str">
        <f>IFERROR(_xll.BDP(D32,"LAST_PRICE"),"--")</f>
        <v>#N/A Requesting Data...</v>
      </c>
      <c r="AD32" s="20"/>
      <c r="AE32" s="19" t="str">
        <f t="shared" si="0"/>
        <v>#N/A Requesting Data...</v>
      </c>
      <c r="AF32" s="19" t="str">
        <f t="shared" si="1"/>
        <v>--</v>
      </c>
      <c r="AG32" s="21" t="str">
        <f t="shared" si="2"/>
        <v>--</v>
      </c>
      <c r="AH32" s="19" t="str">
        <f t="shared" si="3"/>
        <v>--</v>
      </c>
    </row>
    <row r="33" spans="1:34" x14ac:dyDescent="0.45">
      <c r="A33" s="7" t="s">
        <v>153</v>
      </c>
      <c r="B33" s="8" t="s">
        <v>117</v>
      </c>
      <c r="C33" s="7" t="s">
        <v>154</v>
      </c>
      <c r="D33" s="8" t="s">
        <v>155</v>
      </c>
      <c r="E33" s="8" t="s">
        <v>156</v>
      </c>
      <c r="F33" s="9">
        <v>45876</v>
      </c>
      <c r="G33" s="9">
        <v>46226</v>
      </c>
      <c r="H33" s="9">
        <v>48933</v>
      </c>
      <c r="I33" s="10">
        <v>104.9085998535156</v>
      </c>
      <c r="J33" s="10">
        <v>84.508796691894531</v>
      </c>
      <c r="K33" s="10">
        <v>102.593</v>
      </c>
      <c r="L33" s="10">
        <v>92.869</v>
      </c>
      <c r="M33" s="11">
        <v>241</v>
      </c>
      <c r="N33" s="12">
        <v>2.315599853515621</v>
      </c>
      <c r="O33" s="13">
        <v>-40.743496643066408</v>
      </c>
      <c r="P33" s="13">
        <v>9.911596374511717</v>
      </c>
      <c r="Q33" s="13">
        <v>-11.2253568743314</v>
      </c>
      <c r="R33" s="14">
        <v>85.004476216517531</v>
      </c>
      <c r="S33" s="13">
        <v>-18.084203308105469</v>
      </c>
      <c r="T33" s="13">
        <v>-58.238201721191423</v>
      </c>
      <c r="U33" s="13">
        <v>-6.4980030517578058</v>
      </c>
      <c r="V33" s="13">
        <v>-29.617470524324919</v>
      </c>
      <c r="W33" s="15">
        <v>77.606966045160533</v>
      </c>
      <c r="X33" s="16" t="str">
        <f>IFERROR(_xll.BDP(E33&amp;" Corp","LAST_PRICE"),"--")</f>
        <v>#N/A Requesting Data...</v>
      </c>
      <c r="Y33" s="17" t="str">
        <f>IFERROR(_xll.BDP(E33&amp;" Corp","YAS_BENCHMARK_BOND_ISIN"),"--")</f>
        <v>#N/A Requesting Data...</v>
      </c>
      <c r="Z33" s="18" t="str">
        <f>IFERROR(_xll.BDP(Y33&amp;" CORP","LAST_PRICE"),"--")</f>
        <v>#N/A Requesting Data... CORP</v>
      </c>
      <c r="AA33" s="19" t="str">
        <f>IFERROR(_xll.BDP(E33&amp;" Corp","YAS_YLD_SPREAD","YAS_BOND_PX="&amp;X33,"YAS_BNCHMRK_BOND_PX="&amp;Z33),"--")</f>
        <v>#N/A Requesting Data...</v>
      </c>
      <c r="AB33" s="19" t="str">
        <f>IFERROR(_xll.BDP(E33&amp;" Corp","BLOOMBERG_MID_G_SPREAD","YAS_BOND_PX="&amp;X33,"YAS_BNCHMRK_BOND_PX="&amp;Z33),"--")</f>
        <v>#N/A Requesting Data...</v>
      </c>
      <c r="AC33" s="19" t="str">
        <f>IFERROR(_xll.BDP(D33,"LAST_PRICE"),"--")</f>
        <v>#N/A Requesting Data...</v>
      </c>
      <c r="AD33" s="20"/>
      <c r="AE33" s="19" t="str">
        <f t="shared" si="0"/>
        <v>#N/A Requesting Data...</v>
      </c>
      <c r="AF33" s="19" t="str">
        <f t="shared" si="1"/>
        <v>--</v>
      </c>
      <c r="AG33" s="21" t="str">
        <f t="shared" si="2"/>
        <v>--</v>
      </c>
      <c r="AH33" s="19" t="str">
        <f t="shared" si="3"/>
        <v>--</v>
      </c>
    </row>
    <row r="34" spans="1:34" x14ac:dyDescent="0.45">
      <c r="A34" s="22" t="s">
        <v>157</v>
      </c>
      <c r="B34" s="23" t="s">
        <v>117</v>
      </c>
      <c r="C34" s="22" t="s">
        <v>158</v>
      </c>
      <c r="D34" s="23" t="s">
        <v>159</v>
      </c>
      <c r="E34" s="23" t="s">
        <v>160</v>
      </c>
      <c r="F34" s="24">
        <v>45659</v>
      </c>
      <c r="G34" s="24">
        <v>46226</v>
      </c>
      <c r="H34" s="24">
        <v>47837</v>
      </c>
      <c r="I34" s="25">
        <v>162.24969482421881</v>
      </c>
      <c r="J34" s="25">
        <v>181.79200744628909</v>
      </c>
      <c r="K34" s="25">
        <v>162.31800000000001</v>
      </c>
      <c r="L34" s="25">
        <v>162.83099999999999</v>
      </c>
      <c r="M34" s="26">
        <v>385</v>
      </c>
      <c r="N34" s="27">
        <v>-6.8305175781262051E-2</v>
      </c>
      <c r="O34" s="28">
        <v>-72.005693847656261</v>
      </c>
      <c r="P34" s="28">
        <v>25.371505615234351</v>
      </c>
      <c r="Q34" s="28">
        <v>-20.112803389749899</v>
      </c>
      <c r="R34" s="29">
        <v>73.874982099161258</v>
      </c>
      <c r="S34" s="28">
        <v>19.47400744628905</v>
      </c>
      <c r="T34" s="28">
        <v>-58.960696777343742</v>
      </c>
      <c r="U34" s="28">
        <v>47.221603271484348</v>
      </c>
      <c r="V34" s="28">
        <v>-2.6792824050465081</v>
      </c>
      <c r="W34" s="30">
        <v>73.867964988104859</v>
      </c>
      <c r="X34" s="16" t="str">
        <f>IFERROR(_xll.BDP(E34&amp;" Corp","LAST_PRICE"),"--")</f>
        <v>#N/A Requesting Data...</v>
      </c>
      <c r="Y34" s="17" t="str">
        <f>IFERROR(_xll.BDP(E34&amp;" Corp","YAS_BENCHMARK_BOND_ISIN"),"--")</f>
        <v>#N/A Requesting Data...</v>
      </c>
      <c r="Z34" s="18" t="str">
        <f>IFERROR(_xll.BDP(Y34&amp;" CORP","LAST_PRICE"),"--")</f>
        <v>#N/A Requesting Data... CORP</v>
      </c>
      <c r="AA34" s="19" t="str">
        <f>IFERROR(_xll.BDP(E34&amp;" Corp","YAS_YLD_SPREAD","YAS_BOND_PX="&amp;X34,"YAS_BNCHMRK_BOND_PX="&amp;Z34),"--")</f>
        <v>#N/A Requesting Data...</v>
      </c>
      <c r="AB34" s="19" t="str">
        <f>IFERROR(_xll.BDP(E34&amp;" Corp","BLOOMBERG_MID_G_SPREAD","YAS_BOND_PX="&amp;X34,"YAS_BNCHMRK_BOND_PX="&amp;Z34),"--")</f>
        <v>#N/A Requesting Data...</v>
      </c>
      <c r="AC34" s="19" t="str">
        <f>IFERROR(_xll.BDP(D34,"LAST_PRICE"),"--")</f>
        <v>#N/A Requesting Data...</v>
      </c>
      <c r="AD34" s="20"/>
      <c r="AE34" s="19" t="str">
        <f t="shared" si="0"/>
        <v>#N/A Requesting Data...</v>
      </c>
      <c r="AF34" s="19" t="str">
        <f t="shared" si="1"/>
        <v>--</v>
      </c>
      <c r="AG34" s="21" t="str">
        <f t="shared" si="2"/>
        <v>--</v>
      </c>
      <c r="AH34" s="19" t="str">
        <f t="shared" si="3"/>
        <v>--</v>
      </c>
    </row>
    <row r="35" spans="1:34" x14ac:dyDescent="0.45">
      <c r="A35" s="7" t="s">
        <v>161</v>
      </c>
      <c r="B35" s="8" t="s">
        <v>117</v>
      </c>
      <c r="C35" s="7" t="s">
        <v>162</v>
      </c>
      <c r="D35" s="8" t="s">
        <v>163</v>
      </c>
      <c r="E35" s="8" t="s">
        <v>164</v>
      </c>
      <c r="F35" s="9">
        <v>45659</v>
      </c>
      <c r="G35" s="9">
        <v>46226</v>
      </c>
      <c r="H35" s="9">
        <v>48019</v>
      </c>
      <c r="I35" s="10">
        <v>1526.759033203125</v>
      </c>
      <c r="J35" s="10">
        <v>1526.759033203125</v>
      </c>
      <c r="K35" s="10">
        <v>1466.287</v>
      </c>
      <c r="L35" s="10">
        <v>1465.432</v>
      </c>
      <c r="M35" s="11">
        <v>341</v>
      </c>
      <c r="N35" s="12">
        <v>60.472033203124973</v>
      </c>
      <c r="O35" s="13">
        <v>-131.9874414062499</v>
      </c>
      <c r="P35" s="13">
        <v>2146.4224453124998</v>
      </c>
      <c r="Q35" s="13">
        <v>509.79743840353512</v>
      </c>
      <c r="R35" s="14">
        <v>8.447096184547604</v>
      </c>
      <c r="S35" s="13">
        <v>60.472033203124973</v>
      </c>
      <c r="T35" s="13">
        <v>-131.9874414062499</v>
      </c>
      <c r="U35" s="13">
        <v>2146.4224453124998</v>
      </c>
      <c r="V35" s="13">
        <v>509.79743840353512</v>
      </c>
      <c r="W35" s="15">
        <v>8.447096184547604</v>
      </c>
      <c r="X35" s="16" t="str">
        <f>IFERROR(_xll.BDP(E35&amp;" Corp","LAST_PRICE"),"--")</f>
        <v>#N/A Requesting Data...</v>
      </c>
      <c r="Y35" s="17" t="str">
        <f>IFERROR(_xll.BDP(E35&amp;" Corp","YAS_BENCHMARK_BOND_ISIN"),"--")</f>
        <v>#N/A Requesting Data...</v>
      </c>
      <c r="Z35" s="18" t="str">
        <f>IFERROR(_xll.BDP(Y35&amp;" CORP","LAST_PRICE"),"--")</f>
        <v>#N/A Requesting Data... CORP</v>
      </c>
      <c r="AA35" s="19" t="str">
        <f>IFERROR(_xll.BDP(E35&amp;" Corp","YAS_YLD_SPREAD","YAS_BOND_PX="&amp;X35,"YAS_BNCHMRK_BOND_PX="&amp;Z35),"--")</f>
        <v>#N/A Requesting Data...</v>
      </c>
      <c r="AB35" s="19" t="str">
        <f>IFERROR(_xll.BDP(E35&amp;" Corp","BLOOMBERG_MID_G_SPREAD","YAS_BOND_PX="&amp;X35,"YAS_BNCHMRK_BOND_PX="&amp;Z35),"--")</f>
        <v>#N/A Requesting Data...</v>
      </c>
      <c r="AC35" s="19" t="str">
        <f>IFERROR(_xll.BDP(D35,"LAST_PRICE"),"--")</f>
        <v>#N/A Requesting Data...</v>
      </c>
      <c r="AD35" s="20"/>
      <c r="AE35" s="19" t="str">
        <f t="shared" si="0"/>
        <v>#N/A Requesting Data...</v>
      </c>
      <c r="AF35" s="19" t="str">
        <f t="shared" si="1"/>
        <v>--</v>
      </c>
      <c r="AG35" s="21" t="str">
        <f t="shared" si="2"/>
        <v>--</v>
      </c>
      <c r="AH35" s="19" t="str">
        <f t="shared" si="3"/>
        <v>--</v>
      </c>
    </row>
    <row r="36" spans="1:34" x14ac:dyDescent="0.45">
      <c r="A36" s="22" t="s">
        <v>165</v>
      </c>
      <c r="B36" s="23" t="s">
        <v>117</v>
      </c>
      <c r="C36" s="22" t="s">
        <v>166</v>
      </c>
      <c r="D36" s="23" t="s">
        <v>167</v>
      </c>
      <c r="E36" s="23" t="s">
        <v>168</v>
      </c>
      <c r="F36" s="24">
        <v>45659</v>
      </c>
      <c r="G36" s="24">
        <v>46226</v>
      </c>
      <c r="H36" s="24">
        <v>48568</v>
      </c>
      <c r="I36" s="25">
        <v>94.621200561523438</v>
      </c>
      <c r="J36" s="25">
        <v>78.178497314453125</v>
      </c>
      <c r="K36" s="25">
        <v>200.227</v>
      </c>
      <c r="L36" s="25">
        <v>209.24299999999999</v>
      </c>
      <c r="M36" s="26">
        <v>161</v>
      </c>
      <c r="N36" s="27">
        <v>-105.60579943847659</v>
      </c>
      <c r="O36" s="28">
        <v>-138.72679681396491</v>
      </c>
      <c r="P36" s="28">
        <v>-63.569696716308577</v>
      </c>
      <c r="Q36" s="28">
        <v>-101.66956509190911</v>
      </c>
      <c r="R36" s="29">
        <v>44.06901986964921</v>
      </c>
      <c r="S36" s="28">
        <v>-122.04850268554689</v>
      </c>
      <c r="T36" s="28">
        <v>-156.23979663085939</v>
      </c>
      <c r="U36" s="28">
        <v>-72.226900390624991</v>
      </c>
      <c r="V36" s="28">
        <v>-115.62063338730761</v>
      </c>
      <c r="W36" s="30">
        <v>40.69767318524849</v>
      </c>
      <c r="X36" s="16" t="str">
        <f>IFERROR(_xll.BDP(E36&amp;" Corp","LAST_PRICE"),"--")</f>
        <v>#N/A Requesting Data...</v>
      </c>
      <c r="Y36" s="17" t="str">
        <f>IFERROR(_xll.BDP(E36&amp;" Corp","YAS_BENCHMARK_BOND_ISIN"),"--")</f>
        <v>#N/A Requesting Data...</v>
      </c>
      <c r="Z36" s="18" t="str">
        <f>IFERROR(_xll.BDP(Y36&amp;" CORP","LAST_PRICE"),"--")</f>
        <v>#N/A Requesting Data... CORP</v>
      </c>
      <c r="AA36" s="19" t="str">
        <f>IFERROR(_xll.BDP(E36&amp;" Corp","YAS_YLD_SPREAD","YAS_BOND_PX="&amp;X36,"YAS_BNCHMRK_BOND_PX="&amp;Z36),"--")</f>
        <v>#N/A Requesting Data...</v>
      </c>
      <c r="AB36" s="19" t="str">
        <f>IFERROR(_xll.BDP(E36&amp;" Corp","BLOOMBERG_MID_G_SPREAD","YAS_BOND_PX="&amp;X36,"YAS_BNCHMRK_BOND_PX="&amp;Z36),"--")</f>
        <v>#N/A Requesting Data...</v>
      </c>
      <c r="AC36" s="19" t="str">
        <f>IFERROR(_xll.BDP(D36,"LAST_PRICE"),"--")</f>
        <v>#N/A Requesting Data...</v>
      </c>
      <c r="AD36" s="20"/>
      <c r="AE36" s="19" t="str">
        <f t="shared" si="0"/>
        <v>#N/A Requesting Data...</v>
      </c>
      <c r="AF36" s="19" t="str">
        <f t="shared" si="1"/>
        <v>--</v>
      </c>
      <c r="AG36" s="21" t="str">
        <f t="shared" si="2"/>
        <v>--</v>
      </c>
      <c r="AH36" s="19" t="str">
        <f t="shared" si="3"/>
        <v>--</v>
      </c>
    </row>
    <row r="37" spans="1:34" x14ac:dyDescent="0.45">
      <c r="A37" s="7" t="s">
        <v>169</v>
      </c>
      <c r="B37" s="8" t="s">
        <v>117</v>
      </c>
      <c r="C37" s="7" t="s">
        <v>170</v>
      </c>
      <c r="D37" s="8" t="s">
        <v>171</v>
      </c>
      <c r="E37" s="8" t="s">
        <v>172</v>
      </c>
      <c r="F37" s="9">
        <v>45659</v>
      </c>
      <c r="G37" s="9">
        <v>46226</v>
      </c>
      <c r="H37" s="9">
        <v>48202</v>
      </c>
      <c r="I37" s="10">
        <v>104.79029846191411</v>
      </c>
      <c r="J37" s="10">
        <v>93.777198791503906</v>
      </c>
      <c r="K37" s="10">
        <v>133.58699999999999</v>
      </c>
      <c r="L37" s="10">
        <v>132.72499999999999</v>
      </c>
      <c r="M37" s="11">
        <v>389</v>
      </c>
      <c r="N37" s="12">
        <v>-28.79670153808593</v>
      </c>
      <c r="O37" s="13">
        <v>-57.24830249023438</v>
      </c>
      <c r="P37" s="13">
        <v>50.270900878906282</v>
      </c>
      <c r="Q37" s="13">
        <v>-16.241684606713932</v>
      </c>
      <c r="R37" s="14">
        <v>26.46187849296734</v>
      </c>
      <c r="S37" s="13">
        <v>-39.809801208496083</v>
      </c>
      <c r="T37" s="13">
        <v>-65.972698242187505</v>
      </c>
      <c r="U37" s="13">
        <v>31.3814050292969</v>
      </c>
      <c r="V37" s="13">
        <v>-27.23523076655135</v>
      </c>
      <c r="W37" s="15">
        <v>26.873954106210419</v>
      </c>
      <c r="X37" s="16" t="str">
        <f>IFERROR(_xll.BDP(E37&amp;" Corp","LAST_PRICE"),"--")</f>
        <v>#N/A Requesting Data...</v>
      </c>
      <c r="Y37" s="17" t="str">
        <f>IFERROR(_xll.BDP(E37&amp;" Corp","YAS_BENCHMARK_BOND_ISIN"),"--")</f>
        <v>#N/A Requesting Data...</v>
      </c>
      <c r="Z37" s="18" t="str">
        <f>IFERROR(_xll.BDP(Y37&amp;" CORP","LAST_PRICE"),"--")</f>
        <v>#N/A Requesting Data... CORP</v>
      </c>
      <c r="AA37" s="19" t="str">
        <f>IFERROR(_xll.BDP(E37&amp;" Corp","YAS_YLD_SPREAD","YAS_BOND_PX="&amp;X37,"YAS_BNCHMRK_BOND_PX="&amp;Z37),"--")</f>
        <v>#N/A Requesting Data...</v>
      </c>
      <c r="AB37" s="19" t="str">
        <f>IFERROR(_xll.BDP(E37&amp;" Corp","BLOOMBERG_MID_G_SPREAD","YAS_BOND_PX="&amp;X37,"YAS_BNCHMRK_BOND_PX="&amp;Z37),"--")</f>
        <v>#N/A Requesting Data...</v>
      </c>
      <c r="AC37" s="19" t="str">
        <f>IFERROR(_xll.BDP(D37,"LAST_PRICE"),"--")</f>
        <v>#N/A Requesting Data...</v>
      </c>
      <c r="AD37" s="20"/>
      <c r="AE37" s="19" t="str">
        <f t="shared" si="0"/>
        <v>#N/A Requesting Data...</v>
      </c>
      <c r="AF37" s="19" t="str">
        <f t="shared" si="1"/>
        <v>--</v>
      </c>
      <c r="AG37" s="21" t="str">
        <f t="shared" si="2"/>
        <v>--</v>
      </c>
      <c r="AH37" s="19" t="str">
        <f t="shared" si="3"/>
        <v>--</v>
      </c>
    </row>
    <row r="38" spans="1:34" x14ac:dyDescent="0.45">
      <c r="A38" s="22" t="s">
        <v>173</v>
      </c>
      <c r="B38" s="23" t="s">
        <v>117</v>
      </c>
      <c r="C38" s="22" t="s">
        <v>174</v>
      </c>
      <c r="D38" s="23" t="s">
        <v>175</v>
      </c>
      <c r="E38" s="23" t="s">
        <v>176</v>
      </c>
      <c r="F38" s="24">
        <v>45659</v>
      </c>
      <c r="G38" s="24">
        <v>46226</v>
      </c>
      <c r="H38" s="24">
        <v>48019</v>
      </c>
      <c r="I38" s="25">
        <v>119.1306991577148</v>
      </c>
      <c r="J38" s="25">
        <v>119.1306991577148</v>
      </c>
      <c r="K38" s="25">
        <v>132.553</v>
      </c>
      <c r="L38" s="25">
        <v>135.887</v>
      </c>
      <c r="M38" s="26">
        <v>385</v>
      </c>
      <c r="N38" s="27">
        <v>-13.42230084228515</v>
      </c>
      <c r="O38" s="28">
        <v>-83.925098693847644</v>
      </c>
      <c r="P38" s="28">
        <v>1.5844031372070331</v>
      </c>
      <c r="Q38" s="28">
        <v>-38.589838604181473</v>
      </c>
      <c r="R38" s="29">
        <v>82.450249787278992</v>
      </c>
      <c r="S38" s="28">
        <v>-13.42230084228515</v>
      </c>
      <c r="T38" s="28">
        <v>-83.925098693847644</v>
      </c>
      <c r="U38" s="28">
        <v>1.5844031372070331</v>
      </c>
      <c r="V38" s="28">
        <v>-38.589838604181473</v>
      </c>
      <c r="W38" s="30">
        <v>82.450249787278992</v>
      </c>
      <c r="X38" s="16" t="str">
        <f>IFERROR(_xll.BDP(E38&amp;" Corp","LAST_PRICE"),"--")</f>
        <v>#N/A Requesting Data...</v>
      </c>
      <c r="Y38" s="17" t="str">
        <f>IFERROR(_xll.BDP(E38&amp;" Corp","YAS_BENCHMARK_BOND_ISIN"),"--")</f>
        <v>#N/A Requesting Data...</v>
      </c>
      <c r="Z38" s="18" t="str">
        <f>IFERROR(_xll.BDP(Y38&amp;" CORP","LAST_PRICE"),"--")</f>
        <v>#N/A Requesting Data... CORP</v>
      </c>
      <c r="AA38" s="19" t="str">
        <f>IFERROR(_xll.BDP(E38&amp;" Corp","YAS_YLD_SPREAD","YAS_BOND_PX="&amp;X38,"YAS_BNCHMRK_BOND_PX="&amp;Z38),"--")</f>
        <v>#N/A Requesting Data...</v>
      </c>
      <c r="AB38" s="19" t="str">
        <f>IFERROR(_xll.BDP(E38&amp;" Corp","BLOOMBERG_MID_G_SPREAD","YAS_BOND_PX="&amp;X38,"YAS_BNCHMRK_BOND_PX="&amp;Z38),"--")</f>
        <v>#N/A Requesting Data...</v>
      </c>
      <c r="AC38" s="19" t="str">
        <f>IFERROR(_xll.BDP(D38,"LAST_PRICE"),"--")</f>
        <v>#N/A Requesting Data...</v>
      </c>
      <c r="AD38" s="20"/>
      <c r="AE38" s="19" t="str">
        <f t="shared" si="0"/>
        <v>#N/A Requesting Data...</v>
      </c>
      <c r="AF38" s="19" t="str">
        <f t="shared" si="1"/>
        <v>--</v>
      </c>
      <c r="AG38" s="21" t="str">
        <f t="shared" si="2"/>
        <v>--</v>
      </c>
      <c r="AH38" s="19" t="str">
        <f t="shared" si="3"/>
        <v>--</v>
      </c>
    </row>
    <row r="39" spans="1:34" x14ac:dyDescent="0.45">
      <c r="A39" s="7" t="s">
        <v>177</v>
      </c>
      <c r="B39" s="8" t="s">
        <v>117</v>
      </c>
      <c r="C39" s="7" t="s">
        <v>178</v>
      </c>
      <c r="D39" s="8" t="s">
        <v>179</v>
      </c>
      <c r="E39" s="8" t="s">
        <v>180</v>
      </c>
      <c r="F39" s="9">
        <v>46188</v>
      </c>
      <c r="G39" s="9">
        <v>46226</v>
      </c>
      <c r="H39" s="9">
        <v>48385</v>
      </c>
      <c r="I39" s="10">
        <v>200.0820007324219</v>
      </c>
      <c r="J39" s="10">
        <v>167.09210205078119</v>
      </c>
      <c r="K39" s="10">
        <v>303.65499999999997</v>
      </c>
      <c r="L39" s="10">
        <v>301.41199999999998</v>
      </c>
      <c r="M39" s="11">
        <v>27</v>
      </c>
      <c r="N39" s="12">
        <v>-103.5729992675781</v>
      </c>
      <c r="O39" s="13">
        <v>-116.92770397949219</v>
      </c>
      <c r="P39" s="13">
        <v>-86.182703124999989</v>
      </c>
      <c r="Q39" s="13">
        <v>-100.4987496744792</v>
      </c>
      <c r="R39" s="14">
        <v>43.436995741578663</v>
      </c>
      <c r="S39" s="13">
        <v>-136.56289794921869</v>
      </c>
      <c r="T39" s="13">
        <v>-151.38799462890631</v>
      </c>
      <c r="U39" s="13">
        <v>-123.3471003417969</v>
      </c>
      <c r="V39" s="13">
        <v>-136.69630408619071</v>
      </c>
      <c r="W39" s="15">
        <v>52.869557325433611</v>
      </c>
      <c r="X39" s="16" t="str">
        <f>IFERROR(_xll.BDP(E39&amp;" Corp","LAST_PRICE"),"--")</f>
        <v>#N/A Requesting Data...</v>
      </c>
      <c r="Y39" s="17" t="str">
        <f>IFERROR(_xll.BDP(E39&amp;" Corp","YAS_BENCHMARK_BOND_ISIN"),"--")</f>
        <v>#N/A Requesting Data...</v>
      </c>
      <c r="Z39" s="18" t="str">
        <f>IFERROR(_xll.BDP(Y39&amp;" CORP","LAST_PRICE"),"--")</f>
        <v>#N/A Requesting Data... CORP</v>
      </c>
      <c r="AA39" s="19" t="str">
        <f>IFERROR(_xll.BDP(E39&amp;" Corp","YAS_YLD_SPREAD","YAS_BOND_PX="&amp;X39,"YAS_BNCHMRK_BOND_PX="&amp;Z39),"--")</f>
        <v>#N/A Requesting Data...</v>
      </c>
      <c r="AB39" s="19" t="str">
        <f>IFERROR(_xll.BDP(E39&amp;" Corp","BLOOMBERG_MID_G_SPREAD","YAS_BOND_PX="&amp;X39,"YAS_BNCHMRK_BOND_PX="&amp;Z39),"--")</f>
        <v>#N/A Requesting Data...</v>
      </c>
      <c r="AC39" s="19" t="str">
        <f>IFERROR(_xll.BDP(D39,"LAST_PRICE"),"--")</f>
        <v>#N/A Requesting Data...</v>
      </c>
      <c r="AD39" s="20"/>
      <c r="AE39" s="19" t="str">
        <f t="shared" si="0"/>
        <v>#N/A Requesting Data...</v>
      </c>
      <c r="AF39" s="19" t="str">
        <f t="shared" si="1"/>
        <v>--</v>
      </c>
      <c r="AG39" s="21" t="str">
        <f t="shared" si="2"/>
        <v>--</v>
      </c>
      <c r="AH39" s="19" t="str">
        <f t="shared" si="3"/>
        <v>--</v>
      </c>
    </row>
    <row r="40" spans="1:34" x14ac:dyDescent="0.45">
      <c r="A40" s="22" t="s">
        <v>181</v>
      </c>
      <c r="B40" s="23" t="s">
        <v>117</v>
      </c>
      <c r="C40" s="22" t="s">
        <v>182</v>
      </c>
      <c r="D40" s="23" t="s">
        <v>183</v>
      </c>
      <c r="E40" s="23" t="s">
        <v>184</v>
      </c>
      <c r="F40" s="24">
        <v>45792</v>
      </c>
      <c r="G40" s="24">
        <v>46226</v>
      </c>
      <c r="H40" s="24">
        <v>48385</v>
      </c>
      <c r="I40" s="25">
        <v>402.62350463867188</v>
      </c>
      <c r="J40" s="25">
        <v>338.268798828125</v>
      </c>
      <c r="K40" s="25">
        <v>368.95100000000002</v>
      </c>
      <c r="L40" s="25">
        <v>367.15199999999999</v>
      </c>
      <c r="M40" s="26">
        <v>298</v>
      </c>
      <c r="N40" s="27">
        <v>33.672504638671853</v>
      </c>
      <c r="O40" s="28">
        <v>-27.02970947265624</v>
      </c>
      <c r="P40" s="28">
        <v>115.6754904785156</v>
      </c>
      <c r="Q40" s="28">
        <v>46.49430311860975</v>
      </c>
      <c r="R40" s="29">
        <v>42.536792024465839</v>
      </c>
      <c r="S40" s="28">
        <v>-30.682201171875018</v>
      </c>
      <c r="T40" s="28">
        <v>-75.454514160156236</v>
      </c>
      <c r="U40" s="28">
        <v>66.836409667968724</v>
      </c>
      <c r="V40" s="28">
        <v>-1.044040682184618</v>
      </c>
      <c r="W40" s="30">
        <v>31.465332983825629</v>
      </c>
      <c r="X40" s="16" t="str">
        <f>IFERROR(_xll.BDP(E40&amp;" Corp","LAST_PRICE"),"--")</f>
        <v>#N/A Requesting Data...</v>
      </c>
      <c r="Y40" s="17" t="str">
        <f>IFERROR(_xll.BDP(E40&amp;" Corp","YAS_BENCHMARK_BOND_ISIN"),"--")</f>
        <v>#N/A Requesting Data...</v>
      </c>
      <c r="Z40" s="18" t="str">
        <f>IFERROR(_xll.BDP(Y40&amp;" CORP","LAST_PRICE"),"--")</f>
        <v>#N/A Requesting Data... CORP</v>
      </c>
      <c r="AA40" s="19" t="str">
        <f>IFERROR(_xll.BDP(E40&amp;" Corp","YAS_YLD_SPREAD","YAS_BOND_PX="&amp;X40,"YAS_BNCHMRK_BOND_PX="&amp;Z40),"--")</f>
        <v>#N/A Requesting Data...</v>
      </c>
      <c r="AB40" s="19" t="str">
        <f>IFERROR(_xll.BDP(E40&amp;" Corp","BLOOMBERG_MID_G_SPREAD","YAS_BOND_PX="&amp;X40,"YAS_BNCHMRK_BOND_PX="&amp;Z40),"--")</f>
        <v>#N/A Requesting Data...</v>
      </c>
      <c r="AC40" s="19" t="str">
        <f>IFERROR(_xll.BDP(D40,"LAST_PRICE"),"--")</f>
        <v>#N/A Requesting Data...</v>
      </c>
      <c r="AD40" s="20"/>
      <c r="AE40" s="19" t="str">
        <f t="shared" si="0"/>
        <v>#N/A Requesting Data...</v>
      </c>
      <c r="AF40" s="19" t="str">
        <f t="shared" si="1"/>
        <v>--</v>
      </c>
      <c r="AG40" s="21" t="str">
        <f t="shared" si="2"/>
        <v>--</v>
      </c>
      <c r="AH40" s="19" t="str">
        <f t="shared" si="3"/>
        <v>--</v>
      </c>
    </row>
    <row r="41" spans="1:34" x14ac:dyDescent="0.45">
      <c r="A41" s="7" t="s">
        <v>185</v>
      </c>
      <c r="B41" s="8" t="s">
        <v>117</v>
      </c>
      <c r="C41" s="7" t="s">
        <v>186</v>
      </c>
      <c r="D41" s="8" t="s">
        <v>187</v>
      </c>
      <c r="E41" s="8" t="s">
        <v>188</v>
      </c>
      <c r="F41" s="9">
        <v>45845</v>
      </c>
      <c r="G41" s="9">
        <v>46226</v>
      </c>
      <c r="H41" s="9">
        <v>48568</v>
      </c>
      <c r="I41" s="10">
        <v>136.06340026855469</v>
      </c>
      <c r="J41" s="10">
        <v>105.3585968017578</v>
      </c>
      <c r="K41" s="10">
        <v>139.506</v>
      </c>
      <c r="L41" s="10">
        <v>147.755</v>
      </c>
      <c r="M41" s="11">
        <v>262</v>
      </c>
      <c r="N41" s="12">
        <v>-3.4425997314453132</v>
      </c>
      <c r="O41" s="13">
        <v>-21.90990502929688</v>
      </c>
      <c r="P41" s="13">
        <v>29.98580664062499</v>
      </c>
      <c r="Q41" s="13">
        <v>5.3848899661930458</v>
      </c>
      <c r="R41" s="14">
        <v>35.58541679765613</v>
      </c>
      <c r="S41" s="13">
        <v>-34.147403198242188</v>
      </c>
      <c r="T41" s="13">
        <v>-43.321197448730459</v>
      </c>
      <c r="U41" s="13">
        <v>-4.7462052001953046</v>
      </c>
      <c r="V41" s="13">
        <v>-22.470900539383688</v>
      </c>
      <c r="W41" s="15">
        <v>23.78171378851447</v>
      </c>
      <c r="X41" s="16" t="str">
        <f>IFERROR(_xll.BDP(E41&amp;" Corp","LAST_PRICE"),"--")</f>
        <v>#N/A Requesting Data...</v>
      </c>
      <c r="Y41" s="17" t="str">
        <f>IFERROR(_xll.BDP(E41&amp;" Corp","YAS_BENCHMARK_BOND_ISIN"),"--")</f>
        <v>#N/A Requesting Data...</v>
      </c>
      <c r="Z41" s="18" t="str">
        <f>IFERROR(_xll.BDP(Y41&amp;" CORP","LAST_PRICE"),"--")</f>
        <v>#N/A Requesting Data... CORP</v>
      </c>
      <c r="AA41" s="19" t="str">
        <f>IFERROR(_xll.BDP(E41&amp;" Corp","YAS_YLD_SPREAD","YAS_BOND_PX="&amp;X41,"YAS_BNCHMRK_BOND_PX="&amp;Z41),"--")</f>
        <v>#N/A Requesting Data...</v>
      </c>
      <c r="AB41" s="19" t="str">
        <f>IFERROR(_xll.BDP(E41&amp;" Corp","BLOOMBERG_MID_G_SPREAD","YAS_BOND_PX="&amp;X41,"YAS_BNCHMRK_BOND_PX="&amp;Z41),"--")</f>
        <v>#N/A Requesting Data...</v>
      </c>
      <c r="AC41" s="19" t="str">
        <f>IFERROR(_xll.BDP(D41,"LAST_PRICE"),"--")</f>
        <v>#N/A Requesting Data...</v>
      </c>
      <c r="AD41" s="20"/>
      <c r="AE41" s="19" t="str">
        <f t="shared" si="0"/>
        <v>#N/A Requesting Data...</v>
      </c>
      <c r="AF41" s="19" t="str">
        <f t="shared" si="1"/>
        <v>--</v>
      </c>
      <c r="AG41" s="21" t="str">
        <f t="shared" si="2"/>
        <v>--</v>
      </c>
      <c r="AH41" s="19" t="str">
        <f t="shared" si="3"/>
        <v>--</v>
      </c>
    </row>
    <row r="42" spans="1:34" x14ac:dyDescent="0.45">
      <c r="A42" s="22" t="s">
        <v>189</v>
      </c>
      <c r="B42" s="23" t="s">
        <v>117</v>
      </c>
      <c r="C42" s="22" t="s">
        <v>190</v>
      </c>
      <c r="D42" s="23" t="s">
        <v>191</v>
      </c>
      <c r="E42" s="23" t="s">
        <v>192</v>
      </c>
      <c r="F42" s="24">
        <v>45659</v>
      </c>
      <c r="G42" s="24">
        <v>46226</v>
      </c>
      <c r="H42" s="24">
        <v>47289</v>
      </c>
      <c r="I42" s="25">
        <v>35.123600006103523</v>
      </c>
      <c r="J42" s="25">
        <v>63.5</v>
      </c>
      <c r="K42" s="25">
        <v>140.58500000000001</v>
      </c>
      <c r="L42" s="25">
        <v>46.122</v>
      </c>
      <c r="M42" s="26">
        <v>390</v>
      </c>
      <c r="N42" s="27">
        <v>-105.46139999389651</v>
      </c>
      <c r="O42" s="28">
        <v>-488.91432031250002</v>
      </c>
      <c r="P42" s="28">
        <v>211.69969815063479</v>
      </c>
      <c r="Q42" s="28">
        <v>-131.32600290261291</v>
      </c>
      <c r="R42" s="29">
        <v>54.730980284942753</v>
      </c>
      <c r="S42" s="28">
        <v>-77.085000000000008</v>
      </c>
      <c r="T42" s="28">
        <v>-363.43501123046872</v>
      </c>
      <c r="U42" s="28">
        <v>243.172602355957</v>
      </c>
      <c r="V42" s="28">
        <v>-62.280773664773577</v>
      </c>
      <c r="W42" s="30">
        <v>47.205146262093741</v>
      </c>
      <c r="X42" s="16" t="str">
        <f>IFERROR(_xll.BDP(E42&amp;" Corp","LAST_PRICE"),"--")</f>
        <v>#N/A Requesting Data...</v>
      </c>
      <c r="Y42" s="17" t="str">
        <f>IFERROR(_xll.BDP(E42&amp;" Corp","YAS_BENCHMARK_BOND_ISIN"),"--")</f>
        <v>#N/A Requesting Data...</v>
      </c>
      <c r="Z42" s="18" t="str">
        <f>IFERROR(_xll.BDP(Y42&amp;" CORP","LAST_PRICE"),"--")</f>
        <v>#N/A Requesting Data... CORP</v>
      </c>
      <c r="AA42" s="19" t="str">
        <f>IFERROR(_xll.BDP(E42&amp;" Corp","YAS_YLD_SPREAD","YAS_BOND_PX="&amp;X42,"YAS_BNCHMRK_BOND_PX="&amp;Z42),"--")</f>
        <v>#N/A Requesting Data...</v>
      </c>
      <c r="AB42" s="19" t="str">
        <f>IFERROR(_xll.BDP(E42&amp;" Corp","BLOOMBERG_MID_G_SPREAD","YAS_BOND_PX="&amp;X42,"YAS_BNCHMRK_BOND_PX="&amp;Z42),"--")</f>
        <v>#N/A Requesting Data...</v>
      </c>
      <c r="AC42" s="19" t="str">
        <f>IFERROR(_xll.BDP(D42,"LAST_PRICE"),"--")</f>
        <v>#N/A Requesting Data...</v>
      </c>
      <c r="AD42" s="20"/>
      <c r="AE42" s="19" t="str">
        <f t="shared" si="0"/>
        <v>#N/A Requesting Data...</v>
      </c>
      <c r="AF42" s="19" t="str">
        <f t="shared" si="1"/>
        <v>--</v>
      </c>
      <c r="AG42" s="21" t="str">
        <f t="shared" si="2"/>
        <v>--</v>
      </c>
      <c r="AH42" s="19" t="str">
        <f t="shared" si="3"/>
        <v>--</v>
      </c>
    </row>
    <row r="43" spans="1:34" x14ac:dyDescent="0.45">
      <c r="A43" s="7" t="s">
        <v>193</v>
      </c>
      <c r="B43" s="8" t="s">
        <v>117</v>
      </c>
      <c r="C43" s="7" t="s">
        <v>194</v>
      </c>
      <c r="D43" s="8" t="s">
        <v>195</v>
      </c>
      <c r="E43" s="8" t="s">
        <v>196</v>
      </c>
      <c r="F43" s="9">
        <v>45659</v>
      </c>
      <c r="G43" s="9">
        <v>46226</v>
      </c>
      <c r="H43" s="9">
        <v>48019</v>
      </c>
      <c r="I43" s="10">
        <v>360.12930297851563</v>
      </c>
      <c r="J43" s="10">
        <v>360.12930297851563</v>
      </c>
      <c r="K43" s="10">
        <v>299.25799999999998</v>
      </c>
      <c r="L43" s="10">
        <v>303.44400000000002</v>
      </c>
      <c r="M43" s="11">
        <v>390</v>
      </c>
      <c r="N43" s="12">
        <v>60.871302978515637</v>
      </c>
      <c r="O43" s="13">
        <v>-70.626903320312522</v>
      </c>
      <c r="P43" s="13">
        <v>66.781404052734388</v>
      </c>
      <c r="Q43" s="13">
        <v>4.7162205826196901</v>
      </c>
      <c r="R43" s="14">
        <v>95.698876445531383</v>
      </c>
      <c r="S43" s="13">
        <v>60.871302978515637</v>
      </c>
      <c r="T43" s="13">
        <v>-70.626903320312522</v>
      </c>
      <c r="U43" s="13">
        <v>66.781404052734388</v>
      </c>
      <c r="V43" s="13">
        <v>4.7162205826196901</v>
      </c>
      <c r="W43" s="15">
        <v>95.698876445531383</v>
      </c>
      <c r="X43" s="16" t="str">
        <f>IFERROR(_xll.BDP(E43&amp;" Corp","LAST_PRICE"),"--")</f>
        <v>#N/A Requesting Data...</v>
      </c>
      <c r="Y43" s="17" t="str">
        <f>IFERROR(_xll.BDP(E43&amp;" Corp","YAS_BENCHMARK_BOND_ISIN"),"--")</f>
        <v>#N/A Requesting Data...</v>
      </c>
      <c r="Z43" s="18" t="str">
        <f>IFERROR(_xll.BDP(Y43&amp;" CORP","LAST_PRICE"),"--")</f>
        <v>#N/A Requesting Data... CORP</v>
      </c>
      <c r="AA43" s="19" t="str">
        <f>IFERROR(_xll.BDP(E43&amp;" Corp","YAS_YLD_SPREAD","YAS_BOND_PX="&amp;X43,"YAS_BNCHMRK_BOND_PX="&amp;Z43),"--")</f>
        <v>#N/A Requesting Data...</v>
      </c>
      <c r="AB43" s="19" t="str">
        <f>IFERROR(_xll.BDP(E43&amp;" Corp","BLOOMBERG_MID_G_SPREAD","YAS_BOND_PX="&amp;X43,"YAS_BNCHMRK_BOND_PX="&amp;Z43),"--")</f>
        <v>#N/A Requesting Data...</v>
      </c>
      <c r="AC43" s="19" t="str">
        <f>IFERROR(_xll.BDP(D43,"LAST_PRICE"),"--")</f>
        <v>#N/A Requesting Data...</v>
      </c>
      <c r="AD43" s="20"/>
      <c r="AE43" s="19" t="str">
        <f t="shared" si="0"/>
        <v>#N/A Requesting Data...</v>
      </c>
      <c r="AF43" s="19" t="str">
        <f t="shared" si="1"/>
        <v>--</v>
      </c>
      <c r="AG43" s="21" t="str">
        <f t="shared" si="2"/>
        <v>--</v>
      </c>
      <c r="AH43" s="19" t="str">
        <f t="shared" si="3"/>
        <v>--</v>
      </c>
    </row>
    <row r="44" spans="1:34" x14ac:dyDescent="0.45">
      <c r="A44" s="22" t="s">
        <v>197</v>
      </c>
      <c r="B44" s="23" t="s">
        <v>117</v>
      </c>
      <c r="C44" s="22" t="s">
        <v>198</v>
      </c>
      <c r="D44" s="23" t="s">
        <v>199</v>
      </c>
      <c r="E44" s="23" t="s">
        <v>200</v>
      </c>
      <c r="F44" s="24">
        <v>45995</v>
      </c>
      <c r="G44" s="24">
        <v>46226</v>
      </c>
      <c r="H44" s="24">
        <v>48019</v>
      </c>
      <c r="I44" s="25">
        <v>169.94380187988281</v>
      </c>
      <c r="J44" s="25">
        <v>169.94380187988281</v>
      </c>
      <c r="K44" s="25">
        <v>181.07</v>
      </c>
      <c r="L44" s="25">
        <v>176.79400000000001</v>
      </c>
      <c r="M44" s="26">
        <v>160</v>
      </c>
      <c r="N44" s="27">
        <v>-11.126198120117181</v>
      </c>
      <c r="O44" s="28">
        <v>-23.561994873046899</v>
      </c>
      <c r="P44" s="28">
        <v>46.691706787109382</v>
      </c>
      <c r="Q44" s="28">
        <v>16.487642751312251</v>
      </c>
      <c r="R44" s="29">
        <v>17.701269056378511</v>
      </c>
      <c r="S44" s="28">
        <v>-11.126198120117181</v>
      </c>
      <c r="T44" s="28">
        <v>-23.561994873046899</v>
      </c>
      <c r="U44" s="28">
        <v>46.691706787109382</v>
      </c>
      <c r="V44" s="28">
        <v>16.487642751312251</v>
      </c>
      <c r="W44" s="30">
        <v>17.701269056378511</v>
      </c>
      <c r="X44" s="16" t="str">
        <f>IFERROR(_xll.BDP(E44&amp;" Corp","LAST_PRICE"),"--")</f>
        <v>#N/A Requesting Data...</v>
      </c>
      <c r="Y44" s="17" t="str">
        <f>IFERROR(_xll.BDP(E44&amp;" Corp","YAS_BENCHMARK_BOND_ISIN"),"--")</f>
        <v>#N/A Requesting Data...</v>
      </c>
      <c r="Z44" s="18" t="str">
        <f>IFERROR(_xll.BDP(Y44&amp;" CORP","LAST_PRICE"),"--")</f>
        <v>#N/A Requesting Data... CORP</v>
      </c>
      <c r="AA44" s="19" t="str">
        <f>IFERROR(_xll.BDP(E44&amp;" Corp","YAS_YLD_SPREAD","YAS_BOND_PX="&amp;X44,"YAS_BNCHMRK_BOND_PX="&amp;Z44),"--")</f>
        <v>#N/A Requesting Data...</v>
      </c>
      <c r="AB44" s="19" t="str">
        <f>IFERROR(_xll.BDP(E44&amp;" Corp","BLOOMBERG_MID_G_SPREAD","YAS_BOND_PX="&amp;X44,"YAS_BNCHMRK_BOND_PX="&amp;Z44),"--")</f>
        <v>#N/A Requesting Data...</v>
      </c>
      <c r="AC44" s="19" t="str">
        <f>IFERROR(_xll.BDP(D44,"LAST_PRICE"),"--")</f>
        <v>#N/A Requesting Data...</v>
      </c>
      <c r="AD44" s="20"/>
      <c r="AE44" s="19" t="str">
        <f t="shared" si="0"/>
        <v>#N/A Requesting Data...</v>
      </c>
      <c r="AF44" s="19" t="str">
        <f t="shared" si="1"/>
        <v>--</v>
      </c>
      <c r="AG44" s="21" t="str">
        <f t="shared" si="2"/>
        <v>--</v>
      </c>
      <c r="AH44" s="19" t="str">
        <f t="shared" si="3"/>
        <v>--</v>
      </c>
    </row>
    <row r="45" spans="1:34" x14ac:dyDescent="0.45">
      <c r="A45" s="7" t="s">
        <v>201</v>
      </c>
      <c r="B45" s="8" t="s">
        <v>117</v>
      </c>
      <c r="C45" s="7" t="s">
        <v>202</v>
      </c>
      <c r="D45" s="8" t="s">
        <v>203</v>
      </c>
      <c r="E45" s="8" t="s">
        <v>204</v>
      </c>
      <c r="F45" s="9">
        <v>45903</v>
      </c>
      <c r="G45" s="9">
        <v>46226</v>
      </c>
      <c r="H45" s="9">
        <v>49115</v>
      </c>
      <c r="I45" s="10">
        <v>316.56298828125</v>
      </c>
      <c r="J45" s="10">
        <v>243.18690490722659</v>
      </c>
      <c r="K45" s="10">
        <v>285.101</v>
      </c>
      <c r="L45" s="10">
        <v>282.43</v>
      </c>
      <c r="M45" s="11">
        <v>223</v>
      </c>
      <c r="N45" s="12">
        <v>31.461988281250001</v>
      </c>
      <c r="O45" s="13">
        <v>-18.6952849121094</v>
      </c>
      <c r="P45" s="13">
        <v>94.030314941406232</v>
      </c>
      <c r="Q45" s="13">
        <v>28.468154128275639</v>
      </c>
      <c r="R45" s="14">
        <v>44.495015558611037</v>
      </c>
      <c r="S45" s="13">
        <v>-41.914095092773437</v>
      </c>
      <c r="T45" s="13">
        <v>-83.234201416015651</v>
      </c>
      <c r="U45" s="13">
        <v>-0.45431152343752501</v>
      </c>
      <c r="V45" s="13">
        <v>-43.972752002938449</v>
      </c>
      <c r="W45" s="15">
        <v>49.915633346290413</v>
      </c>
      <c r="X45" s="16" t="str">
        <f>IFERROR(_xll.BDP(E45&amp;" Corp","LAST_PRICE"),"--")</f>
        <v>#N/A Requesting Data...</v>
      </c>
      <c r="Y45" s="17" t="str">
        <f>IFERROR(_xll.BDP(E45&amp;" Corp","YAS_BENCHMARK_BOND_ISIN"),"--")</f>
        <v>#N/A Requesting Data...</v>
      </c>
      <c r="Z45" s="18" t="str">
        <f>IFERROR(_xll.BDP(Y45&amp;" CORP","LAST_PRICE"),"--")</f>
        <v>#N/A Requesting Data... CORP</v>
      </c>
      <c r="AA45" s="19" t="str">
        <f>IFERROR(_xll.BDP(E45&amp;" Corp","YAS_YLD_SPREAD","YAS_BOND_PX="&amp;X45,"YAS_BNCHMRK_BOND_PX="&amp;Z45),"--")</f>
        <v>#N/A Requesting Data...</v>
      </c>
      <c r="AB45" s="19" t="str">
        <f>IFERROR(_xll.BDP(E45&amp;" Corp","BLOOMBERG_MID_G_SPREAD","YAS_BOND_PX="&amp;X45,"YAS_BNCHMRK_BOND_PX="&amp;Z45),"--")</f>
        <v>#N/A Requesting Data...</v>
      </c>
      <c r="AC45" s="19" t="str">
        <f>IFERROR(_xll.BDP(D45,"LAST_PRICE"),"--")</f>
        <v>#N/A Requesting Data...</v>
      </c>
      <c r="AD45" s="20"/>
      <c r="AE45" s="19" t="str">
        <f t="shared" si="0"/>
        <v>#N/A Requesting Data...</v>
      </c>
      <c r="AF45" s="19" t="str">
        <f t="shared" si="1"/>
        <v>--</v>
      </c>
      <c r="AG45" s="21" t="str">
        <f t="shared" si="2"/>
        <v>--</v>
      </c>
      <c r="AH45" s="19" t="str">
        <f t="shared" si="3"/>
        <v>--</v>
      </c>
    </row>
    <row r="46" spans="1:34" x14ac:dyDescent="0.45">
      <c r="A46" s="22" t="s">
        <v>205</v>
      </c>
      <c r="B46" s="23" t="s">
        <v>117</v>
      </c>
      <c r="C46" s="22" t="s">
        <v>206</v>
      </c>
      <c r="D46" s="23" t="s">
        <v>207</v>
      </c>
      <c r="E46" s="23" t="s">
        <v>208</v>
      </c>
      <c r="F46" s="24">
        <v>46106</v>
      </c>
      <c r="G46" s="24">
        <v>46226</v>
      </c>
      <c r="H46" s="24">
        <v>48385</v>
      </c>
      <c r="I46" s="25">
        <v>179.3244934082031</v>
      </c>
      <c r="J46" s="25">
        <v>172.86509704589841</v>
      </c>
      <c r="K46" s="25">
        <v>258.98399999999998</v>
      </c>
      <c r="L46" s="25">
        <v>260.62799999999999</v>
      </c>
      <c r="M46" s="26">
        <v>84</v>
      </c>
      <c r="N46" s="27">
        <v>-79.659506591796855</v>
      </c>
      <c r="O46" s="28">
        <v>-130.9281049804687</v>
      </c>
      <c r="P46" s="28">
        <v>-21.89388745117185</v>
      </c>
      <c r="Q46" s="28">
        <v>-97.40190390305294</v>
      </c>
      <c r="R46" s="29">
        <v>47.020650535595657</v>
      </c>
      <c r="S46" s="28">
        <v>-86.118902954101543</v>
      </c>
      <c r="T46" s="28">
        <v>-140.22500378417971</v>
      </c>
      <c r="U46" s="28">
        <v>-57.629513671874967</v>
      </c>
      <c r="V46" s="28">
        <v>-104.4902693670363</v>
      </c>
      <c r="W46" s="30">
        <v>65.507330674483953</v>
      </c>
      <c r="X46" s="16" t="str">
        <f>IFERROR(_xll.BDP(E46&amp;" Corp","LAST_PRICE"),"--")</f>
        <v>#N/A Requesting Data...</v>
      </c>
      <c r="Y46" s="17" t="str">
        <f>IFERROR(_xll.BDP(E46&amp;" Corp","YAS_BENCHMARK_BOND_ISIN"),"--")</f>
        <v>#N/A Requesting Data...</v>
      </c>
      <c r="Z46" s="18" t="str">
        <f>IFERROR(_xll.BDP(Y46&amp;" CORP","LAST_PRICE"),"--")</f>
        <v>#N/A Requesting Data... CORP</v>
      </c>
      <c r="AA46" s="19" t="str">
        <f>IFERROR(_xll.BDP(E46&amp;" Corp","YAS_YLD_SPREAD","YAS_BOND_PX="&amp;X46,"YAS_BNCHMRK_BOND_PX="&amp;Z46),"--")</f>
        <v>#N/A Requesting Data...</v>
      </c>
      <c r="AB46" s="19" t="str">
        <f>IFERROR(_xll.BDP(E46&amp;" Corp","BLOOMBERG_MID_G_SPREAD","YAS_BOND_PX="&amp;X46,"YAS_BNCHMRK_BOND_PX="&amp;Z46),"--")</f>
        <v>#N/A Requesting Data...</v>
      </c>
      <c r="AC46" s="19" t="str">
        <f>IFERROR(_xll.BDP(D46,"LAST_PRICE"),"--")</f>
        <v>#N/A Requesting Data...</v>
      </c>
      <c r="AD46" s="20"/>
      <c r="AE46" s="19" t="str">
        <f t="shared" si="0"/>
        <v>#N/A Requesting Data...</v>
      </c>
      <c r="AF46" s="19" t="str">
        <f t="shared" si="1"/>
        <v>--</v>
      </c>
      <c r="AG46" s="21" t="str">
        <f t="shared" si="2"/>
        <v>--</v>
      </c>
      <c r="AH46" s="19" t="str">
        <f t="shared" si="3"/>
        <v>--</v>
      </c>
    </row>
    <row r="47" spans="1:34" x14ac:dyDescent="0.45">
      <c r="A47" s="7" t="s">
        <v>209</v>
      </c>
      <c r="B47" s="8" t="s">
        <v>117</v>
      </c>
      <c r="C47" s="7" t="s">
        <v>210</v>
      </c>
      <c r="D47" s="8" t="s">
        <v>211</v>
      </c>
      <c r="E47" s="8" t="s">
        <v>212</v>
      </c>
      <c r="F47" s="9">
        <v>46044</v>
      </c>
      <c r="G47" s="9">
        <v>46226</v>
      </c>
      <c r="H47" s="9">
        <v>48019</v>
      </c>
      <c r="I47" s="10">
        <v>714.49249267578125</v>
      </c>
      <c r="J47" s="10">
        <v>714.49249267578125</v>
      </c>
      <c r="K47" s="10">
        <v>665.21100000000001</v>
      </c>
      <c r="L47" s="10">
        <v>671.98500000000001</v>
      </c>
      <c r="M47" s="11">
        <v>127</v>
      </c>
      <c r="N47" s="12">
        <v>49.281492675781237</v>
      </c>
      <c r="O47" s="13">
        <v>-2.0758193359374668</v>
      </c>
      <c r="P47" s="13">
        <v>87.857013183593722</v>
      </c>
      <c r="Q47" s="13">
        <v>40.829440693051808</v>
      </c>
      <c r="R47" s="14">
        <v>57.106298748641287</v>
      </c>
      <c r="S47" s="13">
        <v>49.281492675781237</v>
      </c>
      <c r="T47" s="13">
        <v>-2.0758193359374668</v>
      </c>
      <c r="U47" s="13">
        <v>87.857013183593722</v>
      </c>
      <c r="V47" s="13">
        <v>40.829440693051808</v>
      </c>
      <c r="W47" s="15">
        <v>57.106298748641287</v>
      </c>
      <c r="X47" s="16" t="str">
        <f>IFERROR(_xll.BDP(E47&amp;" Corp","LAST_PRICE"),"--")</f>
        <v>#N/A Requesting Data...</v>
      </c>
      <c r="Y47" s="17" t="str">
        <f>IFERROR(_xll.BDP(E47&amp;" Corp","YAS_BENCHMARK_BOND_ISIN"),"--")</f>
        <v>#N/A Requesting Data...</v>
      </c>
      <c r="Z47" s="18" t="str">
        <f>IFERROR(_xll.BDP(Y47&amp;" CORP","LAST_PRICE"),"--")</f>
        <v>#N/A Requesting Data... CORP</v>
      </c>
      <c r="AA47" s="19" t="str">
        <f>IFERROR(_xll.BDP(E47&amp;" Corp","YAS_YLD_SPREAD","YAS_BOND_PX="&amp;X47,"YAS_BNCHMRK_BOND_PX="&amp;Z47),"--")</f>
        <v>#N/A Requesting Data...</v>
      </c>
      <c r="AB47" s="19" t="str">
        <f>IFERROR(_xll.BDP(E47&amp;" Corp","BLOOMBERG_MID_G_SPREAD","YAS_BOND_PX="&amp;X47,"YAS_BNCHMRK_BOND_PX="&amp;Z47),"--")</f>
        <v>#N/A Requesting Data...</v>
      </c>
      <c r="AC47" s="19" t="str">
        <f>IFERROR(_xll.BDP(D47,"LAST_PRICE"),"--")</f>
        <v>#N/A Requesting Data...</v>
      </c>
      <c r="AD47" s="20"/>
      <c r="AE47" s="19" t="str">
        <f t="shared" si="0"/>
        <v>#N/A Requesting Data...</v>
      </c>
      <c r="AF47" s="19" t="str">
        <f t="shared" si="1"/>
        <v>--</v>
      </c>
      <c r="AG47" s="21" t="str">
        <f t="shared" si="2"/>
        <v>--</v>
      </c>
      <c r="AH47" s="19" t="str">
        <f t="shared" si="3"/>
        <v>--</v>
      </c>
    </row>
    <row r="48" spans="1:34" x14ac:dyDescent="0.45">
      <c r="A48" s="22" t="s">
        <v>213</v>
      </c>
      <c r="B48" s="23" t="s">
        <v>117</v>
      </c>
      <c r="C48" s="22" t="s">
        <v>214</v>
      </c>
      <c r="D48" s="23" t="s">
        <v>215</v>
      </c>
      <c r="E48" s="23" t="s">
        <v>216</v>
      </c>
      <c r="F48" s="24">
        <v>45659</v>
      </c>
      <c r="G48" s="24">
        <v>46226</v>
      </c>
      <c r="H48" s="24">
        <v>48019</v>
      </c>
      <c r="I48" s="25">
        <v>229.03370666503909</v>
      </c>
      <c r="J48" s="25">
        <v>229.03370666503909</v>
      </c>
      <c r="K48" s="25">
        <v>165.46799999999999</v>
      </c>
      <c r="L48" s="25">
        <v>167.51900000000001</v>
      </c>
      <c r="M48" s="26">
        <v>375</v>
      </c>
      <c r="N48" s="27">
        <v>63.565706665039073</v>
      </c>
      <c r="O48" s="28">
        <v>-35.640904052734378</v>
      </c>
      <c r="P48" s="28">
        <v>262.40288867187502</v>
      </c>
      <c r="Q48" s="28">
        <v>49.396633019205723</v>
      </c>
      <c r="R48" s="29">
        <v>33.285917418665967</v>
      </c>
      <c r="S48" s="28">
        <v>63.565706665039073</v>
      </c>
      <c r="T48" s="28">
        <v>-35.640904052734378</v>
      </c>
      <c r="U48" s="28">
        <v>262.40288867187502</v>
      </c>
      <c r="V48" s="28">
        <v>49.396633019205723</v>
      </c>
      <c r="W48" s="30">
        <v>33.285917418665967</v>
      </c>
      <c r="X48" s="16" t="str">
        <f>IFERROR(_xll.BDP(E48&amp;" Corp","LAST_PRICE"),"--")</f>
        <v>#N/A Requesting Data...</v>
      </c>
      <c r="Y48" s="17" t="str">
        <f>IFERROR(_xll.BDP(E48&amp;" Corp","YAS_BENCHMARK_BOND_ISIN"),"--")</f>
        <v>#N/A Requesting Data...</v>
      </c>
      <c r="Z48" s="18" t="str">
        <f>IFERROR(_xll.BDP(Y48&amp;" CORP","LAST_PRICE"),"--")</f>
        <v>#N/A Requesting Data... CORP</v>
      </c>
      <c r="AA48" s="19" t="str">
        <f>IFERROR(_xll.BDP(E48&amp;" Corp","YAS_YLD_SPREAD","YAS_BOND_PX="&amp;X48,"YAS_BNCHMRK_BOND_PX="&amp;Z48),"--")</f>
        <v>#N/A Requesting Data...</v>
      </c>
      <c r="AB48" s="19" t="str">
        <f>IFERROR(_xll.BDP(E48&amp;" Corp","BLOOMBERG_MID_G_SPREAD","YAS_BOND_PX="&amp;X48,"YAS_BNCHMRK_BOND_PX="&amp;Z48),"--")</f>
        <v>#N/A Requesting Data...</v>
      </c>
      <c r="AC48" s="19" t="str">
        <f>IFERROR(_xll.BDP(D48,"LAST_PRICE"),"--")</f>
        <v>#N/A Requesting Data...</v>
      </c>
      <c r="AD48" s="20"/>
      <c r="AE48" s="19" t="str">
        <f t="shared" si="0"/>
        <v>#N/A Requesting Data...</v>
      </c>
      <c r="AF48" s="19" t="str">
        <f t="shared" si="1"/>
        <v>--</v>
      </c>
      <c r="AG48" s="21" t="str">
        <f t="shared" si="2"/>
        <v>--</v>
      </c>
      <c r="AH48" s="19" t="str">
        <f t="shared" si="3"/>
        <v>--</v>
      </c>
    </row>
    <row r="49" spans="1:34" x14ac:dyDescent="0.45">
      <c r="A49" s="7" t="s">
        <v>217</v>
      </c>
      <c r="B49" s="8" t="s">
        <v>117</v>
      </c>
      <c r="C49" s="7" t="s">
        <v>218</v>
      </c>
      <c r="D49" s="8" t="s">
        <v>219</v>
      </c>
      <c r="E49" s="8" t="s">
        <v>220</v>
      </c>
      <c r="F49" s="9">
        <v>45659</v>
      </c>
      <c r="G49" s="9">
        <v>46226</v>
      </c>
      <c r="H49" s="9">
        <v>47654</v>
      </c>
      <c r="I49" s="10">
        <v>704.34429931640625</v>
      </c>
      <c r="J49" s="10">
        <v>835.49871826171875</v>
      </c>
      <c r="K49" s="10">
        <v>665.02300000000002</v>
      </c>
      <c r="L49" s="10">
        <v>667.36500000000001</v>
      </c>
      <c r="M49" s="11">
        <v>390</v>
      </c>
      <c r="N49" s="12">
        <v>39.321299316406233</v>
      </c>
      <c r="O49" s="13">
        <v>-57.351695312500063</v>
      </c>
      <c r="P49" s="13">
        <v>1127.2341289062499</v>
      </c>
      <c r="Q49" s="13">
        <v>235.00192199143629</v>
      </c>
      <c r="R49" s="14">
        <v>8.1609109827617079</v>
      </c>
      <c r="S49" s="13">
        <v>170.4757182617187</v>
      </c>
      <c r="T49" s="13">
        <v>3.4145107421875309</v>
      </c>
      <c r="U49" s="13">
        <v>1162.1555156249999</v>
      </c>
      <c r="V49" s="13">
        <v>285.41840692608167</v>
      </c>
      <c r="W49" s="15">
        <v>14.417476106874</v>
      </c>
      <c r="X49" s="16" t="str">
        <f>IFERROR(_xll.BDP(E49&amp;" Corp","LAST_PRICE"),"--")</f>
        <v>#N/A Requesting Data...</v>
      </c>
      <c r="Y49" s="17" t="str">
        <f>IFERROR(_xll.BDP(E49&amp;" Corp","YAS_BENCHMARK_BOND_ISIN"),"--")</f>
        <v>#N/A Requesting Data...</v>
      </c>
      <c r="Z49" s="18" t="str">
        <f>IFERROR(_xll.BDP(Y49&amp;" CORP","LAST_PRICE"),"--")</f>
        <v>#N/A Requesting Data... CORP</v>
      </c>
      <c r="AA49" s="19" t="str">
        <f>IFERROR(_xll.BDP(E49&amp;" Corp","YAS_YLD_SPREAD","YAS_BOND_PX="&amp;X49,"YAS_BNCHMRK_BOND_PX="&amp;Z49),"--")</f>
        <v>#N/A Requesting Data...</v>
      </c>
      <c r="AB49" s="19" t="str">
        <f>IFERROR(_xll.BDP(E49&amp;" Corp","BLOOMBERG_MID_G_SPREAD","YAS_BOND_PX="&amp;X49,"YAS_BNCHMRK_BOND_PX="&amp;Z49),"--")</f>
        <v>#N/A Requesting Data...</v>
      </c>
      <c r="AC49" s="19" t="str">
        <f>IFERROR(_xll.BDP(D49,"LAST_PRICE"),"--")</f>
        <v>#N/A Requesting Data...</v>
      </c>
      <c r="AD49" s="20"/>
      <c r="AE49" s="19" t="str">
        <f t="shared" si="0"/>
        <v>#N/A Requesting Data...</v>
      </c>
      <c r="AF49" s="19" t="str">
        <f t="shared" si="1"/>
        <v>--</v>
      </c>
      <c r="AG49" s="21" t="str">
        <f t="shared" si="2"/>
        <v>--</v>
      </c>
      <c r="AH49" s="19" t="str">
        <f t="shared" si="3"/>
        <v>--</v>
      </c>
    </row>
    <row r="50" spans="1:34" x14ac:dyDescent="0.45">
      <c r="A50" s="22" t="s">
        <v>221</v>
      </c>
      <c r="B50" s="23" t="s">
        <v>117</v>
      </c>
      <c r="C50" s="22" t="s">
        <v>222</v>
      </c>
      <c r="D50" s="23" t="s">
        <v>223</v>
      </c>
      <c r="E50" s="23" t="s">
        <v>224</v>
      </c>
      <c r="F50" s="24">
        <v>45659</v>
      </c>
      <c r="G50" s="24">
        <v>46226</v>
      </c>
      <c r="H50" s="24">
        <v>48568</v>
      </c>
      <c r="I50" s="25">
        <v>455.1885986328125</v>
      </c>
      <c r="J50" s="25">
        <v>379.57638549804688</v>
      </c>
      <c r="K50" s="25">
        <v>396.81</v>
      </c>
      <c r="L50" s="25">
        <v>406.59300000000002</v>
      </c>
      <c r="M50" s="26">
        <v>388</v>
      </c>
      <c r="N50" s="27">
        <v>58.378598632812498</v>
      </c>
      <c r="O50" s="28">
        <v>3.157695800781255</v>
      </c>
      <c r="P50" s="28">
        <v>135.44508984375</v>
      </c>
      <c r="Q50" s="28">
        <v>65.637323918293419</v>
      </c>
      <c r="R50" s="29">
        <v>41.743132995797581</v>
      </c>
      <c r="S50" s="28">
        <v>-17.233614501953131</v>
      </c>
      <c r="T50" s="28">
        <v>-46.709489257812493</v>
      </c>
      <c r="U50" s="28">
        <v>87.412497070312497</v>
      </c>
      <c r="V50" s="28">
        <v>21.40198171474135</v>
      </c>
      <c r="W50" s="30">
        <v>21.976914868937008</v>
      </c>
      <c r="X50" s="16" t="str">
        <f>IFERROR(_xll.BDP(E50&amp;" Corp","LAST_PRICE"),"--")</f>
        <v>#N/A Requesting Data...</v>
      </c>
      <c r="Y50" s="17" t="str">
        <f>IFERROR(_xll.BDP(E50&amp;" Corp","YAS_BENCHMARK_BOND_ISIN"),"--")</f>
        <v>#N/A Requesting Data...</v>
      </c>
      <c r="Z50" s="18" t="str">
        <f>IFERROR(_xll.BDP(Y50&amp;" CORP","LAST_PRICE"),"--")</f>
        <v>#N/A Requesting Data... CORP</v>
      </c>
      <c r="AA50" s="19" t="str">
        <f>IFERROR(_xll.BDP(E50&amp;" Corp","YAS_YLD_SPREAD","YAS_BOND_PX="&amp;X50,"YAS_BNCHMRK_BOND_PX="&amp;Z50),"--")</f>
        <v>#N/A Requesting Data...</v>
      </c>
      <c r="AB50" s="19" t="str">
        <f>IFERROR(_xll.BDP(E50&amp;" Corp","BLOOMBERG_MID_G_SPREAD","YAS_BOND_PX="&amp;X50,"YAS_BNCHMRK_BOND_PX="&amp;Z50),"--")</f>
        <v>#N/A Requesting Data...</v>
      </c>
      <c r="AC50" s="19" t="str">
        <f>IFERROR(_xll.BDP(D50,"LAST_PRICE"),"--")</f>
        <v>#N/A Requesting Data...</v>
      </c>
      <c r="AD50" s="20"/>
      <c r="AE50" s="19" t="str">
        <f t="shared" si="0"/>
        <v>#N/A Requesting Data...</v>
      </c>
      <c r="AF50" s="19" t="str">
        <f t="shared" si="1"/>
        <v>--</v>
      </c>
      <c r="AG50" s="21" t="str">
        <f t="shared" si="2"/>
        <v>--</v>
      </c>
      <c r="AH50" s="19" t="str">
        <f t="shared" si="3"/>
        <v>--</v>
      </c>
    </row>
    <row r="51" spans="1:34" x14ac:dyDescent="0.45">
      <c r="A51" s="7" t="s">
        <v>225</v>
      </c>
      <c r="B51" s="8" t="s">
        <v>117</v>
      </c>
      <c r="C51" s="7" t="s">
        <v>226</v>
      </c>
      <c r="D51" s="8" t="s">
        <v>227</v>
      </c>
      <c r="E51" s="8" t="s">
        <v>228</v>
      </c>
      <c r="F51" s="9">
        <v>45659</v>
      </c>
      <c r="G51" s="9">
        <v>46226</v>
      </c>
      <c r="H51" s="9">
        <v>48568</v>
      </c>
      <c r="I51" s="10">
        <v>118.5876998901367</v>
      </c>
      <c r="J51" s="10">
        <v>90.493202209472656</v>
      </c>
      <c r="K51" s="10">
        <v>161.13999999999999</v>
      </c>
      <c r="L51" s="10">
        <v>166.66900000000001</v>
      </c>
      <c r="M51" s="11">
        <v>390</v>
      </c>
      <c r="N51" s="12">
        <v>-42.552300109863268</v>
      </c>
      <c r="O51" s="13">
        <v>-110.7873052978516</v>
      </c>
      <c r="P51" s="13">
        <v>-25.067602966308581</v>
      </c>
      <c r="Q51" s="13">
        <v>-64.365064185039813</v>
      </c>
      <c r="R51" s="14">
        <v>79.602475664313303</v>
      </c>
      <c r="S51" s="13">
        <v>-70.64679779052733</v>
      </c>
      <c r="T51" s="13">
        <v>-118.25700134277341</v>
      </c>
      <c r="U51" s="13">
        <v>-51.514202270507809</v>
      </c>
      <c r="V51" s="13">
        <v>-82.38675244093676</v>
      </c>
      <c r="W51" s="15">
        <v>71.333843072263505</v>
      </c>
      <c r="X51" s="16" t="str">
        <f>IFERROR(_xll.BDP(E51&amp;" Corp","LAST_PRICE"),"--")</f>
        <v>#N/A Requesting Data...</v>
      </c>
      <c r="Y51" s="17" t="str">
        <f>IFERROR(_xll.BDP(E51&amp;" Corp","YAS_BENCHMARK_BOND_ISIN"),"--")</f>
        <v>#N/A Requesting Data...</v>
      </c>
      <c r="Z51" s="18" t="str">
        <f>IFERROR(_xll.BDP(Y51&amp;" CORP","LAST_PRICE"),"--")</f>
        <v>#N/A Requesting Data... CORP</v>
      </c>
      <c r="AA51" s="19" t="str">
        <f>IFERROR(_xll.BDP(E51&amp;" Corp","YAS_YLD_SPREAD","YAS_BOND_PX="&amp;X51,"YAS_BNCHMRK_BOND_PX="&amp;Z51),"--")</f>
        <v>#N/A Requesting Data...</v>
      </c>
      <c r="AB51" s="19" t="str">
        <f>IFERROR(_xll.BDP(E51&amp;" Corp","BLOOMBERG_MID_G_SPREAD","YAS_BOND_PX="&amp;X51,"YAS_BNCHMRK_BOND_PX="&amp;Z51),"--")</f>
        <v>#N/A Requesting Data...</v>
      </c>
      <c r="AC51" s="19" t="str">
        <f>IFERROR(_xll.BDP(D51,"LAST_PRICE"),"--")</f>
        <v>#N/A Requesting Data...</v>
      </c>
      <c r="AD51" s="20"/>
      <c r="AE51" s="19" t="str">
        <f t="shared" si="0"/>
        <v>#N/A Requesting Data...</v>
      </c>
      <c r="AF51" s="19" t="str">
        <f t="shared" si="1"/>
        <v>--</v>
      </c>
      <c r="AG51" s="21" t="str">
        <f t="shared" si="2"/>
        <v>--</v>
      </c>
      <c r="AH51" s="19" t="str">
        <f t="shared" si="3"/>
        <v>--</v>
      </c>
    </row>
    <row r="52" spans="1:34" x14ac:dyDescent="0.45">
      <c r="A52" s="22" t="s">
        <v>229</v>
      </c>
      <c r="B52" s="23" t="s">
        <v>117</v>
      </c>
      <c r="C52" s="22" t="s">
        <v>230</v>
      </c>
      <c r="D52" s="23" t="s">
        <v>231</v>
      </c>
      <c r="E52" s="23" t="s">
        <v>232</v>
      </c>
      <c r="F52" s="24">
        <v>45853</v>
      </c>
      <c r="G52" s="24">
        <v>46226</v>
      </c>
      <c r="H52" s="24">
        <v>48933</v>
      </c>
      <c r="I52" s="25">
        <v>239.37229919433591</v>
      </c>
      <c r="J52" s="25">
        <v>168.44230651855469</v>
      </c>
      <c r="K52" s="25">
        <v>175.94499999999999</v>
      </c>
      <c r="L52" s="25">
        <v>175.66</v>
      </c>
      <c r="M52" s="26">
        <v>254</v>
      </c>
      <c r="N52" s="27">
        <v>63.427299194335937</v>
      </c>
      <c r="O52" s="28">
        <v>-22.25589331054687</v>
      </c>
      <c r="P52" s="28">
        <v>70.976207519531243</v>
      </c>
      <c r="Q52" s="28">
        <v>30.91845963125154</v>
      </c>
      <c r="R52" s="29">
        <v>91.903101766468069</v>
      </c>
      <c r="S52" s="28">
        <v>-7.5026934814453057</v>
      </c>
      <c r="T52" s="28">
        <v>-70.056993164062476</v>
      </c>
      <c r="U52" s="28">
        <v>20.60501171875001</v>
      </c>
      <c r="V52" s="28">
        <v>-24.710341813370992</v>
      </c>
      <c r="W52" s="30">
        <v>68.997260499007666</v>
      </c>
      <c r="X52" s="16" t="str">
        <f>IFERROR(_xll.BDP(E52&amp;" Corp","LAST_PRICE"),"--")</f>
        <v>#N/A Requesting Data...</v>
      </c>
      <c r="Y52" s="17" t="str">
        <f>IFERROR(_xll.BDP(E52&amp;" Corp","YAS_BENCHMARK_BOND_ISIN"),"--")</f>
        <v>#N/A Requesting Data...</v>
      </c>
      <c r="Z52" s="18" t="str">
        <f>IFERROR(_xll.BDP(Y52&amp;" CORP","LAST_PRICE"),"--")</f>
        <v>#N/A Requesting Data... CORP</v>
      </c>
      <c r="AA52" s="19" t="str">
        <f>IFERROR(_xll.BDP(E52&amp;" Corp","YAS_YLD_SPREAD","YAS_BOND_PX="&amp;X52,"YAS_BNCHMRK_BOND_PX="&amp;Z52),"--")</f>
        <v>#N/A Requesting Data...</v>
      </c>
      <c r="AB52" s="19" t="str">
        <f>IFERROR(_xll.BDP(E52&amp;" Corp","BLOOMBERG_MID_G_SPREAD","YAS_BOND_PX="&amp;X52,"YAS_BNCHMRK_BOND_PX="&amp;Z52),"--")</f>
        <v>#N/A Requesting Data...</v>
      </c>
      <c r="AC52" s="19" t="str">
        <f>IFERROR(_xll.BDP(D52,"LAST_PRICE"),"--")</f>
        <v>#N/A Requesting Data...</v>
      </c>
      <c r="AD52" s="20"/>
      <c r="AE52" s="19" t="str">
        <f t="shared" si="0"/>
        <v>#N/A Requesting Data...</v>
      </c>
      <c r="AF52" s="19" t="str">
        <f t="shared" si="1"/>
        <v>--</v>
      </c>
      <c r="AG52" s="21" t="str">
        <f t="shared" si="2"/>
        <v>--</v>
      </c>
      <c r="AH52" s="19" t="str">
        <f t="shared" si="3"/>
        <v>--</v>
      </c>
    </row>
    <row r="53" spans="1:34" x14ac:dyDescent="0.45">
      <c r="A53" s="7" t="s">
        <v>233</v>
      </c>
      <c r="B53" s="8" t="s">
        <v>117</v>
      </c>
      <c r="C53" s="7" t="s">
        <v>234</v>
      </c>
      <c r="D53" s="8" t="s">
        <v>235</v>
      </c>
      <c r="E53" s="8" t="s">
        <v>236</v>
      </c>
      <c r="F53" s="9">
        <v>46108</v>
      </c>
      <c r="G53" s="9">
        <v>46226</v>
      </c>
      <c r="H53" s="9">
        <v>48019</v>
      </c>
      <c r="I53" s="10">
        <v>240.21299743652341</v>
      </c>
      <c r="J53" s="10">
        <v>240.21299743652341</v>
      </c>
      <c r="K53" s="10">
        <v>335.065</v>
      </c>
      <c r="L53" s="10">
        <v>337.24200000000002</v>
      </c>
      <c r="M53" s="11">
        <v>82</v>
      </c>
      <c r="N53" s="12">
        <v>-94.85200256347656</v>
      </c>
      <c r="O53" s="13">
        <v>-111.8766909179687</v>
      </c>
      <c r="P53" s="13">
        <v>-33.490798583984372</v>
      </c>
      <c r="Q53" s="13">
        <v>-71.449877270210067</v>
      </c>
      <c r="R53" s="14">
        <v>21.719071949776211</v>
      </c>
      <c r="S53" s="13">
        <v>-94.85200256347656</v>
      </c>
      <c r="T53" s="13">
        <v>-111.8766909179687</v>
      </c>
      <c r="U53" s="13">
        <v>-33.490798583984372</v>
      </c>
      <c r="V53" s="13">
        <v>-71.449877270210067</v>
      </c>
      <c r="W53" s="15">
        <v>21.719071949776211</v>
      </c>
      <c r="X53" s="16" t="str">
        <f>IFERROR(_xll.BDP(E53&amp;" Corp","LAST_PRICE"),"--")</f>
        <v>#N/A Requesting Data...</v>
      </c>
      <c r="Y53" s="17" t="str">
        <f>IFERROR(_xll.BDP(E53&amp;" Corp","YAS_BENCHMARK_BOND_ISIN"),"--")</f>
        <v>#N/A Requesting Data...</v>
      </c>
      <c r="Z53" s="18" t="str">
        <f>IFERROR(_xll.BDP(Y53&amp;" CORP","LAST_PRICE"),"--")</f>
        <v>#N/A Requesting Data... CORP</v>
      </c>
      <c r="AA53" s="19" t="str">
        <f>IFERROR(_xll.BDP(E53&amp;" Corp","YAS_YLD_SPREAD","YAS_BOND_PX="&amp;X53,"YAS_BNCHMRK_BOND_PX="&amp;Z53),"--")</f>
        <v>#N/A Requesting Data...</v>
      </c>
      <c r="AB53" s="19" t="str">
        <f>IFERROR(_xll.BDP(E53&amp;" Corp","BLOOMBERG_MID_G_SPREAD","YAS_BOND_PX="&amp;X53,"YAS_BNCHMRK_BOND_PX="&amp;Z53),"--")</f>
        <v>#N/A Requesting Data...</v>
      </c>
      <c r="AC53" s="19" t="str">
        <f>IFERROR(_xll.BDP(D53,"LAST_PRICE"),"--")</f>
        <v>#N/A Requesting Data...</v>
      </c>
      <c r="AD53" s="20"/>
      <c r="AE53" s="19" t="str">
        <f t="shared" si="0"/>
        <v>#N/A Requesting Data...</v>
      </c>
      <c r="AF53" s="19" t="str">
        <f t="shared" si="1"/>
        <v>--</v>
      </c>
      <c r="AG53" s="21" t="str">
        <f t="shared" si="2"/>
        <v>--</v>
      </c>
      <c r="AH53" s="19" t="str">
        <f t="shared" si="3"/>
        <v>--</v>
      </c>
    </row>
    <row r="54" spans="1:34" x14ac:dyDescent="0.45">
      <c r="A54" s="22" t="s">
        <v>237</v>
      </c>
      <c r="B54" s="23" t="s">
        <v>117</v>
      </c>
      <c r="C54" s="22" t="s">
        <v>238</v>
      </c>
      <c r="D54" s="23" t="s">
        <v>239</v>
      </c>
      <c r="E54" s="23" t="s">
        <v>240</v>
      </c>
      <c r="F54" s="24">
        <v>45659</v>
      </c>
      <c r="G54" s="24">
        <v>46226</v>
      </c>
      <c r="H54" s="24">
        <v>48202</v>
      </c>
      <c r="I54" s="25">
        <v>165.2102966308594</v>
      </c>
      <c r="J54" s="25">
        <v>148.21429443359381</v>
      </c>
      <c r="K54" s="25">
        <v>157.714</v>
      </c>
      <c r="L54" s="25">
        <v>161.59200000000001</v>
      </c>
      <c r="M54" s="26">
        <v>387</v>
      </c>
      <c r="N54" s="27">
        <v>7.4962966308593764</v>
      </c>
      <c r="O54" s="28">
        <v>-43.867799804687508</v>
      </c>
      <c r="P54" s="28">
        <v>77.077796142578137</v>
      </c>
      <c r="Q54" s="28">
        <v>-4.1414308135749769</v>
      </c>
      <c r="R54" s="29">
        <v>42.468761291599662</v>
      </c>
      <c r="S54" s="28">
        <v>-9.4997055664062486</v>
      </c>
      <c r="T54" s="28">
        <v>-53.646699951171883</v>
      </c>
      <c r="U54" s="28">
        <v>58.544104736328137</v>
      </c>
      <c r="V54" s="28">
        <v>-17.432837542976301</v>
      </c>
      <c r="W54" s="30">
        <v>39.349922221998611</v>
      </c>
      <c r="X54" s="16" t="str">
        <f>IFERROR(_xll.BDP(E54&amp;" Corp","LAST_PRICE"),"--")</f>
        <v>#N/A Requesting Data...</v>
      </c>
      <c r="Y54" s="17" t="str">
        <f>IFERROR(_xll.BDP(E54&amp;" Corp","YAS_BENCHMARK_BOND_ISIN"),"--")</f>
        <v>#N/A Requesting Data...</v>
      </c>
      <c r="Z54" s="18" t="str">
        <f>IFERROR(_xll.BDP(Y54&amp;" CORP","LAST_PRICE"),"--")</f>
        <v>#N/A Requesting Data... CORP</v>
      </c>
      <c r="AA54" s="19" t="str">
        <f>IFERROR(_xll.BDP(E54&amp;" Corp","YAS_YLD_SPREAD","YAS_BOND_PX="&amp;X54,"YAS_BNCHMRK_BOND_PX="&amp;Z54),"--")</f>
        <v>#N/A Requesting Data...</v>
      </c>
      <c r="AB54" s="19" t="str">
        <f>IFERROR(_xll.BDP(E54&amp;" Corp","BLOOMBERG_MID_G_SPREAD","YAS_BOND_PX="&amp;X54,"YAS_BNCHMRK_BOND_PX="&amp;Z54),"--")</f>
        <v>#N/A Requesting Data...</v>
      </c>
      <c r="AC54" s="19" t="str">
        <f>IFERROR(_xll.BDP(D54,"LAST_PRICE"),"--")</f>
        <v>#N/A Requesting Data...</v>
      </c>
      <c r="AD54" s="20"/>
      <c r="AE54" s="19" t="str">
        <f t="shared" si="0"/>
        <v>#N/A Requesting Data...</v>
      </c>
      <c r="AF54" s="19" t="str">
        <f t="shared" si="1"/>
        <v>--</v>
      </c>
      <c r="AG54" s="21" t="str">
        <f t="shared" si="2"/>
        <v>--</v>
      </c>
      <c r="AH54" s="19" t="str">
        <f t="shared" si="3"/>
        <v>--</v>
      </c>
    </row>
    <row r="55" spans="1:34" x14ac:dyDescent="0.45">
      <c r="A55" s="7" t="s">
        <v>241</v>
      </c>
      <c r="B55" s="8" t="s">
        <v>117</v>
      </c>
      <c r="C55" s="7" t="s">
        <v>242</v>
      </c>
      <c r="D55" s="8" t="s">
        <v>243</v>
      </c>
      <c r="E55" s="8" t="s">
        <v>244</v>
      </c>
      <c r="F55" s="9">
        <v>45659</v>
      </c>
      <c r="G55" s="9">
        <v>46226</v>
      </c>
      <c r="H55" s="9">
        <v>48019</v>
      </c>
      <c r="I55" s="10">
        <v>128.6170959472656</v>
      </c>
      <c r="J55" s="10">
        <v>128.6170959472656</v>
      </c>
      <c r="K55" s="10">
        <v>179.346</v>
      </c>
      <c r="L55" s="10">
        <v>176.86600000000001</v>
      </c>
      <c r="M55" s="11">
        <v>390</v>
      </c>
      <c r="N55" s="12">
        <v>-50.728904052734379</v>
      </c>
      <c r="O55" s="13">
        <v>-107.0102001342773</v>
      </c>
      <c r="P55" s="13">
        <v>-27.23930004882811</v>
      </c>
      <c r="Q55" s="13">
        <v>-66.192708209698026</v>
      </c>
      <c r="R55" s="14">
        <v>70.553668093572213</v>
      </c>
      <c r="S55" s="13">
        <v>-50.728904052734379</v>
      </c>
      <c r="T55" s="13">
        <v>-107.0102001342773</v>
      </c>
      <c r="U55" s="13">
        <v>-27.23930004882811</v>
      </c>
      <c r="V55" s="13">
        <v>-66.192708209698026</v>
      </c>
      <c r="W55" s="15">
        <v>70.553668093572213</v>
      </c>
      <c r="X55" s="16" t="str">
        <f>IFERROR(_xll.BDP(E55&amp;" Corp","LAST_PRICE"),"--")</f>
        <v>#N/A Requesting Data...</v>
      </c>
      <c r="Y55" s="17" t="str">
        <f>IFERROR(_xll.BDP(E55&amp;" Corp","YAS_BENCHMARK_BOND_ISIN"),"--")</f>
        <v>#N/A Requesting Data...</v>
      </c>
      <c r="Z55" s="18" t="str">
        <f>IFERROR(_xll.BDP(Y55&amp;" CORP","LAST_PRICE"),"--")</f>
        <v>#N/A Requesting Data... CORP</v>
      </c>
      <c r="AA55" s="19" t="str">
        <f>IFERROR(_xll.BDP(E55&amp;" Corp","YAS_YLD_SPREAD","YAS_BOND_PX="&amp;X55,"YAS_BNCHMRK_BOND_PX="&amp;Z55),"--")</f>
        <v>#N/A Requesting Data...</v>
      </c>
      <c r="AB55" s="19" t="str">
        <f>IFERROR(_xll.BDP(E55&amp;" Corp","BLOOMBERG_MID_G_SPREAD","YAS_BOND_PX="&amp;X55,"YAS_BNCHMRK_BOND_PX="&amp;Z55),"--")</f>
        <v>#N/A Requesting Data...</v>
      </c>
      <c r="AC55" s="19" t="str">
        <f>IFERROR(_xll.BDP(D55,"LAST_PRICE"),"--")</f>
        <v>#N/A Requesting Data...</v>
      </c>
      <c r="AD55" s="20"/>
      <c r="AE55" s="19" t="str">
        <f t="shared" si="0"/>
        <v>#N/A Requesting Data...</v>
      </c>
      <c r="AF55" s="19" t="str">
        <f t="shared" si="1"/>
        <v>--</v>
      </c>
      <c r="AG55" s="21" t="str">
        <f t="shared" si="2"/>
        <v>--</v>
      </c>
      <c r="AH55" s="19" t="str">
        <f t="shared" si="3"/>
        <v>--</v>
      </c>
    </row>
    <row r="56" spans="1:34" x14ac:dyDescent="0.45">
      <c r="A56" s="22" t="s">
        <v>245</v>
      </c>
      <c r="B56" s="23" t="s">
        <v>117</v>
      </c>
      <c r="C56" s="22" t="s">
        <v>246</v>
      </c>
      <c r="D56" s="23" t="s">
        <v>247</v>
      </c>
      <c r="E56" s="23" t="s">
        <v>248</v>
      </c>
      <c r="F56" s="24">
        <v>45659</v>
      </c>
      <c r="G56" s="24">
        <v>46226</v>
      </c>
      <c r="H56" s="24">
        <v>49115</v>
      </c>
      <c r="I56" s="25">
        <v>100.386100769043</v>
      </c>
      <c r="J56" s="25">
        <v>82.813400268554688</v>
      </c>
      <c r="K56" s="25">
        <v>199.536</v>
      </c>
      <c r="L56" s="25">
        <v>195.02699999999999</v>
      </c>
      <c r="M56" s="26">
        <v>390</v>
      </c>
      <c r="N56" s="27">
        <v>-99.149899230957033</v>
      </c>
      <c r="O56" s="28">
        <v>-125.12749853515621</v>
      </c>
      <c r="P56" s="28">
        <v>-24.767596069335951</v>
      </c>
      <c r="Q56" s="28">
        <v>-77.504671364808686</v>
      </c>
      <c r="R56" s="29">
        <v>25.884440564344342</v>
      </c>
      <c r="S56" s="28">
        <v>-116.7225997314453</v>
      </c>
      <c r="T56" s="28">
        <v>-149.38320532226561</v>
      </c>
      <c r="U56" s="28">
        <v>-51.363299194335951</v>
      </c>
      <c r="V56" s="28">
        <v>-99.529319121531927</v>
      </c>
      <c r="W56" s="30">
        <v>33.320380401296902</v>
      </c>
      <c r="X56" s="16" t="str">
        <f>IFERROR(_xll.BDP(E56&amp;" Corp","LAST_PRICE"),"--")</f>
        <v>#N/A Requesting Data...</v>
      </c>
      <c r="Y56" s="17" t="str">
        <f>IFERROR(_xll.BDP(E56&amp;" Corp","YAS_BENCHMARK_BOND_ISIN"),"--")</f>
        <v>#N/A Requesting Data...</v>
      </c>
      <c r="Z56" s="18" t="str">
        <f>IFERROR(_xll.BDP(Y56&amp;" CORP","LAST_PRICE"),"--")</f>
        <v>#N/A Requesting Data... CORP</v>
      </c>
      <c r="AA56" s="19" t="str">
        <f>IFERROR(_xll.BDP(E56&amp;" Corp","YAS_YLD_SPREAD","YAS_BOND_PX="&amp;X56,"YAS_BNCHMRK_BOND_PX="&amp;Z56),"--")</f>
        <v>#N/A Requesting Data...</v>
      </c>
      <c r="AB56" s="19" t="str">
        <f>IFERROR(_xll.BDP(E56&amp;" Corp","BLOOMBERG_MID_G_SPREAD","YAS_BOND_PX="&amp;X56,"YAS_BNCHMRK_BOND_PX="&amp;Z56),"--")</f>
        <v>#N/A Requesting Data...</v>
      </c>
      <c r="AC56" s="19" t="str">
        <f>IFERROR(_xll.BDP(D56,"LAST_PRICE"),"--")</f>
        <v>#N/A Requesting Data...</v>
      </c>
      <c r="AD56" s="20"/>
      <c r="AE56" s="19" t="str">
        <f t="shared" si="0"/>
        <v>#N/A Requesting Data...</v>
      </c>
      <c r="AF56" s="19" t="str">
        <f t="shared" si="1"/>
        <v>--</v>
      </c>
      <c r="AG56" s="21" t="str">
        <f t="shared" si="2"/>
        <v>--</v>
      </c>
      <c r="AH56" s="19" t="str">
        <f t="shared" si="3"/>
        <v>--</v>
      </c>
    </row>
    <row r="57" spans="1:34" x14ac:dyDescent="0.45">
      <c r="A57" s="7" t="s">
        <v>249</v>
      </c>
      <c r="B57" s="8" t="s">
        <v>117</v>
      </c>
      <c r="C57" s="7" t="s">
        <v>250</v>
      </c>
      <c r="D57" s="8" t="s">
        <v>251</v>
      </c>
      <c r="E57" s="8" t="s">
        <v>252</v>
      </c>
      <c r="F57" s="9">
        <v>45659</v>
      </c>
      <c r="G57" s="9">
        <v>46226</v>
      </c>
      <c r="H57" s="9">
        <v>48202</v>
      </c>
      <c r="I57" s="10">
        <v>395.19320678710938</v>
      </c>
      <c r="J57" s="10">
        <v>372.989990234375</v>
      </c>
      <c r="K57" s="10">
        <v>361.56799999999998</v>
      </c>
      <c r="L57" s="10">
        <v>362.24799999999999</v>
      </c>
      <c r="M57" s="11">
        <v>390</v>
      </c>
      <c r="N57" s="12">
        <v>33.625206787109391</v>
      </c>
      <c r="O57" s="13">
        <v>8.0288903808593659</v>
      </c>
      <c r="P57" s="13">
        <v>161.76350048828121</v>
      </c>
      <c r="Q57" s="13">
        <v>80.230048026216963</v>
      </c>
      <c r="R57" s="14">
        <v>16.649677251182819</v>
      </c>
      <c r="S57" s="13">
        <v>11.42199023437502</v>
      </c>
      <c r="T57" s="13">
        <v>-20.365091552734381</v>
      </c>
      <c r="U57" s="13">
        <v>145.47300366210939</v>
      </c>
      <c r="V57" s="13">
        <v>58.720627093349371</v>
      </c>
      <c r="W57" s="15">
        <v>19.167539126597632</v>
      </c>
      <c r="X57" s="16" t="str">
        <f>IFERROR(_xll.BDP(E57&amp;" Corp","LAST_PRICE"),"--")</f>
        <v>#N/A Requesting Data...</v>
      </c>
      <c r="Y57" s="17" t="str">
        <f>IFERROR(_xll.BDP(E57&amp;" Corp","YAS_BENCHMARK_BOND_ISIN"),"--")</f>
        <v>#N/A Requesting Data...</v>
      </c>
      <c r="Z57" s="18" t="str">
        <f>IFERROR(_xll.BDP(Y57&amp;" CORP","LAST_PRICE"),"--")</f>
        <v>#N/A Requesting Data... CORP</v>
      </c>
      <c r="AA57" s="19" t="str">
        <f>IFERROR(_xll.BDP(E57&amp;" Corp","YAS_YLD_SPREAD","YAS_BOND_PX="&amp;X57,"YAS_BNCHMRK_BOND_PX="&amp;Z57),"--")</f>
        <v>#N/A Requesting Data...</v>
      </c>
      <c r="AB57" s="19" t="str">
        <f>IFERROR(_xll.BDP(E57&amp;" Corp","BLOOMBERG_MID_G_SPREAD","YAS_BOND_PX="&amp;X57,"YAS_BNCHMRK_BOND_PX="&amp;Z57),"--")</f>
        <v>#N/A Requesting Data...</v>
      </c>
      <c r="AC57" s="19" t="str">
        <f>IFERROR(_xll.BDP(D57,"LAST_PRICE"),"--")</f>
        <v>#N/A Requesting Data...</v>
      </c>
      <c r="AD57" s="20"/>
      <c r="AE57" s="19" t="str">
        <f t="shared" si="0"/>
        <v>#N/A Requesting Data...</v>
      </c>
      <c r="AF57" s="19" t="str">
        <f t="shared" si="1"/>
        <v>--</v>
      </c>
      <c r="AG57" s="21" t="str">
        <f t="shared" si="2"/>
        <v>--</v>
      </c>
      <c r="AH57" s="19" t="str">
        <f t="shared" si="3"/>
        <v>--</v>
      </c>
    </row>
    <row r="58" spans="1:34" x14ac:dyDescent="0.45">
      <c r="A58" s="22" t="s">
        <v>253</v>
      </c>
      <c r="B58" s="23" t="s">
        <v>117</v>
      </c>
      <c r="C58" s="22" t="s">
        <v>254</v>
      </c>
      <c r="D58" s="23" t="s">
        <v>255</v>
      </c>
      <c r="E58" s="23" t="s">
        <v>256</v>
      </c>
      <c r="F58" s="24">
        <v>46044</v>
      </c>
      <c r="G58" s="24">
        <v>46226</v>
      </c>
      <c r="H58" s="24">
        <v>48202</v>
      </c>
      <c r="I58" s="25">
        <v>747.0560302734375</v>
      </c>
      <c r="J58" s="25">
        <v>742.3272705078125</v>
      </c>
      <c r="K58" s="25">
        <v>805.28300000000002</v>
      </c>
      <c r="L58" s="25">
        <v>809.17899999999997</v>
      </c>
      <c r="M58" s="26">
        <v>122</v>
      </c>
      <c r="N58" s="27">
        <v>-58.226969726562523</v>
      </c>
      <c r="O58" s="28">
        <v>-175.452318359375</v>
      </c>
      <c r="P58" s="28">
        <v>-37.149301269531293</v>
      </c>
      <c r="Q58" s="28">
        <v>-104.8319854956455</v>
      </c>
      <c r="R58" s="29">
        <v>84.759791289774356</v>
      </c>
      <c r="S58" s="28">
        <v>-62.955729492187523</v>
      </c>
      <c r="T58" s="28">
        <v>-189.5640126953125</v>
      </c>
      <c r="U58" s="28">
        <v>-48.261300781250043</v>
      </c>
      <c r="V58" s="28">
        <v>-116.391321234809</v>
      </c>
      <c r="W58" s="30">
        <v>89.600745440841692</v>
      </c>
      <c r="X58" s="16" t="str">
        <f>IFERROR(_xll.BDP(E58&amp;" Corp","LAST_PRICE"),"--")</f>
        <v>#N/A Requesting Data...</v>
      </c>
      <c r="Y58" s="17" t="str">
        <f>IFERROR(_xll.BDP(E58&amp;" Corp","YAS_BENCHMARK_BOND_ISIN"),"--")</f>
        <v>#N/A Requesting Data...</v>
      </c>
      <c r="Z58" s="18" t="str">
        <f>IFERROR(_xll.BDP(Y58&amp;" CORP","LAST_PRICE"),"--")</f>
        <v>#N/A Requesting Data... CORP</v>
      </c>
      <c r="AA58" s="19" t="str">
        <f>IFERROR(_xll.BDP(E58&amp;" Corp","YAS_YLD_SPREAD","YAS_BOND_PX="&amp;X58,"YAS_BNCHMRK_BOND_PX="&amp;Z58),"--")</f>
        <v>#N/A Requesting Data...</v>
      </c>
      <c r="AB58" s="19" t="str">
        <f>IFERROR(_xll.BDP(E58&amp;" Corp","BLOOMBERG_MID_G_SPREAD","YAS_BOND_PX="&amp;X58,"YAS_BNCHMRK_BOND_PX="&amp;Z58),"--")</f>
        <v>#N/A Requesting Data...</v>
      </c>
      <c r="AC58" s="19" t="str">
        <f>IFERROR(_xll.BDP(D58,"LAST_PRICE"),"--")</f>
        <v>#N/A Requesting Data...</v>
      </c>
      <c r="AD58" s="20"/>
      <c r="AE58" s="19" t="str">
        <f t="shared" si="0"/>
        <v>#N/A Requesting Data...</v>
      </c>
      <c r="AF58" s="19" t="str">
        <f t="shared" si="1"/>
        <v>--</v>
      </c>
      <c r="AG58" s="21" t="str">
        <f t="shared" si="2"/>
        <v>--</v>
      </c>
      <c r="AH58" s="19" t="str">
        <f t="shared" si="3"/>
        <v>--</v>
      </c>
    </row>
    <row r="59" spans="1:34" x14ac:dyDescent="0.45">
      <c r="A59" s="7" t="s">
        <v>257</v>
      </c>
      <c r="B59" s="8" t="s">
        <v>117</v>
      </c>
      <c r="C59" s="7" t="s">
        <v>258</v>
      </c>
      <c r="D59" s="8" t="s">
        <v>259</v>
      </c>
      <c r="E59" s="8" t="s">
        <v>260</v>
      </c>
      <c r="F59" s="9">
        <v>45659</v>
      </c>
      <c r="G59" s="9">
        <v>46226</v>
      </c>
      <c r="H59" s="9">
        <v>48385</v>
      </c>
      <c r="I59" s="10">
        <v>172.87660217285159</v>
      </c>
      <c r="J59" s="10">
        <v>148.0274963378906</v>
      </c>
      <c r="K59" s="10">
        <v>212.15299999999999</v>
      </c>
      <c r="L59" s="10">
        <v>210.74</v>
      </c>
      <c r="M59" s="11">
        <v>390</v>
      </c>
      <c r="N59" s="12">
        <v>-39.276397827148429</v>
      </c>
      <c r="O59" s="13">
        <v>-144.57950054931641</v>
      </c>
      <c r="P59" s="13">
        <v>-20.07029553222657</v>
      </c>
      <c r="Q59" s="13">
        <v>-85.526080757649751</v>
      </c>
      <c r="R59" s="14">
        <v>84.574552305361124</v>
      </c>
      <c r="S59" s="13">
        <v>-64.125503662109367</v>
      </c>
      <c r="T59" s="13">
        <v>-158.7144930419922</v>
      </c>
      <c r="U59" s="13">
        <v>-40.803295898437511</v>
      </c>
      <c r="V59" s="13">
        <v>-101.74045164168921</v>
      </c>
      <c r="W59" s="15">
        <v>80.220531782679203</v>
      </c>
      <c r="X59" s="16" t="str">
        <f>IFERROR(_xll.BDP(E59&amp;" Corp","LAST_PRICE"),"--")</f>
        <v>#N/A Requesting Data...</v>
      </c>
      <c r="Y59" s="17" t="str">
        <f>IFERROR(_xll.BDP(E59&amp;" Corp","YAS_BENCHMARK_BOND_ISIN"),"--")</f>
        <v>#N/A Requesting Data...</v>
      </c>
      <c r="Z59" s="18" t="str">
        <f>IFERROR(_xll.BDP(Y59&amp;" CORP","LAST_PRICE"),"--")</f>
        <v>#N/A Requesting Data... CORP</v>
      </c>
      <c r="AA59" s="19" t="str">
        <f>IFERROR(_xll.BDP(E59&amp;" Corp","YAS_YLD_SPREAD","YAS_BOND_PX="&amp;X59,"YAS_BNCHMRK_BOND_PX="&amp;Z59),"--")</f>
        <v>#N/A Requesting Data...</v>
      </c>
      <c r="AB59" s="19" t="str">
        <f>IFERROR(_xll.BDP(E59&amp;" Corp","BLOOMBERG_MID_G_SPREAD","YAS_BOND_PX="&amp;X59,"YAS_BNCHMRK_BOND_PX="&amp;Z59),"--")</f>
        <v>#N/A Requesting Data...</v>
      </c>
      <c r="AC59" s="19" t="str">
        <f>IFERROR(_xll.BDP(D59,"LAST_PRICE"),"--")</f>
        <v>#N/A Requesting Data...</v>
      </c>
      <c r="AD59" s="20"/>
      <c r="AE59" s="19" t="str">
        <f t="shared" si="0"/>
        <v>#N/A Requesting Data...</v>
      </c>
      <c r="AF59" s="19" t="str">
        <f t="shared" si="1"/>
        <v>--</v>
      </c>
      <c r="AG59" s="21" t="str">
        <f t="shared" si="2"/>
        <v>--</v>
      </c>
      <c r="AH59" s="19" t="str">
        <f t="shared" si="3"/>
        <v>--</v>
      </c>
    </row>
    <row r="60" spans="1:34" x14ac:dyDescent="0.45">
      <c r="A60" s="22" t="s">
        <v>261</v>
      </c>
      <c r="B60" s="23" t="s">
        <v>117</v>
      </c>
      <c r="C60" s="22" t="s">
        <v>262</v>
      </c>
      <c r="D60" s="23" t="s">
        <v>263</v>
      </c>
      <c r="E60" s="23" t="s">
        <v>264</v>
      </c>
      <c r="F60" s="24">
        <v>45742</v>
      </c>
      <c r="G60" s="24">
        <v>46226</v>
      </c>
      <c r="H60" s="24">
        <v>48385</v>
      </c>
      <c r="I60" s="25">
        <v>192.9544982910156</v>
      </c>
      <c r="J60" s="25">
        <v>170.70100402832031</v>
      </c>
      <c r="K60" s="25">
        <v>230.62700000000001</v>
      </c>
      <c r="L60" s="25">
        <v>237.81299999999999</v>
      </c>
      <c r="M60" s="26">
        <v>304</v>
      </c>
      <c r="N60" s="27">
        <v>-37.672501708984377</v>
      </c>
      <c r="O60" s="28">
        <v>-154.6089975585937</v>
      </c>
      <c r="P60" s="28">
        <v>-16.123003662109401</v>
      </c>
      <c r="Q60" s="28">
        <v>-66.328010836551059</v>
      </c>
      <c r="R60" s="29">
        <v>84.439222017655567</v>
      </c>
      <c r="S60" s="28">
        <v>-59.925995971679697</v>
      </c>
      <c r="T60" s="28">
        <v>-150.82118627929691</v>
      </c>
      <c r="U60" s="28">
        <v>-44.425707519531272</v>
      </c>
      <c r="V60" s="28">
        <v>-87.833229242023663</v>
      </c>
      <c r="W60" s="30">
        <v>85.431440665681748</v>
      </c>
      <c r="X60" s="16" t="str">
        <f>IFERROR(_xll.BDP(E60&amp;" Corp","LAST_PRICE"),"--")</f>
        <v>#N/A Requesting Data...</v>
      </c>
      <c r="Y60" s="17" t="str">
        <f>IFERROR(_xll.BDP(E60&amp;" Corp","YAS_BENCHMARK_BOND_ISIN"),"--")</f>
        <v>#N/A Requesting Data...</v>
      </c>
      <c r="Z60" s="18" t="str">
        <f>IFERROR(_xll.BDP(Y60&amp;" CORP","LAST_PRICE"),"--")</f>
        <v>#N/A Requesting Data... CORP</v>
      </c>
      <c r="AA60" s="19" t="str">
        <f>IFERROR(_xll.BDP(E60&amp;" Corp","YAS_YLD_SPREAD","YAS_BOND_PX="&amp;X60,"YAS_BNCHMRK_BOND_PX="&amp;Z60),"--")</f>
        <v>#N/A Requesting Data...</v>
      </c>
      <c r="AB60" s="19" t="str">
        <f>IFERROR(_xll.BDP(E60&amp;" Corp","BLOOMBERG_MID_G_SPREAD","YAS_BOND_PX="&amp;X60,"YAS_BNCHMRK_BOND_PX="&amp;Z60),"--")</f>
        <v>#N/A Requesting Data...</v>
      </c>
      <c r="AC60" s="19" t="str">
        <f>IFERROR(_xll.BDP(D60,"LAST_PRICE"),"--")</f>
        <v>#N/A Requesting Data...</v>
      </c>
      <c r="AD60" s="20"/>
      <c r="AE60" s="19" t="str">
        <f t="shared" si="0"/>
        <v>#N/A Requesting Data...</v>
      </c>
      <c r="AF60" s="19" t="str">
        <f t="shared" si="1"/>
        <v>--</v>
      </c>
      <c r="AG60" s="21" t="str">
        <f t="shared" si="2"/>
        <v>--</v>
      </c>
      <c r="AH60" s="19" t="str">
        <f t="shared" si="3"/>
        <v>--</v>
      </c>
    </row>
    <row r="61" spans="1:34" x14ac:dyDescent="0.45">
      <c r="A61" s="7" t="s">
        <v>265</v>
      </c>
      <c r="B61" s="8" t="s">
        <v>117</v>
      </c>
      <c r="C61" s="7" t="s">
        <v>266</v>
      </c>
      <c r="D61" s="8" t="s">
        <v>267</v>
      </c>
      <c r="E61" s="8" t="s">
        <v>268</v>
      </c>
      <c r="F61" s="9">
        <v>45840</v>
      </c>
      <c r="G61" s="9">
        <v>46226</v>
      </c>
      <c r="H61" s="9">
        <v>48933</v>
      </c>
      <c r="I61" s="10">
        <v>119.83730316162109</v>
      </c>
      <c r="J61" s="10">
        <v>84.549896240234375</v>
      </c>
      <c r="K61" s="10">
        <v>127.93899999999999</v>
      </c>
      <c r="L61" s="10">
        <v>120.324</v>
      </c>
      <c r="M61" s="11">
        <v>266</v>
      </c>
      <c r="N61" s="12">
        <v>-8.1016968383788992</v>
      </c>
      <c r="O61" s="13">
        <v>-72.596101623535162</v>
      </c>
      <c r="P61" s="13">
        <v>5.1871986083984316</v>
      </c>
      <c r="Q61" s="13">
        <v>-35.608812832251523</v>
      </c>
      <c r="R61" s="14">
        <v>82.915490333847217</v>
      </c>
      <c r="S61" s="13">
        <v>-43.389103759765618</v>
      </c>
      <c r="T61" s="13">
        <v>-96.623399597167975</v>
      </c>
      <c r="U61" s="13">
        <v>-34.946999877929699</v>
      </c>
      <c r="V61" s="13">
        <v>-66.4825277668659</v>
      </c>
      <c r="W61" s="15">
        <v>86.312262193860462</v>
      </c>
      <c r="X61" s="16" t="str">
        <f>IFERROR(_xll.BDP(E61&amp;" Corp","LAST_PRICE"),"--")</f>
        <v>#N/A Requesting Data...</v>
      </c>
      <c r="Y61" s="17" t="str">
        <f>IFERROR(_xll.BDP(E61&amp;" Corp","YAS_BENCHMARK_BOND_ISIN"),"--")</f>
        <v>#N/A Requesting Data...</v>
      </c>
      <c r="Z61" s="18" t="str">
        <f>IFERROR(_xll.BDP(Y61&amp;" CORP","LAST_PRICE"),"--")</f>
        <v>#N/A Requesting Data... CORP</v>
      </c>
      <c r="AA61" s="19" t="str">
        <f>IFERROR(_xll.BDP(E61&amp;" Corp","YAS_YLD_SPREAD","YAS_BOND_PX="&amp;X61,"YAS_BNCHMRK_BOND_PX="&amp;Z61),"--")</f>
        <v>#N/A Requesting Data...</v>
      </c>
      <c r="AB61" s="19" t="str">
        <f>IFERROR(_xll.BDP(E61&amp;" Corp","BLOOMBERG_MID_G_SPREAD","YAS_BOND_PX="&amp;X61,"YAS_BNCHMRK_BOND_PX="&amp;Z61),"--")</f>
        <v>#N/A Requesting Data...</v>
      </c>
      <c r="AC61" s="19" t="str">
        <f>IFERROR(_xll.BDP(D61,"LAST_PRICE"),"--")</f>
        <v>#N/A Requesting Data...</v>
      </c>
      <c r="AD61" s="20"/>
      <c r="AE61" s="19" t="str">
        <f t="shared" si="0"/>
        <v>#N/A Requesting Data...</v>
      </c>
      <c r="AF61" s="19" t="str">
        <f t="shared" si="1"/>
        <v>--</v>
      </c>
      <c r="AG61" s="21" t="str">
        <f t="shared" si="2"/>
        <v>--</v>
      </c>
      <c r="AH61" s="19" t="str">
        <f t="shared" si="3"/>
        <v>--</v>
      </c>
    </row>
    <row r="62" spans="1:34" x14ac:dyDescent="0.45">
      <c r="A62" s="22" t="s">
        <v>269</v>
      </c>
      <c r="B62" s="23" t="s">
        <v>117</v>
      </c>
      <c r="C62" s="22" t="s">
        <v>270</v>
      </c>
      <c r="D62" s="23" t="s">
        <v>271</v>
      </c>
      <c r="E62" s="23" t="s">
        <v>272</v>
      </c>
      <c r="F62" s="24">
        <v>45659</v>
      </c>
      <c r="G62" s="24">
        <v>46226</v>
      </c>
      <c r="H62" s="24">
        <v>47654</v>
      </c>
      <c r="I62" s="25">
        <v>160.8923034667969</v>
      </c>
      <c r="J62" s="25">
        <v>207.86369323730469</v>
      </c>
      <c r="K62" s="25">
        <v>204.80799999999999</v>
      </c>
      <c r="L62" s="25">
        <v>202.74100000000001</v>
      </c>
      <c r="M62" s="26">
        <v>390</v>
      </c>
      <c r="N62" s="27">
        <v>-43.915696533203118</v>
      </c>
      <c r="O62" s="28">
        <v>-156.71820275878909</v>
      </c>
      <c r="P62" s="28">
        <v>739.72881640624996</v>
      </c>
      <c r="Q62" s="28">
        <v>155.92865546249001</v>
      </c>
      <c r="R62" s="29">
        <v>12.58328755788061</v>
      </c>
      <c r="S62" s="28">
        <v>3.0556932373046952</v>
      </c>
      <c r="T62" s="28">
        <v>-114.1958944091797</v>
      </c>
      <c r="U62" s="28">
        <v>778.25042285156246</v>
      </c>
      <c r="V62" s="28">
        <v>205.86123004275589</v>
      </c>
      <c r="W62" s="30">
        <v>13.138223036918809</v>
      </c>
      <c r="X62" s="16" t="str">
        <f>IFERROR(_xll.BDP(E62&amp;" Corp","LAST_PRICE"),"--")</f>
        <v>#N/A Requesting Data...</v>
      </c>
      <c r="Y62" s="17" t="str">
        <f>IFERROR(_xll.BDP(E62&amp;" Corp","YAS_BENCHMARK_BOND_ISIN"),"--")</f>
        <v>#N/A Requesting Data...</v>
      </c>
      <c r="Z62" s="18" t="str">
        <f>IFERROR(_xll.BDP(Y62&amp;" CORP","LAST_PRICE"),"--")</f>
        <v>#N/A Requesting Data... CORP</v>
      </c>
      <c r="AA62" s="19" t="str">
        <f>IFERROR(_xll.BDP(E62&amp;" Corp","YAS_YLD_SPREAD","YAS_BOND_PX="&amp;X62,"YAS_BNCHMRK_BOND_PX="&amp;Z62),"--")</f>
        <v>#N/A Requesting Data...</v>
      </c>
      <c r="AB62" s="19" t="str">
        <f>IFERROR(_xll.BDP(E62&amp;" Corp","BLOOMBERG_MID_G_SPREAD","YAS_BOND_PX="&amp;X62,"YAS_BNCHMRK_BOND_PX="&amp;Z62),"--")</f>
        <v>#N/A Requesting Data...</v>
      </c>
      <c r="AC62" s="19" t="str">
        <f>IFERROR(_xll.BDP(D62,"LAST_PRICE"),"--")</f>
        <v>#N/A Requesting Data...</v>
      </c>
      <c r="AD62" s="20"/>
      <c r="AE62" s="19" t="str">
        <f t="shared" si="0"/>
        <v>#N/A Requesting Data...</v>
      </c>
      <c r="AF62" s="19" t="str">
        <f t="shared" si="1"/>
        <v>--</v>
      </c>
      <c r="AG62" s="21" t="str">
        <f t="shared" si="2"/>
        <v>--</v>
      </c>
      <c r="AH62" s="19" t="str">
        <f t="shared" si="3"/>
        <v>--</v>
      </c>
    </row>
    <row r="63" spans="1:34" x14ac:dyDescent="0.45">
      <c r="A63" s="7" t="s">
        <v>273</v>
      </c>
      <c r="B63" s="8" t="s">
        <v>117</v>
      </c>
      <c r="C63" s="7" t="s">
        <v>274</v>
      </c>
      <c r="D63" s="8" t="s">
        <v>275</v>
      </c>
      <c r="E63" s="8" t="s">
        <v>276</v>
      </c>
      <c r="F63" s="9">
        <v>45911</v>
      </c>
      <c r="G63" s="9">
        <v>46226</v>
      </c>
      <c r="H63" s="9">
        <v>48019</v>
      </c>
      <c r="I63" s="10">
        <v>272.50360107421881</v>
      </c>
      <c r="J63" s="10">
        <v>272.50360107421881</v>
      </c>
      <c r="K63" s="10">
        <v>305.07799999999997</v>
      </c>
      <c r="L63" s="10">
        <v>302.27699999999999</v>
      </c>
      <c r="M63" s="11">
        <v>217</v>
      </c>
      <c r="N63" s="12">
        <v>-32.574398925781217</v>
      </c>
      <c r="O63" s="13">
        <v>-109.3837084960937</v>
      </c>
      <c r="P63" s="13">
        <v>-6.5891857910156091</v>
      </c>
      <c r="Q63" s="13">
        <v>-40.256287241008422</v>
      </c>
      <c r="R63" s="14">
        <v>74.721208435085302</v>
      </c>
      <c r="S63" s="13">
        <v>-32.574398925781217</v>
      </c>
      <c r="T63" s="13">
        <v>-109.3837084960937</v>
      </c>
      <c r="U63" s="13">
        <v>-6.5891857910156091</v>
      </c>
      <c r="V63" s="13">
        <v>-40.256287241008422</v>
      </c>
      <c r="W63" s="15">
        <v>74.721208435085302</v>
      </c>
      <c r="X63" s="16" t="str">
        <f>IFERROR(_xll.BDP(E63&amp;" Corp","LAST_PRICE"),"--")</f>
        <v>#N/A Requesting Data...</v>
      </c>
      <c r="Y63" s="17" t="str">
        <f>IFERROR(_xll.BDP(E63&amp;" Corp","YAS_BENCHMARK_BOND_ISIN"),"--")</f>
        <v>#N/A Requesting Data...</v>
      </c>
      <c r="Z63" s="18" t="str">
        <f>IFERROR(_xll.BDP(Y63&amp;" CORP","LAST_PRICE"),"--")</f>
        <v>#N/A Requesting Data... CORP</v>
      </c>
      <c r="AA63" s="19" t="str">
        <f>IFERROR(_xll.BDP(E63&amp;" Corp","YAS_YLD_SPREAD","YAS_BOND_PX="&amp;X63,"YAS_BNCHMRK_BOND_PX="&amp;Z63),"--")</f>
        <v>#N/A Requesting Data...</v>
      </c>
      <c r="AB63" s="19" t="str">
        <f>IFERROR(_xll.BDP(E63&amp;" Corp","BLOOMBERG_MID_G_SPREAD","YAS_BOND_PX="&amp;X63,"YAS_BNCHMRK_BOND_PX="&amp;Z63),"--")</f>
        <v>#N/A Requesting Data...</v>
      </c>
      <c r="AC63" s="19" t="str">
        <f>IFERROR(_xll.BDP(D63,"LAST_PRICE"),"--")</f>
        <v>#N/A Requesting Data...</v>
      </c>
      <c r="AD63" s="20"/>
      <c r="AE63" s="19" t="str">
        <f t="shared" si="0"/>
        <v>#N/A Requesting Data...</v>
      </c>
      <c r="AF63" s="19" t="str">
        <f t="shared" si="1"/>
        <v>--</v>
      </c>
      <c r="AG63" s="21" t="str">
        <f t="shared" si="2"/>
        <v>--</v>
      </c>
      <c r="AH63" s="19" t="str">
        <f t="shared" si="3"/>
        <v>--</v>
      </c>
    </row>
    <row r="64" spans="1:34" x14ac:dyDescent="0.45">
      <c r="A64" s="22" t="s">
        <v>277</v>
      </c>
      <c r="B64" s="23" t="s">
        <v>117</v>
      </c>
      <c r="C64" s="22" t="s">
        <v>278</v>
      </c>
      <c r="D64" s="23" t="s">
        <v>279</v>
      </c>
      <c r="E64" s="23" t="s">
        <v>280</v>
      </c>
      <c r="F64" s="24">
        <v>45659</v>
      </c>
      <c r="G64" s="24">
        <v>46226</v>
      </c>
      <c r="H64" s="24">
        <v>47472</v>
      </c>
      <c r="I64" s="25">
        <v>0</v>
      </c>
      <c r="J64" s="25">
        <v>0</v>
      </c>
      <c r="K64" s="25">
        <v>4969.567</v>
      </c>
      <c r="L64" s="25">
        <v>4820.491</v>
      </c>
      <c r="M64" s="26">
        <v>390</v>
      </c>
      <c r="N64" s="27">
        <v>-4969.567</v>
      </c>
      <c r="O64" s="28">
        <v>-5346.5249999999996</v>
      </c>
      <c r="P64" s="28">
        <v>32126.044687500002</v>
      </c>
      <c r="Q64" s="28">
        <v>1857.3672192432889</v>
      </c>
      <c r="R64" s="29">
        <v>1.005957165851223</v>
      </c>
      <c r="S64" s="28">
        <v>-4969.567</v>
      </c>
      <c r="T64" s="28">
        <v>-5346.5249999999996</v>
      </c>
      <c r="U64" s="28">
        <v>77529.281000000003</v>
      </c>
      <c r="V64" s="28">
        <v>2588.1155076208629</v>
      </c>
      <c r="W64" s="30">
        <v>0.45484685844261907</v>
      </c>
      <c r="X64" s="16" t="str">
        <f>IFERROR(_xll.BDP(E64&amp;" Corp","LAST_PRICE"),"--")</f>
        <v>#N/A Requesting Data...</v>
      </c>
      <c r="Y64" s="17" t="str">
        <f>IFERROR(_xll.BDP(E64&amp;" Corp","YAS_BENCHMARK_BOND_ISIN"),"--")</f>
        <v>#N/A Requesting Data...</v>
      </c>
      <c r="Z64" s="18" t="str">
        <f>IFERROR(_xll.BDP(Y64&amp;" CORP","LAST_PRICE"),"--")</f>
        <v>#N/A Requesting Data... CORP</v>
      </c>
      <c r="AA64" s="19" t="str">
        <f>IFERROR(_xll.BDP(E64&amp;" Corp","YAS_YLD_SPREAD","YAS_BOND_PX="&amp;X64,"YAS_BNCHMRK_BOND_PX="&amp;Z64),"--")</f>
        <v>#N/A Requesting Data...</v>
      </c>
      <c r="AB64" s="19" t="str">
        <f>IFERROR(_xll.BDP(E64&amp;" Corp","BLOOMBERG_MID_G_SPREAD","YAS_BOND_PX="&amp;X64,"YAS_BNCHMRK_BOND_PX="&amp;Z64),"--")</f>
        <v>#N/A Requesting Data...</v>
      </c>
      <c r="AC64" s="19" t="str">
        <f>IFERROR(_xll.BDP(D64,"LAST_PRICE"),"--")</f>
        <v>#N/A Requesting Data...</v>
      </c>
      <c r="AD64" s="20"/>
      <c r="AE64" s="19" t="str">
        <f t="shared" si="0"/>
        <v>#N/A Requesting Data...</v>
      </c>
      <c r="AF64" s="19" t="str">
        <f t="shared" si="1"/>
        <v>--</v>
      </c>
      <c r="AG64" s="21" t="str">
        <f t="shared" si="2"/>
        <v>--</v>
      </c>
      <c r="AH64" s="19" t="str">
        <f t="shared" si="3"/>
        <v>--</v>
      </c>
    </row>
    <row r="65" spans="1:34" x14ac:dyDescent="0.45">
      <c r="A65" s="7" t="s">
        <v>281</v>
      </c>
      <c r="B65" s="8" t="s">
        <v>117</v>
      </c>
      <c r="C65" s="7" t="s">
        <v>282</v>
      </c>
      <c r="D65" s="8" t="s">
        <v>283</v>
      </c>
      <c r="E65" s="8" t="s">
        <v>284</v>
      </c>
      <c r="F65" s="9">
        <v>45692</v>
      </c>
      <c r="G65" s="9">
        <v>46226</v>
      </c>
      <c r="H65" s="9">
        <v>47654</v>
      </c>
      <c r="I65" s="10">
        <v>1219.755004882812</v>
      </c>
      <c r="J65" s="10">
        <v>1198.917236328125</v>
      </c>
      <c r="K65" s="10">
        <v>1397.2429999999999</v>
      </c>
      <c r="L65" s="10">
        <v>1496.557</v>
      </c>
      <c r="M65" s="11">
        <v>368</v>
      </c>
      <c r="N65" s="12">
        <v>-177.48799511718741</v>
      </c>
      <c r="O65" s="13">
        <v>-3623.13</v>
      </c>
      <c r="P65" s="13">
        <v>40645.286968749999</v>
      </c>
      <c r="Q65" s="13">
        <v>751.95194805112101</v>
      </c>
      <c r="R65" s="14">
        <v>7.7835220701819168</v>
      </c>
      <c r="S65" s="13">
        <v>-198.32576367187491</v>
      </c>
      <c r="T65" s="13">
        <v>-3623.13</v>
      </c>
      <c r="U65" s="13">
        <v>35347.683781250002</v>
      </c>
      <c r="V65" s="13">
        <v>2105.6488327066122</v>
      </c>
      <c r="W65" s="15">
        <v>8.7881260462051198</v>
      </c>
      <c r="X65" s="16" t="str">
        <f>IFERROR(_xll.BDP(E65&amp;" Corp","LAST_PRICE"),"--")</f>
        <v>#N/A Requesting Data...</v>
      </c>
      <c r="Y65" s="17" t="str">
        <f>IFERROR(_xll.BDP(E65&amp;" Corp","YAS_BENCHMARK_BOND_ISIN"),"--")</f>
        <v>#N/A Requesting Data...</v>
      </c>
      <c r="Z65" s="18" t="str">
        <f>IFERROR(_xll.BDP(Y65&amp;" CORP","LAST_PRICE"),"--")</f>
        <v>#N/A Requesting Data... CORP</v>
      </c>
      <c r="AA65" s="19" t="str">
        <f>IFERROR(_xll.BDP(E65&amp;" Corp","YAS_YLD_SPREAD","YAS_BOND_PX="&amp;X65,"YAS_BNCHMRK_BOND_PX="&amp;Z65),"--")</f>
        <v>#N/A Requesting Data...</v>
      </c>
      <c r="AB65" s="19" t="str">
        <f>IFERROR(_xll.BDP(E65&amp;" Corp","BLOOMBERG_MID_G_SPREAD","YAS_BOND_PX="&amp;X65,"YAS_BNCHMRK_BOND_PX="&amp;Z65),"--")</f>
        <v>#N/A Requesting Data...</v>
      </c>
      <c r="AC65" s="19" t="str">
        <f>IFERROR(_xll.BDP(D65,"LAST_PRICE"),"--")</f>
        <v>#N/A Requesting Data...</v>
      </c>
      <c r="AD65" s="20"/>
      <c r="AE65" s="19" t="str">
        <f t="shared" si="0"/>
        <v>#N/A Requesting Data...</v>
      </c>
      <c r="AF65" s="19" t="str">
        <f t="shared" si="1"/>
        <v>--</v>
      </c>
      <c r="AG65" s="21" t="str">
        <f t="shared" si="2"/>
        <v>--</v>
      </c>
      <c r="AH65" s="19" t="str">
        <f t="shared" si="3"/>
        <v>--</v>
      </c>
    </row>
    <row r="66" spans="1:34" x14ac:dyDescent="0.45">
      <c r="A66" s="22" t="s">
        <v>285</v>
      </c>
      <c r="B66" s="23" t="s">
        <v>117</v>
      </c>
      <c r="C66" s="22" t="s">
        <v>286</v>
      </c>
      <c r="D66" s="23" t="s">
        <v>287</v>
      </c>
      <c r="E66" s="23" t="s">
        <v>288</v>
      </c>
      <c r="F66" s="24">
        <v>45659</v>
      </c>
      <c r="G66" s="24">
        <v>46226</v>
      </c>
      <c r="H66" s="24">
        <v>48750</v>
      </c>
      <c r="I66" s="25">
        <v>178.74070739746091</v>
      </c>
      <c r="J66" s="25">
        <v>131.86680603027341</v>
      </c>
      <c r="K66" s="25">
        <v>176.792</v>
      </c>
      <c r="L66" s="25">
        <v>180.18100000000001</v>
      </c>
      <c r="M66" s="26">
        <v>390</v>
      </c>
      <c r="N66" s="27">
        <v>1.9487073974609359</v>
      </c>
      <c r="O66" s="28">
        <v>-93.592904907226568</v>
      </c>
      <c r="P66" s="28">
        <v>14.01000292968749</v>
      </c>
      <c r="Q66" s="28">
        <v>-43.660293653908752</v>
      </c>
      <c r="R66" s="29">
        <v>88.790920454949983</v>
      </c>
      <c r="S66" s="28">
        <v>-44.925193969726557</v>
      </c>
      <c r="T66" s="28">
        <v>-105.6818968505859</v>
      </c>
      <c r="U66" s="28">
        <v>-24.62900402832031</v>
      </c>
      <c r="V66" s="28">
        <v>-69.771324056459093</v>
      </c>
      <c r="W66" s="30">
        <v>74.959326885578122</v>
      </c>
      <c r="X66" s="16" t="str">
        <f>IFERROR(_xll.BDP(E66&amp;" Corp","LAST_PRICE"),"--")</f>
        <v>#N/A Requesting Data...</v>
      </c>
      <c r="Y66" s="17" t="str">
        <f>IFERROR(_xll.BDP(E66&amp;" Corp","YAS_BENCHMARK_BOND_ISIN"),"--")</f>
        <v>#N/A Requesting Data...</v>
      </c>
      <c r="Z66" s="18" t="str">
        <f>IFERROR(_xll.BDP(Y66&amp;" CORP","LAST_PRICE"),"--")</f>
        <v>#N/A Requesting Data... CORP</v>
      </c>
      <c r="AA66" s="19" t="str">
        <f>IFERROR(_xll.BDP(E66&amp;" Corp","YAS_YLD_SPREAD","YAS_BOND_PX="&amp;X66,"YAS_BNCHMRK_BOND_PX="&amp;Z66),"--")</f>
        <v>#N/A Requesting Data...</v>
      </c>
      <c r="AB66" s="19" t="str">
        <f>IFERROR(_xll.BDP(E66&amp;" Corp","BLOOMBERG_MID_G_SPREAD","YAS_BOND_PX="&amp;X66,"YAS_BNCHMRK_BOND_PX="&amp;Z66),"--")</f>
        <v>#N/A Requesting Data...</v>
      </c>
      <c r="AC66" s="19" t="str">
        <f>IFERROR(_xll.BDP(D66,"LAST_PRICE"),"--")</f>
        <v>#N/A Requesting Data...</v>
      </c>
      <c r="AD66" s="20"/>
      <c r="AE66" s="19" t="str">
        <f t="shared" si="0"/>
        <v>#N/A Requesting Data...</v>
      </c>
      <c r="AF66" s="19" t="str">
        <f t="shared" si="1"/>
        <v>--</v>
      </c>
      <c r="AG66" s="21" t="str">
        <f t="shared" si="2"/>
        <v>--</v>
      </c>
      <c r="AH66" s="19" t="str">
        <f t="shared" si="3"/>
        <v>--</v>
      </c>
    </row>
    <row r="67" spans="1:34" x14ac:dyDescent="0.45">
      <c r="A67" s="7" t="s">
        <v>289</v>
      </c>
      <c r="B67" s="8" t="s">
        <v>117</v>
      </c>
      <c r="C67" s="7" t="s">
        <v>290</v>
      </c>
      <c r="D67" s="8" t="s">
        <v>291</v>
      </c>
      <c r="E67" s="8" t="s">
        <v>292</v>
      </c>
      <c r="F67" s="9">
        <v>45659</v>
      </c>
      <c r="G67" s="9">
        <v>46226</v>
      </c>
      <c r="H67" s="9">
        <v>48202</v>
      </c>
      <c r="I67" s="10">
        <v>212.74540710449219</v>
      </c>
      <c r="J67" s="10">
        <v>168.62510681152341</v>
      </c>
      <c r="K67" s="10">
        <v>127.851</v>
      </c>
      <c r="L67" s="10">
        <v>133.08199999999999</v>
      </c>
      <c r="M67" s="11">
        <v>381</v>
      </c>
      <c r="N67" s="12">
        <v>84.894407104492188</v>
      </c>
      <c r="O67" s="13">
        <v>-24.288904785156259</v>
      </c>
      <c r="P67" s="13">
        <v>296.49129516601562</v>
      </c>
      <c r="Q67" s="13">
        <v>87.419720904332763</v>
      </c>
      <c r="R67" s="14">
        <v>34.036799000146509</v>
      </c>
      <c r="S67" s="13">
        <v>40.774106811523438</v>
      </c>
      <c r="T67" s="13">
        <v>-48.525796264648449</v>
      </c>
      <c r="U67" s="13">
        <v>263.78359252929693</v>
      </c>
      <c r="V67" s="13">
        <v>60.211199810297003</v>
      </c>
      <c r="W67" s="15">
        <v>28.59340970216234</v>
      </c>
      <c r="X67" s="16" t="str">
        <f>IFERROR(_xll.BDP(E67&amp;" Corp","LAST_PRICE"),"--")</f>
        <v>#N/A Requesting Data...</v>
      </c>
      <c r="Y67" s="17" t="str">
        <f>IFERROR(_xll.BDP(E67&amp;" Corp","YAS_BENCHMARK_BOND_ISIN"),"--")</f>
        <v>#N/A Requesting Data...</v>
      </c>
      <c r="Z67" s="18" t="str">
        <f>IFERROR(_xll.BDP(Y67&amp;" CORP","LAST_PRICE"),"--")</f>
        <v>#N/A Requesting Data... CORP</v>
      </c>
      <c r="AA67" s="19" t="str">
        <f>IFERROR(_xll.BDP(E67&amp;" Corp","YAS_YLD_SPREAD","YAS_BOND_PX="&amp;X67,"YAS_BNCHMRK_BOND_PX="&amp;Z67),"--")</f>
        <v>#N/A Requesting Data...</v>
      </c>
      <c r="AB67" s="19" t="str">
        <f>IFERROR(_xll.BDP(E67&amp;" Corp","BLOOMBERG_MID_G_SPREAD","YAS_BOND_PX="&amp;X67,"YAS_BNCHMRK_BOND_PX="&amp;Z67),"--")</f>
        <v>#N/A Requesting Data...</v>
      </c>
      <c r="AC67" s="19" t="str">
        <f>IFERROR(_xll.BDP(D67,"LAST_PRICE"),"--")</f>
        <v>#N/A Requesting Data...</v>
      </c>
      <c r="AD67" s="20"/>
      <c r="AE67" s="19" t="str">
        <f t="shared" si="0"/>
        <v>#N/A Requesting Data...</v>
      </c>
      <c r="AF67" s="19" t="str">
        <f t="shared" si="1"/>
        <v>--</v>
      </c>
      <c r="AG67" s="21" t="str">
        <f t="shared" si="2"/>
        <v>--</v>
      </c>
      <c r="AH67" s="19" t="str">
        <f t="shared" si="3"/>
        <v>--</v>
      </c>
    </row>
    <row r="68" spans="1:34" x14ac:dyDescent="0.45">
      <c r="A68" s="22" t="s">
        <v>293</v>
      </c>
      <c r="B68" s="23" t="s">
        <v>117</v>
      </c>
      <c r="C68" s="22" t="s">
        <v>294</v>
      </c>
      <c r="D68" s="23" t="s">
        <v>295</v>
      </c>
      <c r="E68" s="23" t="s">
        <v>296</v>
      </c>
      <c r="F68" s="24">
        <v>45659</v>
      </c>
      <c r="G68" s="24">
        <v>46226</v>
      </c>
      <c r="H68" s="24">
        <v>48019</v>
      </c>
      <c r="I68" s="25">
        <v>138.92219543457031</v>
      </c>
      <c r="J68" s="25">
        <v>138.92219543457031</v>
      </c>
      <c r="K68" s="25">
        <v>141.05099999999999</v>
      </c>
      <c r="L68" s="25">
        <v>143.34899999999999</v>
      </c>
      <c r="M68" s="26">
        <v>389</v>
      </c>
      <c r="N68" s="27">
        <v>-2.1288045654296752</v>
      </c>
      <c r="O68" s="28">
        <v>-37.4478048095703</v>
      </c>
      <c r="P68" s="28">
        <v>53.562404296875002</v>
      </c>
      <c r="Q68" s="28">
        <v>19.92005168187158</v>
      </c>
      <c r="R68" s="29">
        <v>38.807734418928327</v>
      </c>
      <c r="S68" s="28">
        <v>-2.1288045654296752</v>
      </c>
      <c r="T68" s="28">
        <v>-37.4478048095703</v>
      </c>
      <c r="U68" s="28">
        <v>53.562404296875002</v>
      </c>
      <c r="V68" s="28">
        <v>19.92005168187158</v>
      </c>
      <c r="W68" s="30">
        <v>38.807734418928327</v>
      </c>
      <c r="X68" s="16" t="str">
        <f>IFERROR(_xll.BDP(E68&amp;" Corp","LAST_PRICE"),"--")</f>
        <v>#N/A Requesting Data...</v>
      </c>
      <c r="Y68" s="17" t="str">
        <f>IFERROR(_xll.BDP(E68&amp;" Corp","YAS_BENCHMARK_BOND_ISIN"),"--")</f>
        <v>#N/A Requesting Data...</v>
      </c>
      <c r="Z68" s="18" t="str">
        <f>IFERROR(_xll.BDP(Y68&amp;" CORP","LAST_PRICE"),"--")</f>
        <v>#N/A Requesting Data... CORP</v>
      </c>
      <c r="AA68" s="19" t="str">
        <f>IFERROR(_xll.BDP(E68&amp;" Corp","YAS_YLD_SPREAD","YAS_BOND_PX="&amp;X68,"YAS_BNCHMRK_BOND_PX="&amp;Z68),"--")</f>
        <v>#N/A Requesting Data...</v>
      </c>
      <c r="AB68" s="19" t="str">
        <f>IFERROR(_xll.BDP(E68&amp;" Corp","BLOOMBERG_MID_G_SPREAD","YAS_BOND_PX="&amp;X68,"YAS_BNCHMRK_BOND_PX="&amp;Z68),"--")</f>
        <v>#N/A Requesting Data...</v>
      </c>
      <c r="AC68" s="19" t="str">
        <f>IFERROR(_xll.BDP(D68,"LAST_PRICE"),"--")</f>
        <v>#N/A Requesting Data...</v>
      </c>
      <c r="AD68" s="20"/>
      <c r="AE68" s="19" t="str">
        <f t="shared" si="0"/>
        <v>#N/A Requesting Data...</v>
      </c>
      <c r="AF68" s="19" t="str">
        <f t="shared" si="1"/>
        <v>--</v>
      </c>
      <c r="AG68" s="21" t="str">
        <f t="shared" si="2"/>
        <v>--</v>
      </c>
      <c r="AH68" s="19" t="str">
        <f t="shared" si="3"/>
        <v>--</v>
      </c>
    </row>
    <row r="69" spans="1:34" x14ac:dyDescent="0.45">
      <c r="A69" s="7" t="s">
        <v>297</v>
      </c>
      <c r="B69" s="8" t="s">
        <v>117</v>
      </c>
      <c r="C69" s="7" t="s">
        <v>298</v>
      </c>
      <c r="D69" s="8" t="s">
        <v>299</v>
      </c>
      <c r="E69" s="8" t="s">
        <v>300</v>
      </c>
      <c r="F69" s="9">
        <v>45659</v>
      </c>
      <c r="G69" s="9">
        <v>46226</v>
      </c>
      <c r="H69" s="9">
        <v>48019</v>
      </c>
      <c r="I69" s="10">
        <v>442.33670043945313</v>
      </c>
      <c r="J69" s="10">
        <v>442.33670043945313</v>
      </c>
      <c r="K69" s="10">
        <v>326.084</v>
      </c>
      <c r="L69" s="10">
        <v>324.47699999999998</v>
      </c>
      <c r="M69" s="11">
        <v>387</v>
      </c>
      <c r="N69" s="12">
        <v>116.25270043945309</v>
      </c>
      <c r="O69" s="13">
        <v>-120.2902875976563</v>
      </c>
      <c r="P69" s="13">
        <v>1110.36087890625</v>
      </c>
      <c r="Q69" s="13">
        <v>134.03266571912349</v>
      </c>
      <c r="R69" s="14">
        <v>19.22096159134129</v>
      </c>
      <c r="S69" s="13">
        <v>116.25270043945309</v>
      </c>
      <c r="T69" s="13">
        <v>-120.2902875976563</v>
      </c>
      <c r="U69" s="13">
        <v>1110.36087890625</v>
      </c>
      <c r="V69" s="13">
        <v>134.03266571912349</v>
      </c>
      <c r="W69" s="15">
        <v>19.22096159134129</v>
      </c>
      <c r="X69" s="16" t="str">
        <f>IFERROR(_xll.BDP(E69&amp;" Corp","LAST_PRICE"),"--")</f>
        <v>#N/A Requesting Data...</v>
      </c>
      <c r="Y69" s="17" t="str">
        <f>IFERROR(_xll.BDP(E69&amp;" Corp","YAS_BENCHMARK_BOND_ISIN"),"--")</f>
        <v>#N/A Requesting Data...</v>
      </c>
      <c r="Z69" s="18" t="str">
        <f>IFERROR(_xll.BDP(Y69&amp;" CORP","LAST_PRICE"),"--")</f>
        <v>#N/A Requesting Data... CORP</v>
      </c>
      <c r="AA69" s="19" t="str">
        <f>IFERROR(_xll.BDP(E69&amp;" Corp","YAS_YLD_SPREAD","YAS_BOND_PX="&amp;X69,"YAS_BNCHMRK_BOND_PX="&amp;Z69),"--")</f>
        <v>#N/A Requesting Data...</v>
      </c>
      <c r="AB69" s="19" t="str">
        <f>IFERROR(_xll.BDP(E69&amp;" Corp","BLOOMBERG_MID_G_SPREAD","YAS_BOND_PX="&amp;X69,"YAS_BNCHMRK_BOND_PX="&amp;Z69),"--")</f>
        <v>#N/A Requesting Data...</v>
      </c>
      <c r="AC69" s="19" t="str">
        <f>IFERROR(_xll.BDP(D69,"LAST_PRICE"),"--")</f>
        <v>#N/A Requesting Data...</v>
      </c>
      <c r="AD69" s="20"/>
      <c r="AE69" s="19" t="str">
        <f t="shared" ref="AE69:AE132" si="4">IFERROR(IF(ISBLANK(AD69),AC69,AD69),"--")</f>
        <v>#N/A Requesting Data...</v>
      </c>
      <c r="AF69" s="19" t="str">
        <f t="shared" ref="AF69:AF132" si="5">IFERROR(MAX(-500,MIN(500,AE69-AB69)),"--")</f>
        <v>--</v>
      </c>
      <c r="AG69" s="21" t="str">
        <f t="shared" ref="AG69:AG132" si="6">IFERROR((AF69-T69)/(U69-T69)*100,"--")</f>
        <v>--</v>
      </c>
      <c r="AH69" s="19" t="str">
        <f t="shared" ref="AH69:AH132" si="7">IFERROR(AF69-V69,"--")</f>
        <v>--</v>
      </c>
    </row>
    <row r="70" spans="1:34" x14ac:dyDescent="0.45">
      <c r="A70" s="22" t="s">
        <v>301</v>
      </c>
      <c r="B70" s="23" t="s">
        <v>117</v>
      </c>
      <c r="C70" s="22" t="s">
        <v>302</v>
      </c>
      <c r="D70" s="23" t="s">
        <v>303</v>
      </c>
      <c r="E70" s="23" t="s">
        <v>304</v>
      </c>
      <c r="F70" s="24">
        <v>45659</v>
      </c>
      <c r="G70" s="24">
        <v>46226</v>
      </c>
      <c r="H70" s="24">
        <v>47289</v>
      </c>
      <c r="I70" s="25">
        <v>219.71490478515619</v>
      </c>
      <c r="J70" s="25">
        <v>335.85379028320313</v>
      </c>
      <c r="K70" s="25">
        <v>215.64400000000001</v>
      </c>
      <c r="L70" s="25">
        <v>215.70599999999999</v>
      </c>
      <c r="M70" s="26">
        <v>390</v>
      </c>
      <c r="N70" s="27">
        <v>4.0709047851562454</v>
      </c>
      <c r="O70" s="28">
        <v>-264.33671191406239</v>
      </c>
      <c r="P70" s="28">
        <v>34.104006225585948</v>
      </c>
      <c r="Q70" s="28">
        <v>-62.150049715795269</v>
      </c>
      <c r="R70" s="29">
        <v>89.936660912879702</v>
      </c>
      <c r="S70" s="28">
        <v>120.20979028320311</v>
      </c>
      <c r="T70" s="28">
        <v>-110.7477836914062</v>
      </c>
      <c r="U70" s="28">
        <v>314.6137216796875</v>
      </c>
      <c r="V70" s="28">
        <v>64.862661432093915</v>
      </c>
      <c r="W70" s="30">
        <v>54.296773699142662</v>
      </c>
      <c r="X70" s="16" t="str">
        <f>IFERROR(_xll.BDP(E70&amp;" Corp","LAST_PRICE"),"--")</f>
        <v>#N/A Requesting Data...</v>
      </c>
      <c r="Y70" s="17" t="str">
        <f>IFERROR(_xll.BDP(E70&amp;" Corp","YAS_BENCHMARK_BOND_ISIN"),"--")</f>
        <v>#N/A Requesting Data...</v>
      </c>
      <c r="Z70" s="18" t="str">
        <f>IFERROR(_xll.BDP(Y70&amp;" CORP","LAST_PRICE"),"--")</f>
        <v>#N/A Requesting Data... CORP</v>
      </c>
      <c r="AA70" s="19" t="str">
        <f>IFERROR(_xll.BDP(E70&amp;" Corp","YAS_YLD_SPREAD","YAS_BOND_PX="&amp;X70,"YAS_BNCHMRK_BOND_PX="&amp;Z70),"--")</f>
        <v>#N/A Requesting Data...</v>
      </c>
      <c r="AB70" s="19" t="str">
        <f>IFERROR(_xll.BDP(E70&amp;" Corp","BLOOMBERG_MID_G_SPREAD","YAS_BOND_PX="&amp;X70,"YAS_BNCHMRK_BOND_PX="&amp;Z70),"--")</f>
        <v>#N/A Requesting Data...</v>
      </c>
      <c r="AC70" s="19" t="str">
        <f>IFERROR(_xll.BDP(D70,"LAST_PRICE"),"--")</f>
        <v>#N/A Requesting Data...</v>
      </c>
      <c r="AD70" s="20"/>
      <c r="AE70" s="19" t="str">
        <f t="shared" si="4"/>
        <v>#N/A Requesting Data...</v>
      </c>
      <c r="AF70" s="19" t="str">
        <f t="shared" si="5"/>
        <v>--</v>
      </c>
      <c r="AG70" s="21" t="str">
        <f t="shared" si="6"/>
        <v>--</v>
      </c>
      <c r="AH70" s="19" t="str">
        <f t="shared" si="7"/>
        <v>--</v>
      </c>
    </row>
    <row r="71" spans="1:34" x14ac:dyDescent="0.45">
      <c r="A71" s="7" t="s">
        <v>305</v>
      </c>
      <c r="B71" s="8" t="s">
        <v>117</v>
      </c>
      <c r="C71" s="7" t="s">
        <v>306</v>
      </c>
      <c r="D71" s="8" t="s">
        <v>307</v>
      </c>
      <c r="E71" s="8" t="s">
        <v>308</v>
      </c>
      <c r="F71" s="9">
        <v>45659</v>
      </c>
      <c r="G71" s="9">
        <v>46226</v>
      </c>
      <c r="H71" s="9">
        <v>48385</v>
      </c>
      <c r="I71" s="10">
        <v>134.7604064941406</v>
      </c>
      <c r="J71" s="10">
        <v>114.20860290527339</v>
      </c>
      <c r="K71" s="10">
        <v>131.636</v>
      </c>
      <c r="L71" s="10">
        <v>134.10300000000001</v>
      </c>
      <c r="M71" s="11">
        <v>389</v>
      </c>
      <c r="N71" s="12">
        <v>3.1244064941406289</v>
      </c>
      <c r="O71" s="13">
        <v>-28.177801757812489</v>
      </c>
      <c r="P71" s="13">
        <v>37.520499633789058</v>
      </c>
      <c r="Q71" s="13">
        <v>-3.9653192212416148</v>
      </c>
      <c r="R71" s="14">
        <v>47.645384414694462</v>
      </c>
      <c r="S71" s="13">
        <v>-17.427397094726562</v>
      </c>
      <c r="T71" s="13">
        <v>-45.882803588867183</v>
      </c>
      <c r="U71" s="13">
        <v>19.011893676757811</v>
      </c>
      <c r="V71" s="13">
        <v>-20.718090427339991</v>
      </c>
      <c r="W71" s="15">
        <v>43.848585004823768</v>
      </c>
      <c r="X71" s="16" t="str">
        <f>IFERROR(_xll.BDP(E71&amp;" Corp","LAST_PRICE"),"--")</f>
        <v>#N/A Requesting Data...</v>
      </c>
      <c r="Y71" s="17" t="str">
        <f>IFERROR(_xll.BDP(E71&amp;" Corp","YAS_BENCHMARK_BOND_ISIN"),"--")</f>
        <v>#N/A Requesting Data...</v>
      </c>
      <c r="Z71" s="18" t="str">
        <f>IFERROR(_xll.BDP(Y71&amp;" CORP","LAST_PRICE"),"--")</f>
        <v>#N/A Requesting Data... CORP</v>
      </c>
      <c r="AA71" s="19" t="str">
        <f>IFERROR(_xll.BDP(E71&amp;" Corp","YAS_YLD_SPREAD","YAS_BOND_PX="&amp;X71,"YAS_BNCHMRK_BOND_PX="&amp;Z71),"--")</f>
        <v>#N/A Requesting Data...</v>
      </c>
      <c r="AB71" s="19" t="str">
        <f>IFERROR(_xll.BDP(E71&amp;" Corp","BLOOMBERG_MID_G_SPREAD","YAS_BOND_PX="&amp;X71,"YAS_BNCHMRK_BOND_PX="&amp;Z71),"--")</f>
        <v>#N/A Requesting Data...</v>
      </c>
      <c r="AC71" s="19" t="str">
        <f>IFERROR(_xll.BDP(D71,"LAST_PRICE"),"--")</f>
        <v>#N/A Requesting Data...</v>
      </c>
      <c r="AD71" s="20"/>
      <c r="AE71" s="19" t="str">
        <f t="shared" si="4"/>
        <v>#N/A Requesting Data...</v>
      </c>
      <c r="AF71" s="19" t="str">
        <f t="shared" si="5"/>
        <v>--</v>
      </c>
      <c r="AG71" s="21" t="str">
        <f t="shared" si="6"/>
        <v>--</v>
      </c>
      <c r="AH71" s="19" t="str">
        <f t="shared" si="7"/>
        <v>--</v>
      </c>
    </row>
    <row r="72" spans="1:34" x14ac:dyDescent="0.45">
      <c r="A72" s="22" t="s">
        <v>309</v>
      </c>
      <c r="B72" s="23" t="s">
        <v>117</v>
      </c>
      <c r="C72" s="22" t="s">
        <v>310</v>
      </c>
      <c r="D72" s="23" t="s">
        <v>311</v>
      </c>
      <c r="E72" s="23" t="s">
        <v>312</v>
      </c>
      <c r="F72" s="24">
        <v>45659</v>
      </c>
      <c r="G72" s="24">
        <v>46226</v>
      </c>
      <c r="H72" s="24">
        <v>49298</v>
      </c>
      <c r="I72" s="25">
        <v>216.0783996582031</v>
      </c>
      <c r="J72" s="25">
        <v>178.1011962890625</v>
      </c>
      <c r="K72" s="25">
        <v>120.752</v>
      </c>
      <c r="L72" s="25">
        <v>119.964</v>
      </c>
      <c r="M72" s="26">
        <v>381</v>
      </c>
      <c r="N72" s="27">
        <v>95.32639965820313</v>
      </c>
      <c r="O72" s="28">
        <v>-91.216701049804669</v>
      </c>
      <c r="P72" s="28">
        <v>386.97449121093752</v>
      </c>
      <c r="Q72" s="28">
        <v>66.959438209033081</v>
      </c>
      <c r="R72" s="29">
        <v>39.010149857861009</v>
      </c>
      <c r="S72" s="28">
        <v>57.349196289062498</v>
      </c>
      <c r="T72" s="28">
        <v>-120.2593975830078</v>
      </c>
      <c r="U72" s="28">
        <v>304.17902001953132</v>
      </c>
      <c r="V72" s="28">
        <v>11.86453546959584</v>
      </c>
      <c r="W72" s="30">
        <v>41.845550851711543</v>
      </c>
      <c r="X72" s="16" t="str">
        <f>IFERROR(_xll.BDP(E72&amp;" Corp","LAST_PRICE"),"--")</f>
        <v>#N/A Requesting Data...</v>
      </c>
      <c r="Y72" s="17" t="str">
        <f>IFERROR(_xll.BDP(E72&amp;" Corp","YAS_BENCHMARK_BOND_ISIN"),"--")</f>
        <v>#N/A Requesting Data...</v>
      </c>
      <c r="Z72" s="18" t="str">
        <f>IFERROR(_xll.BDP(Y72&amp;" CORP","LAST_PRICE"),"--")</f>
        <v>#N/A Requesting Data... CORP</v>
      </c>
      <c r="AA72" s="19" t="str">
        <f>IFERROR(_xll.BDP(E72&amp;" Corp","YAS_YLD_SPREAD","YAS_BOND_PX="&amp;X72,"YAS_BNCHMRK_BOND_PX="&amp;Z72),"--")</f>
        <v>#N/A Requesting Data...</v>
      </c>
      <c r="AB72" s="19" t="str">
        <f>IFERROR(_xll.BDP(E72&amp;" Corp","BLOOMBERG_MID_G_SPREAD","YAS_BOND_PX="&amp;X72,"YAS_BNCHMRK_BOND_PX="&amp;Z72),"--")</f>
        <v>#N/A Requesting Data...</v>
      </c>
      <c r="AC72" s="19" t="str">
        <f>IFERROR(_xll.BDP(D72,"LAST_PRICE"),"--")</f>
        <v>#N/A Requesting Data...</v>
      </c>
      <c r="AD72" s="20"/>
      <c r="AE72" s="19" t="str">
        <f t="shared" si="4"/>
        <v>#N/A Requesting Data...</v>
      </c>
      <c r="AF72" s="19" t="str">
        <f t="shared" si="5"/>
        <v>--</v>
      </c>
      <c r="AG72" s="21" t="str">
        <f t="shared" si="6"/>
        <v>--</v>
      </c>
      <c r="AH72" s="19" t="str">
        <f t="shared" si="7"/>
        <v>--</v>
      </c>
    </row>
    <row r="73" spans="1:34" x14ac:dyDescent="0.45">
      <c r="A73" s="7" t="s">
        <v>313</v>
      </c>
      <c r="B73" s="8" t="s">
        <v>117</v>
      </c>
      <c r="C73" s="7" t="s">
        <v>314</v>
      </c>
      <c r="D73" s="8" t="s">
        <v>315</v>
      </c>
      <c r="E73" s="8" t="s">
        <v>316</v>
      </c>
      <c r="F73" s="9">
        <v>45659</v>
      </c>
      <c r="G73" s="9">
        <v>46226</v>
      </c>
      <c r="H73" s="9">
        <v>47472</v>
      </c>
      <c r="I73" s="10">
        <v>33.364601135253913</v>
      </c>
      <c r="J73" s="10">
        <v>45.1072998046875</v>
      </c>
      <c r="K73" s="10">
        <v>118.02200000000001</v>
      </c>
      <c r="L73" s="10">
        <v>120.997</v>
      </c>
      <c r="M73" s="11">
        <v>390</v>
      </c>
      <c r="N73" s="12">
        <v>-84.657398864746099</v>
      </c>
      <c r="O73" s="13">
        <v>-178.39190417480469</v>
      </c>
      <c r="P73" s="13">
        <v>-50.130999267578119</v>
      </c>
      <c r="Q73" s="13">
        <v>-107.51221180650759</v>
      </c>
      <c r="R73" s="14">
        <v>73.081119595919304</v>
      </c>
      <c r="S73" s="13">
        <v>-72.914700195312506</v>
      </c>
      <c r="T73" s="13">
        <v>-138.38589770507821</v>
      </c>
      <c r="U73" s="13">
        <v>-39.485596496582019</v>
      </c>
      <c r="V73" s="13">
        <v>-89.807582615947979</v>
      </c>
      <c r="W73" s="15">
        <v>66.199189193309834</v>
      </c>
      <c r="X73" s="16" t="str">
        <f>IFERROR(_xll.BDP(E73&amp;" Corp","LAST_PRICE"),"--")</f>
        <v>#N/A Requesting Data...</v>
      </c>
      <c r="Y73" s="17" t="str">
        <f>IFERROR(_xll.BDP(E73&amp;" Corp","YAS_BENCHMARK_BOND_ISIN"),"--")</f>
        <v>#N/A Requesting Data...</v>
      </c>
      <c r="Z73" s="18" t="str">
        <f>IFERROR(_xll.BDP(Y73&amp;" CORP","LAST_PRICE"),"--")</f>
        <v>#N/A Requesting Data... CORP</v>
      </c>
      <c r="AA73" s="19" t="str">
        <f>IFERROR(_xll.BDP(E73&amp;" Corp","YAS_YLD_SPREAD","YAS_BOND_PX="&amp;X73,"YAS_BNCHMRK_BOND_PX="&amp;Z73),"--")</f>
        <v>#N/A Requesting Data...</v>
      </c>
      <c r="AB73" s="19" t="str">
        <f>IFERROR(_xll.BDP(E73&amp;" Corp","BLOOMBERG_MID_G_SPREAD","YAS_BOND_PX="&amp;X73,"YAS_BNCHMRK_BOND_PX="&amp;Z73),"--")</f>
        <v>#N/A Requesting Data...</v>
      </c>
      <c r="AC73" s="19" t="str">
        <f>IFERROR(_xll.BDP(D73,"LAST_PRICE"),"--")</f>
        <v>#N/A Requesting Data...</v>
      </c>
      <c r="AD73" s="20"/>
      <c r="AE73" s="19" t="str">
        <f t="shared" si="4"/>
        <v>#N/A Requesting Data...</v>
      </c>
      <c r="AF73" s="19" t="str">
        <f t="shared" si="5"/>
        <v>--</v>
      </c>
      <c r="AG73" s="21" t="str">
        <f t="shared" si="6"/>
        <v>--</v>
      </c>
      <c r="AH73" s="19" t="str">
        <f t="shared" si="7"/>
        <v>--</v>
      </c>
    </row>
    <row r="74" spans="1:34" x14ac:dyDescent="0.45">
      <c r="A74" s="22" t="s">
        <v>317</v>
      </c>
      <c r="B74" s="23" t="s">
        <v>117</v>
      </c>
      <c r="C74" s="22" t="s">
        <v>318</v>
      </c>
      <c r="D74" s="23" t="s">
        <v>319</v>
      </c>
      <c r="E74" s="23" t="s">
        <v>320</v>
      </c>
      <c r="F74" s="24">
        <v>45659</v>
      </c>
      <c r="G74" s="24">
        <v>46226</v>
      </c>
      <c r="H74" s="24">
        <v>48385</v>
      </c>
      <c r="I74" s="25">
        <v>255.2449035644531</v>
      </c>
      <c r="J74" s="25">
        <v>222.61180114746091</v>
      </c>
      <c r="K74" s="25">
        <v>217.59200000000001</v>
      </c>
      <c r="L74" s="25">
        <v>226.21</v>
      </c>
      <c r="M74" s="26">
        <v>390</v>
      </c>
      <c r="N74" s="27">
        <v>37.652903564453112</v>
      </c>
      <c r="O74" s="28">
        <v>-19.18569299316405</v>
      </c>
      <c r="P74" s="28">
        <v>84.907304199218743</v>
      </c>
      <c r="Q74" s="28">
        <v>16.465621106270032</v>
      </c>
      <c r="R74" s="29">
        <v>54.603669882392857</v>
      </c>
      <c r="S74" s="28">
        <v>5.0198011474609254</v>
      </c>
      <c r="T74" s="28">
        <v>-36.385494873046873</v>
      </c>
      <c r="U74" s="28">
        <v>57.925008789062467</v>
      </c>
      <c r="V74" s="28">
        <v>-6.6629343480819312</v>
      </c>
      <c r="W74" s="30">
        <v>43.90316498452016</v>
      </c>
      <c r="X74" s="16" t="str">
        <f>IFERROR(_xll.BDP(E74&amp;" Corp","LAST_PRICE"),"--")</f>
        <v>#N/A Requesting Data...</v>
      </c>
      <c r="Y74" s="17" t="str">
        <f>IFERROR(_xll.BDP(E74&amp;" Corp","YAS_BENCHMARK_BOND_ISIN"),"--")</f>
        <v>#N/A Requesting Data...</v>
      </c>
      <c r="Z74" s="18" t="str">
        <f>IFERROR(_xll.BDP(Y74&amp;" CORP","LAST_PRICE"),"--")</f>
        <v>#N/A Requesting Data... CORP</v>
      </c>
      <c r="AA74" s="19" t="str">
        <f>IFERROR(_xll.BDP(E74&amp;" Corp","YAS_YLD_SPREAD","YAS_BOND_PX="&amp;X74,"YAS_BNCHMRK_BOND_PX="&amp;Z74),"--")</f>
        <v>#N/A Requesting Data...</v>
      </c>
      <c r="AB74" s="19" t="str">
        <f>IFERROR(_xll.BDP(E74&amp;" Corp","BLOOMBERG_MID_G_SPREAD","YAS_BOND_PX="&amp;X74,"YAS_BNCHMRK_BOND_PX="&amp;Z74),"--")</f>
        <v>#N/A Requesting Data...</v>
      </c>
      <c r="AC74" s="19" t="str">
        <f>IFERROR(_xll.BDP(D74,"LAST_PRICE"),"--")</f>
        <v>#N/A Requesting Data...</v>
      </c>
      <c r="AD74" s="20"/>
      <c r="AE74" s="19" t="str">
        <f t="shared" si="4"/>
        <v>#N/A Requesting Data...</v>
      </c>
      <c r="AF74" s="19" t="str">
        <f t="shared" si="5"/>
        <v>--</v>
      </c>
      <c r="AG74" s="21" t="str">
        <f t="shared" si="6"/>
        <v>--</v>
      </c>
      <c r="AH74" s="19" t="str">
        <f t="shared" si="7"/>
        <v>--</v>
      </c>
    </row>
    <row r="75" spans="1:34" x14ac:dyDescent="0.45">
      <c r="A75" s="7" t="s">
        <v>321</v>
      </c>
      <c r="B75" s="8" t="s">
        <v>117</v>
      </c>
      <c r="C75" s="7" t="s">
        <v>322</v>
      </c>
      <c r="D75" s="8" t="s">
        <v>323</v>
      </c>
      <c r="E75" s="8" t="s">
        <v>324</v>
      </c>
      <c r="F75" s="9">
        <v>46106</v>
      </c>
      <c r="G75" s="9">
        <v>46226</v>
      </c>
      <c r="H75" s="9">
        <v>48019</v>
      </c>
      <c r="I75" s="10">
        <v>136.28179931640619</v>
      </c>
      <c r="J75" s="10">
        <v>136.28179931640619</v>
      </c>
      <c r="K75" s="10">
        <v>178.583</v>
      </c>
      <c r="L75" s="10">
        <v>185.792</v>
      </c>
      <c r="M75" s="11">
        <v>84</v>
      </c>
      <c r="N75" s="12">
        <v>-42.301200683593748</v>
      </c>
      <c r="O75" s="13">
        <v>-75.40479931640624</v>
      </c>
      <c r="P75" s="13">
        <v>-7.9325000000000054</v>
      </c>
      <c r="Q75" s="13">
        <v>-36.223325066702706</v>
      </c>
      <c r="R75" s="14">
        <v>49.062502639158147</v>
      </c>
      <c r="S75" s="13">
        <v>-42.301200683593748</v>
      </c>
      <c r="T75" s="13">
        <v>-75.40479931640624</v>
      </c>
      <c r="U75" s="13">
        <v>-7.9325000000000054</v>
      </c>
      <c r="V75" s="13">
        <v>-36.223325066702706</v>
      </c>
      <c r="W75" s="15">
        <v>49.062502639158147</v>
      </c>
      <c r="X75" s="16" t="str">
        <f>IFERROR(_xll.BDP(E75&amp;" Corp","LAST_PRICE"),"--")</f>
        <v>#N/A Requesting Data...</v>
      </c>
      <c r="Y75" s="17" t="str">
        <f>IFERROR(_xll.BDP(E75&amp;" Corp","YAS_BENCHMARK_BOND_ISIN"),"--")</f>
        <v>#N/A Requesting Data...</v>
      </c>
      <c r="Z75" s="18" t="str">
        <f>IFERROR(_xll.BDP(Y75&amp;" CORP","LAST_PRICE"),"--")</f>
        <v>#N/A Requesting Data... CORP</v>
      </c>
      <c r="AA75" s="19" t="str">
        <f>IFERROR(_xll.BDP(E75&amp;" Corp","YAS_YLD_SPREAD","YAS_BOND_PX="&amp;X75,"YAS_BNCHMRK_BOND_PX="&amp;Z75),"--")</f>
        <v>#N/A Requesting Data...</v>
      </c>
      <c r="AB75" s="19" t="str">
        <f>IFERROR(_xll.BDP(E75&amp;" Corp","BLOOMBERG_MID_G_SPREAD","YAS_BOND_PX="&amp;X75,"YAS_BNCHMRK_BOND_PX="&amp;Z75),"--")</f>
        <v>#N/A Requesting Data...</v>
      </c>
      <c r="AC75" s="19" t="str">
        <f>IFERROR(_xll.BDP(D75,"LAST_PRICE"),"--")</f>
        <v>#N/A Requesting Data...</v>
      </c>
      <c r="AD75" s="20"/>
      <c r="AE75" s="19" t="str">
        <f t="shared" si="4"/>
        <v>#N/A Requesting Data...</v>
      </c>
      <c r="AF75" s="19" t="str">
        <f t="shared" si="5"/>
        <v>--</v>
      </c>
      <c r="AG75" s="21" t="str">
        <f t="shared" si="6"/>
        <v>--</v>
      </c>
      <c r="AH75" s="19" t="str">
        <f t="shared" si="7"/>
        <v>--</v>
      </c>
    </row>
    <row r="76" spans="1:34" x14ac:dyDescent="0.45">
      <c r="A76" s="22" t="s">
        <v>325</v>
      </c>
      <c r="B76" s="23" t="s">
        <v>117</v>
      </c>
      <c r="C76" s="22" t="s">
        <v>326</v>
      </c>
      <c r="D76" s="23" t="s">
        <v>327</v>
      </c>
      <c r="E76" s="23" t="s">
        <v>328</v>
      </c>
      <c r="F76" s="24">
        <v>45659</v>
      </c>
      <c r="G76" s="24">
        <v>46226</v>
      </c>
      <c r="H76" s="24">
        <v>48019</v>
      </c>
      <c r="I76" s="25">
        <v>940.65692138671875</v>
      </c>
      <c r="J76" s="25">
        <v>940.65692138671875</v>
      </c>
      <c r="K76" s="25">
        <v>874.61500000000001</v>
      </c>
      <c r="L76" s="25">
        <v>883.57500000000005</v>
      </c>
      <c r="M76" s="26">
        <v>359</v>
      </c>
      <c r="N76" s="27">
        <v>66.041921386718741</v>
      </c>
      <c r="O76" s="28">
        <v>-29.933191894531209</v>
      </c>
      <c r="P76" s="28">
        <v>527.32418554687501</v>
      </c>
      <c r="Q76" s="28">
        <v>185.00757900499431</v>
      </c>
      <c r="R76" s="29">
        <v>17.22276225788351</v>
      </c>
      <c r="S76" s="28">
        <v>66.041921386718741</v>
      </c>
      <c r="T76" s="28">
        <v>-29.933191894531209</v>
      </c>
      <c r="U76" s="28">
        <v>527.32418554687501</v>
      </c>
      <c r="V76" s="28">
        <v>185.00757900499431</v>
      </c>
      <c r="W76" s="30">
        <v>17.22276225788351</v>
      </c>
      <c r="X76" s="16" t="str">
        <f>IFERROR(_xll.BDP(E76&amp;" Corp","LAST_PRICE"),"--")</f>
        <v>#N/A Requesting Data...</v>
      </c>
      <c r="Y76" s="17" t="str">
        <f>IFERROR(_xll.BDP(E76&amp;" Corp","YAS_BENCHMARK_BOND_ISIN"),"--")</f>
        <v>#N/A Requesting Data...</v>
      </c>
      <c r="Z76" s="18" t="str">
        <f>IFERROR(_xll.BDP(Y76&amp;" CORP","LAST_PRICE"),"--")</f>
        <v>#N/A Requesting Data... CORP</v>
      </c>
      <c r="AA76" s="19" t="str">
        <f>IFERROR(_xll.BDP(E76&amp;" Corp","YAS_YLD_SPREAD","YAS_BOND_PX="&amp;X76,"YAS_BNCHMRK_BOND_PX="&amp;Z76),"--")</f>
        <v>#N/A Requesting Data...</v>
      </c>
      <c r="AB76" s="19" t="str">
        <f>IFERROR(_xll.BDP(E76&amp;" Corp","BLOOMBERG_MID_G_SPREAD","YAS_BOND_PX="&amp;X76,"YAS_BNCHMRK_BOND_PX="&amp;Z76),"--")</f>
        <v>#N/A Requesting Data...</v>
      </c>
      <c r="AC76" s="19" t="str">
        <f>IFERROR(_xll.BDP(D76,"LAST_PRICE"),"--")</f>
        <v>#N/A Requesting Data...</v>
      </c>
      <c r="AD76" s="20"/>
      <c r="AE76" s="19" t="str">
        <f t="shared" si="4"/>
        <v>#N/A Requesting Data...</v>
      </c>
      <c r="AF76" s="19" t="str">
        <f t="shared" si="5"/>
        <v>--</v>
      </c>
      <c r="AG76" s="21" t="str">
        <f t="shared" si="6"/>
        <v>--</v>
      </c>
      <c r="AH76" s="19" t="str">
        <f t="shared" si="7"/>
        <v>--</v>
      </c>
    </row>
    <row r="77" spans="1:34" x14ac:dyDescent="0.45">
      <c r="A77" s="7" t="s">
        <v>329</v>
      </c>
      <c r="B77" s="8" t="s">
        <v>117</v>
      </c>
      <c r="C77" s="7" t="s">
        <v>330</v>
      </c>
      <c r="D77" s="8" t="s">
        <v>331</v>
      </c>
      <c r="E77" s="8" t="s">
        <v>332</v>
      </c>
      <c r="F77" s="9">
        <v>45659</v>
      </c>
      <c r="G77" s="9">
        <v>46226</v>
      </c>
      <c r="H77" s="9">
        <v>48568</v>
      </c>
      <c r="I77" s="10">
        <v>178.81080627441409</v>
      </c>
      <c r="J77" s="10">
        <v>138.597900390625</v>
      </c>
      <c r="K77" s="10">
        <v>160.815</v>
      </c>
      <c r="L77" s="10">
        <v>171.691</v>
      </c>
      <c r="M77" s="11">
        <v>388</v>
      </c>
      <c r="N77" s="12">
        <v>17.995806274414061</v>
      </c>
      <c r="O77" s="13">
        <v>-51.079998657226547</v>
      </c>
      <c r="P77" s="13">
        <v>49.067089355468738</v>
      </c>
      <c r="Q77" s="13">
        <v>-5.259568491198352</v>
      </c>
      <c r="R77" s="14">
        <v>68.974351928120086</v>
      </c>
      <c r="S77" s="13">
        <v>-22.217099609375001</v>
      </c>
      <c r="T77" s="13">
        <v>-74.318096801757804</v>
      </c>
      <c r="U77" s="13">
        <v>19.57481030273436</v>
      </c>
      <c r="V77" s="13">
        <v>-33.151242768907053</v>
      </c>
      <c r="W77" s="15">
        <v>55.489811530066163</v>
      </c>
      <c r="X77" s="16" t="str">
        <f>IFERROR(_xll.BDP(E77&amp;" Corp","LAST_PRICE"),"--")</f>
        <v>#N/A Requesting Data...</v>
      </c>
      <c r="Y77" s="17" t="str">
        <f>IFERROR(_xll.BDP(E77&amp;" Corp","YAS_BENCHMARK_BOND_ISIN"),"--")</f>
        <v>#N/A Requesting Data...</v>
      </c>
      <c r="Z77" s="18" t="str">
        <f>IFERROR(_xll.BDP(Y77&amp;" CORP","LAST_PRICE"),"--")</f>
        <v>#N/A Requesting Data... CORP</v>
      </c>
      <c r="AA77" s="19" t="str">
        <f>IFERROR(_xll.BDP(E77&amp;" Corp","YAS_YLD_SPREAD","YAS_BOND_PX="&amp;X77,"YAS_BNCHMRK_BOND_PX="&amp;Z77),"--")</f>
        <v>#N/A Requesting Data...</v>
      </c>
      <c r="AB77" s="19" t="str">
        <f>IFERROR(_xll.BDP(E77&amp;" Corp","BLOOMBERG_MID_G_SPREAD","YAS_BOND_PX="&amp;X77,"YAS_BNCHMRK_BOND_PX="&amp;Z77),"--")</f>
        <v>#N/A Requesting Data...</v>
      </c>
      <c r="AC77" s="19" t="str">
        <f>IFERROR(_xll.BDP(D77,"LAST_PRICE"),"--")</f>
        <v>#N/A Requesting Data...</v>
      </c>
      <c r="AD77" s="20"/>
      <c r="AE77" s="19" t="str">
        <f t="shared" si="4"/>
        <v>#N/A Requesting Data...</v>
      </c>
      <c r="AF77" s="19" t="str">
        <f t="shared" si="5"/>
        <v>--</v>
      </c>
      <c r="AG77" s="21" t="str">
        <f t="shared" si="6"/>
        <v>--</v>
      </c>
      <c r="AH77" s="19" t="str">
        <f t="shared" si="7"/>
        <v>--</v>
      </c>
    </row>
    <row r="78" spans="1:34" x14ac:dyDescent="0.45">
      <c r="A78" s="22" t="s">
        <v>333</v>
      </c>
      <c r="B78" s="23" t="s">
        <v>117</v>
      </c>
      <c r="C78" s="22" t="s">
        <v>334</v>
      </c>
      <c r="D78" s="23" t="s">
        <v>335</v>
      </c>
      <c r="E78" s="23" t="s">
        <v>336</v>
      </c>
      <c r="F78" s="24">
        <v>45792</v>
      </c>
      <c r="G78" s="24">
        <v>46226</v>
      </c>
      <c r="H78" s="24">
        <v>48385</v>
      </c>
      <c r="I78" s="25">
        <v>486.15460205078119</v>
      </c>
      <c r="J78" s="25">
        <v>446.08880615234381</v>
      </c>
      <c r="K78" s="25">
        <v>505.25</v>
      </c>
      <c r="L78" s="25">
        <v>514.21</v>
      </c>
      <c r="M78" s="26">
        <v>298</v>
      </c>
      <c r="N78" s="27">
        <v>-19.09539794921875</v>
      </c>
      <c r="O78" s="28">
        <v>-41.9293859863281</v>
      </c>
      <c r="P78" s="28">
        <v>70.292027832031295</v>
      </c>
      <c r="Q78" s="28">
        <v>5.715819378539222</v>
      </c>
      <c r="R78" s="29">
        <v>20.34726462640031</v>
      </c>
      <c r="S78" s="28">
        <v>-59.16119384765625</v>
      </c>
      <c r="T78" s="28">
        <v>-70.789095703124985</v>
      </c>
      <c r="U78" s="28">
        <v>30.380528808593791</v>
      </c>
      <c r="V78" s="28">
        <v>-26.11863228407482</v>
      </c>
      <c r="W78" s="30">
        <v>11.493471396764789</v>
      </c>
      <c r="X78" s="16" t="str">
        <f>IFERROR(_xll.BDP(E78&amp;" Corp","LAST_PRICE"),"--")</f>
        <v>#N/A Requesting Data...</v>
      </c>
      <c r="Y78" s="17" t="str">
        <f>IFERROR(_xll.BDP(E78&amp;" Corp","YAS_BENCHMARK_BOND_ISIN"),"--")</f>
        <v>#N/A Requesting Data...</v>
      </c>
      <c r="Z78" s="18" t="str">
        <f>IFERROR(_xll.BDP(Y78&amp;" CORP","LAST_PRICE"),"--")</f>
        <v>#N/A Requesting Data... CORP</v>
      </c>
      <c r="AA78" s="19" t="str">
        <f>IFERROR(_xll.BDP(E78&amp;" Corp","YAS_YLD_SPREAD","YAS_BOND_PX="&amp;X78,"YAS_BNCHMRK_BOND_PX="&amp;Z78),"--")</f>
        <v>#N/A Requesting Data...</v>
      </c>
      <c r="AB78" s="19" t="str">
        <f>IFERROR(_xll.BDP(E78&amp;" Corp","BLOOMBERG_MID_G_SPREAD","YAS_BOND_PX="&amp;X78,"YAS_BNCHMRK_BOND_PX="&amp;Z78),"--")</f>
        <v>#N/A Requesting Data...</v>
      </c>
      <c r="AC78" s="19" t="str">
        <f>IFERROR(_xll.BDP(D78,"LAST_PRICE"),"--")</f>
        <v>#N/A Requesting Data...</v>
      </c>
      <c r="AD78" s="20"/>
      <c r="AE78" s="19" t="str">
        <f t="shared" si="4"/>
        <v>#N/A Requesting Data...</v>
      </c>
      <c r="AF78" s="19" t="str">
        <f t="shared" si="5"/>
        <v>--</v>
      </c>
      <c r="AG78" s="21" t="str">
        <f t="shared" si="6"/>
        <v>--</v>
      </c>
      <c r="AH78" s="19" t="str">
        <f t="shared" si="7"/>
        <v>--</v>
      </c>
    </row>
    <row r="79" spans="1:34" x14ac:dyDescent="0.45">
      <c r="A79" s="7" t="s">
        <v>337</v>
      </c>
      <c r="B79" s="8" t="s">
        <v>117</v>
      </c>
      <c r="C79" s="7" t="s">
        <v>338</v>
      </c>
      <c r="D79" s="8" t="s">
        <v>339</v>
      </c>
      <c r="E79" s="8" t="s">
        <v>340</v>
      </c>
      <c r="F79" s="9">
        <v>45659</v>
      </c>
      <c r="G79" s="9">
        <v>46226</v>
      </c>
      <c r="H79" s="9">
        <v>48202</v>
      </c>
      <c r="I79" s="10">
        <v>301.09060668945313</v>
      </c>
      <c r="J79" s="10">
        <v>283.980712890625</v>
      </c>
      <c r="K79" s="10">
        <v>341.303</v>
      </c>
      <c r="L79" s="10">
        <v>345.17500000000001</v>
      </c>
      <c r="M79" s="11">
        <v>363</v>
      </c>
      <c r="N79" s="12">
        <v>-40.212393310546872</v>
      </c>
      <c r="O79" s="13">
        <v>-131.57092724609379</v>
      </c>
      <c r="P79" s="13">
        <v>458.34164550781247</v>
      </c>
      <c r="Q79" s="13">
        <v>22.34463378771737</v>
      </c>
      <c r="R79" s="14">
        <v>15.48679213752899</v>
      </c>
      <c r="S79" s="13">
        <v>-57.322287109374997</v>
      </c>
      <c r="T79" s="13">
        <v>-120.9156945800781</v>
      </c>
      <c r="U79" s="13">
        <v>438.45785644531247</v>
      </c>
      <c r="V79" s="13">
        <v>17.965000232738451</v>
      </c>
      <c r="W79" s="15">
        <v>11.36868329833074</v>
      </c>
      <c r="X79" s="16" t="str">
        <f>IFERROR(_xll.BDP(E79&amp;" Corp","LAST_PRICE"),"--")</f>
        <v>#N/A Requesting Data...</v>
      </c>
      <c r="Y79" s="17" t="str">
        <f>IFERROR(_xll.BDP(E79&amp;" Corp","YAS_BENCHMARK_BOND_ISIN"),"--")</f>
        <v>#N/A Requesting Data...</v>
      </c>
      <c r="Z79" s="18" t="str">
        <f>IFERROR(_xll.BDP(Y79&amp;" CORP","LAST_PRICE"),"--")</f>
        <v>#N/A Requesting Data... CORP</v>
      </c>
      <c r="AA79" s="19" t="str">
        <f>IFERROR(_xll.BDP(E79&amp;" Corp","YAS_YLD_SPREAD","YAS_BOND_PX="&amp;X79,"YAS_BNCHMRK_BOND_PX="&amp;Z79),"--")</f>
        <v>#N/A Requesting Data...</v>
      </c>
      <c r="AB79" s="19" t="str">
        <f>IFERROR(_xll.BDP(E79&amp;" Corp","BLOOMBERG_MID_G_SPREAD","YAS_BOND_PX="&amp;X79,"YAS_BNCHMRK_BOND_PX="&amp;Z79),"--")</f>
        <v>#N/A Requesting Data...</v>
      </c>
      <c r="AC79" s="19" t="str">
        <f>IFERROR(_xll.BDP(D79,"LAST_PRICE"),"--")</f>
        <v>#N/A Requesting Data...</v>
      </c>
      <c r="AD79" s="20"/>
      <c r="AE79" s="19" t="str">
        <f t="shared" si="4"/>
        <v>#N/A Requesting Data...</v>
      </c>
      <c r="AF79" s="19" t="str">
        <f t="shared" si="5"/>
        <v>--</v>
      </c>
      <c r="AG79" s="21" t="str">
        <f t="shared" si="6"/>
        <v>--</v>
      </c>
      <c r="AH79" s="19" t="str">
        <f t="shared" si="7"/>
        <v>--</v>
      </c>
    </row>
    <row r="80" spans="1:34" x14ac:dyDescent="0.45">
      <c r="A80" s="22" t="s">
        <v>341</v>
      </c>
      <c r="B80" s="23" t="s">
        <v>117</v>
      </c>
      <c r="C80" s="22" t="s">
        <v>342</v>
      </c>
      <c r="D80" s="23" t="s">
        <v>343</v>
      </c>
      <c r="E80" s="23" t="s">
        <v>344</v>
      </c>
      <c r="F80" s="24">
        <v>45909</v>
      </c>
      <c r="G80" s="24">
        <v>46226</v>
      </c>
      <c r="H80" s="24">
        <v>48019</v>
      </c>
      <c r="I80" s="25">
        <v>215.2268981933594</v>
      </c>
      <c r="J80" s="25">
        <v>215.2268981933594</v>
      </c>
      <c r="K80" s="25">
        <v>248.13900000000001</v>
      </c>
      <c r="L80" s="25">
        <v>248.982</v>
      </c>
      <c r="M80" s="26">
        <v>218</v>
      </c>
      <c r="N80" s="27">
        <v>-32.912101806640642</v>
      </c>
      <c r="O80" s="28">
        <v>-60.80760302734376</v>
      </c>
      <c r="P80" s="28">
        <v>-5.1335039062499854</v>
      </c>
      <c r="Q80" s="28">
        <v>-32.401956429857727</v>
      </c>
      <c r="R80" s="29">
        <v>50.104988964489763</v>
      </c>
      <c r="S80" s="28">
        <v>-32.912101806640642</v>
      </c>
      <c r="T80" s="28">
        <v>-60.80760302734376</v>
      </c>
      <c r="U80" s="28">
        <v>-5.1335039062499854</v>
      </c>
      <c r="V80" s="28">
        <v>-32.401956429857727</v>
      </c>
      <c r="W80" s="30">
        <v>50.104988964489763</v>
      </c>
      <c r="X80" s="16" t="str">
        <f>IFERROR(_xll.BDP(E80&amp;" Corp","LAST_PRICE"),"--")</f>
        <v>#N/A Requesting Data...</v>
      </c>
      <c r="Y80" s="17" t="str">
        <f>IFERROR(_xll.BDP(E80&amp;" Corp","YAS_BENCHMARK_BOND_ISIN"),"--")</f>
        <v>#N/A Requesting Data...</v>
      </c>
      <c r="Z80" s="18" t="str">
        <f>IFERROR(_xll.BDP(Y80&amp;" CORP","LAST_PRICE"),"--")</f>
        <v>#N/A Requesting Data... CORP</v>
      </c>
      <c r="AA80" s="19" t="str">
        <f>IFERROR(_xll.BDP(E80&amp;" Corp","YAS_YLD_SPREAD","YAS_BOND_PX="&amp;X80,"YAS_BNCHMRK_BOND_PX="&amp;Z80),"--")</f>
        <v>#N/A Requesting Data...</v>
      </c>
      <c r="AB80" s="19" t="str">
        <f>IFERROR(_xll.BDP(E80&amp;" Corp","BLOOMBERG_MID_G_SPREAD","YAS_BOND_PX="&amp;X80,"YAS_BNCHMRK_BOND_PX="&amp;Z80),"--")</f>
        <v>#N/A Requesting Data...</v>
      </c>
      <c r="AC80" s="19" t="str">
        <f>IFERROR(_xll.BDP(D80,"LAST_PRICE"),"--")</f>
        <v>#N/A Requesting Data...</v>
      </c>
      <c r="AD80" s="20"/>
      <c r="AE80" s="19" t="str">
        <f t="shared" si="4"/>
        <v>#N/A Requesting Data...</v>
      </c>
      <c r="AF80" s="19" t="str">
        <f t="shared" si="5"/>
        <v>--</v>
      </c>
      <c r="AG80" s="21" t="str">
        <f t="shared" si="6"/>
        <v>--</v>
      </c>
      <c r="AH80" s="19" t="str">
        <f t="shared" si="7"/>
        <v>--</v>
      </c>
    </row>
    <row r="81" spans="1:34" x14ac:dyDescent="0.45">
      <c r="A81" s="7" t="s">
        <v>345</v>
      </c>
      <c r="B81" s="8" t="s">
        <v>117</v>
      </c>
      <c r="C81" s="7" t="s">
        <v>346</v>
      </c>
      <c r="D81" s="8" t="s">
        <v>347</v>
      </c>
      <c r="E81" s="8" t="s">
        <v>348</v>
      </c>
      <c r="F81" s="9">
        <v>46045</v>
      </c>
      <c r="G81" s="9">
        <v>46226</v>
      </c>
      <c r="H81" s="9">
        <v>48385</v>
      </c>
      <c r="I81" s="10">
        <v>174.9725036621094</v>
      </c>
      <c r="J81" s="10">
        <v>152.57359313964841</v>
      </c>
      <c r="K81" s="10">
        <v>224.43</v>
      </c>
      <c r="L81" s="10">
        <v>226.70400000000001</v>
      </c>
      <c r="M81" s="11">
        <v>125</v>
      </c>
      <c r="N81" s="12">
        <v>-49.457496337890632</v>
      </c>
      <c r="O81" s="13">
        <v>-118.8464013671875</v>
      </c>
      <c r="P81" s="13">
        <v>-47.505696899414062</v>
      </c>
      <c r="Q81" s="13">
        <v>-71.766682240234374</v>
      </c>
      <c r="R81" s="14">
        <v>97.264115271866629</v>
      </c>
      <c r="S81" s="13">
        <v>-71.856406860351569</v>
      </c>
      <c r="T81" s="13">
        <v>-127.0820962524414</v>
      </c>
      <c r="U81" s="13">
        <v>-68.941800720214843</v>
      </c>
      <c r="V81" s="13">
        <v>-88.478137927827376</v>
      </c>
      <c r="W81" s="15">
        <v>94.986943025562738</v>
      </c>
      <c r="X81" s="16" t="str">
        <f>IFERROR(_xll.BDP(E81&amp;" Corp","LAST_PRICE"),"--")</f>
        <v>#N/A Requesting Data...</v>
      </c>
      <c r="Y81" s="17" t="str">
        <f>IFERROR(_xll.BDP(E81&amp;" Corp","YAS_BENCHMARK_BOND_ISIN"),"--")</f>
        <v>#N/A Requesting Data...</v>
      </c>
      <c r="Z81" s="18" t="str">
        <f>IFERROR(_xll.BDP(Y81&amp;" CORP","LAST_PRICE"),"--")</f>
        <v>#N/A Requesting Data... CORP</v>
      </c>
      <c r="AA81" s="19" t="str">
        <f>IFERROR(_xll.BDP(E81&amp;" Corp","YAS_YLD_SPREAD","YAS_BOND_PX="&amp;X81,"YAS_BNCHMRK_BOND_PX="&amp;Z81),"--")</f>
        <v>#N/A Requesting Data...</v>
      </c>
      <c r="AB81" s="19" t="str">
        <f>IFERROR(_xll.BDP(E81&amp;" Corp","BLOOMBERG_MID_G_SPREAD","YAS_BOND_PX="&amp;X81,"YAS_BNCHMRK_BOND_PX="&amp;Z81),"--")</f>
        <v>#N/A Requesting Data...</v>
      </c>
      <c r="AC81" s="19" t="str">
        <f>IFERROR(_xll.BDP(D81,"LAST_PRICE"),"--")</f>
        <v>#N/A Requesting Data...</v>
      </c>
      <c r="AD81" s="20"/>
      <c r="AE81" s="19" t="str">
        <f t="shared" si="4"/>
        <v>#N/A Requesting Data...</v>
      </c>
      <c r="AF81" s="19" t="str">
        <f t="shared" si="5"/>
        <v>--</v>
      </c>
      <c r="AG81" s="21" t="str">
        <f t="shared" si="6"/>
        <v>--</v>
      </c>
      <c r="AH81" s="19" t="str">
        <f t="shared" si="7"/>
        <v>--</v>
      </c>
    </row>
    <row r="82" spans="1:34" x14ac:dyDescent="0.45">
      <c r="A82" s="22" t="s">
        <v>349</v>
      </c>
      <c r="B82" s="23" t="s">
        <v>117</v>
      </c>
      <c r="C82" s="22" t="s">
        <v>350</v>
      </c>
      <c r="D82" s="23" t="s">
        <v>351</v>
      </c>
      <c r="E82" s="23" t="s">
        <v>352</v>
      </c>
      <c r="F82" s="24">
        <v>45659</v>
      </c>
      <c r="G82" s="24">
        <v>46226</v>
      </c>
      <c r="H82" s="24">
        <v>48750</v>
      </c>
      <c r="I82" s="25">
        <v>148.85899353027341</v>
      </c>
      <c r="J82" s="25">
        <v>111.8542022705078</v>
      </c>
      <c r="K82" s="25">
        <v>157.583</v>
      </c>
      <c r="L82" s="25">
        <v>144.59200000000001</v>
      </c>
      <c r="M82" s="26">
        <v>389</v>
      </c>
      <c r="N82" s="27">
        <v>-8.7240064697265609</v>
      </c>
      <c r="O82" s="28">
        <v>-91.363992431640611</v>
      </c>
      <c r="P82" s="28">
        <v>4.3254056396484373</v>
      </c>
      <c r="Q82" s="28">
        <v>-37.598579091991439</v>
      </c>
      <c r="R82" s="29">
        <v>86.362739893448676</v>
      </c>
      <c r="S82" s="28">
        <v>-45.728797729492193</v>
      </c>
      <c r="T82" s="28">
        <v>-110.5120026855469</v>
      </c>
      <c r="U82" s="28">
        <v>-33.719905639648431</v>
      </c>
      <c r="V82" s="28">
        <v>-63.923469248323023</v>
      </c>
      <c r="W82" s="30">
        <v>84.361812540858111</v>
      </c>
      <c r="X82" s="16" t="str">
        <f>IFERROR(_xll.BDP(E82&amp;" Corp","LAST_PRICE"),"--")</f>
        <v>#N/A Requesting Data...</v>
      </c>
      <c r="Y82" s="17" t="str">
        <f>IFERROR(_xll.BDP(E82&amp;" Corp","YAS_BENCHMARK_BOND_ISIN"),"--")</f>
        <v>#N/A Requesting Data...</v>
      </c>
      <c r="Z82" s="18" t="str">
        <f>IFERROR(_xll.BDP(Y82&amp;" CORP","LAST_PRICE"),"--")</f>
        <v>#N/A Requesting Data... CORP</v>
      </c>
      <c r="AA82" s="19" t="str">
        <f>IFERROR(_xll.BDP(E82&amp;" Corp","YAS_YLD_SPREAD","YAS_BOND_PX="&amp;X82,"YAS_BNCHMRK_BOND_PX="&amp;Z82),"--")</f>
        <v>#N/A Requesting Data...</v>
      </c>
      <c r="AB82" s="19" t="str">
        <f>IFERROR(_xll.BDP(E82&amp;" Corp","BLOOMBERG_MID_G_SPREAD","YAS_BOND_PX="&amp;X82,"YAS_BNCHMRK_BOND_PX="&amp;Z82),"--")</f>
        <v>#N/A Requesting Data...</v>
      </c>
      <c r="AC82" s="19" t="str">
        <f>IFERROR(_xll.BDP(D82,"LAST_PRICE"),"--")</f>
        <v>#N/A Requesting Data...</v>
      </c>
      <c r="AD82" s="20"/>
      <c r="AE82" s="19" t="str">
        <f t="shared" si="4"/>
        <v>#N/A Requesting Data...</v>
      </c>
      <c r="AF82" s="19" t="str">
        <f t="shared" si="5"/>
        <v>--</v>
      </c>
      <c r="AG82" s="21" t="str">
        <f t="shared" si="6"/>
        <v>--</v>
      </c>
      <c r="AH82" s="19" t="str">
        <f t="shared" si="7"/>
        <v>--</v>
      </c>
    </row>
    <row r="83" spans="1:34" x14ac:dyDescent="0.45">
      <c r="A83" s="7" t="s">
        <v>353</v>
      </c>
      <c r="B83" s="8" t="s">
        <v>117</v>
      </c>
      <c r="C83" s="7" t="s">
        <v>354</v>
      </c>
      <c r="D83" s="8" t="s">
        <v>355</v>
      </c>
      <c r="E83" s="8" t="s">
        <v>356</v>
      </c>
      <c r="F83" s="9">
        <v>45659</v>
      </c>
      <c r="G83" s="9">
        <v>46226</v>
      </c>
      <c r="H83" s="9">
        <v>48385</v>
      </c>
      <c r="I83" s="10">
        <v>396.15908813476563</v>
      </c>
      <c r="J83" s="10">
        <v>361.66018676757813</v>
      </c>
      <c r="K83" s="10">
        <v>214.14599999999999</v>
      </c>
      <c r="L83" s="10">
        <v>221.43600000000001</v>
      </c>
      <c r="M83" s="11">
        <v>390</v>
      </c>
      <c r="N83" s="12">
        <v>182.01308813476561</v>
      </c>
      <c r="O83" s="13">
        <v>36.085305664062503</v>
      </c>
      <c r="P83" s="13">
        <v>196.40631201171871</v>
      </c>
      <c r="Q83" s="13">
        <v>115.3575892039764</v>
      </c>
      <c r="R83" s="14">
        <v>91.022247049933441</v>
      </c>
      <c r="S83" s="13">
        <v>147.51418676757811</v>
      </c>
      <c r="T83" s="13">
        <v>28.910989257812499</v>
      </c>
      <c r="U83" s="13">
        <v>147.81781103515621</v>
      </c>
      <c r="V83" s="13">
        <v>86.241448065655078</v>
      </c>
      <c r="W83" s="15">
        <v>99.744653617816269</v>
      </c>
      <c r="X83" s="16" t="str">
        <f>IFERROR(_xll.BDP(E83&amp;" Corp","LAST_PRICE"),"--")</f>
        <v>#N/A Requesting Data...</v>
      </c>
      <c r="Y83" s="17" t="str">
        <f>IFERROR(_xll.BDP(E83&amp;" Corp","YAS_BENCHMARK_BOND_ISIN"),"--")</f>
        <v>#N/A Requesting Data...</v>
      </c>
      <c r="Z83" s="18" t="str">
        <f>IFERROR(_xll.BDP(Y83&amp;" CORP","LAST_PRICE"),"--")</f>
        <v>#N/A Requesting Data... CORP</v>
      </c>
      <c r="AA83" s="19" t="str">
        <f>IFERROR(_xll.BDP(E83&amp;" Corp","YAS_YLD_SPREAD","YAS_BOND_PX="&amp;X83,"YAS_BNCHMRK_BOND_PX="&amp;Z83),"--")</f>
        <v>#N/A Requesting Data...</v>
      </c>
      <c r="AB83" s="19" t="str">
        <f>IFERROR(_xll.BDP(E83&amp;" Corp","BLOOMBERG_MID_G_SPREAD","YAS_BOND_PX="&amp;X83,"YAS_BNCHMRK_BOND_PX="&amp;Z83),"--")</f>
        <v>#N/A Requesting Data...</v>
      </c>
      <c r="AC83" s="19" t="str">
        <f>IFERROR(_xll.BDP(D83,"LAST_PRICE"),"--")</f>
        <v>#N/A Requesting Data...</v>
      </c>
      <c r="AD83" s="20"/>
      <c r="AE83" s="19" t="str">
        <f t="shared" si="4"/>
        <v>#N/A Requesting Data...</v>
      </c>
      <c r="AF83" s="19" t="str">
        <f t="shared" si="5"/>
        <v>--</v>
      </c>
      <c r="AG83" s="21" t="str">
        <f t="shared" si="6"/>
        <v>--</v>
      </c>
      <c r="AH83" s="19" t="str">
        <f t="shared" si="7"/>
        <v>--</v>
      </c>
    </row>
    <row r="84" spans="1:34" x14ac:dyDescent="0.45">
      <c r="A84" s="22" t="s">
        <v>357</v>
      </c>
      <c r="B84" s="23" t="s">
        <v>117</v>
      </c>
      <c r="C84" s="22" t="s">
        <v>358</v>
      </c>
      <c r="D84" s="23" t="s">
        <v>359</v>
      </c>
      <c r="E84" s="23" t="s">
        <v>360</v>
      </c>
      <c r="F84" s="24">
        <v>45659</v>
      </c>
      <c r="G84" s="24">
        <v>46226</v>
      </c>
      <c r="H84" s="24">
        <v>48019</v>
      </c>
      <c r="I84" s="25">
        <v>67.640800476074219</v>
      </c>
      <c r="J84" s="25">
        <v>67.640800476074219</v>
      </c>
      <c r="K84" s="25">
        <v>93.081999999999994</v>
      </c>
      <c r="L84" s="25">
        <v>93.022000000000006</v>
      </c>
      <c r="M84" s="26">
        <v>388</v>
      </c>
      <c r="N84" s="27">
        <v>-25.441199523925771</v>
      </c>
      <c r="O84" s="28">
        <v>-121.43209716796881</v>
      </c>
      <c r="P84" s="28">
        <v>73.470079101562533</v>
      </c>
      <c r="Q84" s="28">
        <v>-24.95362833207907</v>
      </c>
      <c r="R84" s="29">
        <v>49.250808524219167</v>
      </c>
      <c r="S84" s="28">
        <v>-25.441199523925771</v>
      </c>
      <c r="T84" s="28">
        <v>-121.43209716796881</v>
      </c>
      <c r="U84" s="28">
        <v>73.470079101562533</v>
      </c>
      <c r="V84" s="28">
        <v>-24.95362833207907</v>
      </c>
      <c r="W84" s="30">
        <v>49.250808524219167</v>
      </c>
      <c r="X84" s="16" t="str">
        <f>IFERROR(_xll.BDP(E84&amp;" Corp","LAST_PRICE"),"--")</f>
        <v>#N/A Requesting Data...</v>
      </c>
      <c r="Y84" s="17" t="str">
        <f>IFERROR(_xll.BDP(E84&amp;" Corp","YAS_BENCHMARK_BOND_ISIN"),"--")</f>
        <v>#N/A Requesting Data...</v>
      </c>
      <c r="Z84" s="18" t="str">
        <f>IFERROR(_xll.BDP(Y84&amp;" CORP","LAST_PRICE"),"--")</f>
        <v>#N/A Requesting Data... CORP</v>
      </c>
      <c r="AA84" s="19" t="str">
        <f>IFERROR(_xll.BDP(E84&amp;" Corp","YAS_YLD_SPREAD","YAS_BOND_PX="&amp;X84,"YAS_BNCHMRK_BOND_PX="&amp;Z84),"--")</f>
        <v>#N/A Requesting Data...</v>
      </c>
      <c r="AB84" s="19" t="str">
        <f>IFERROR(_xll.BDP(E84&amp;" Corp","BLOOMBERG_MID_G_SPREAD","YAS_BOND_PX="&amp;X84,"YAS_BNCHMRK_BOND_PX="&amp;Z84),"--")</f>
        <v>#N/A Requesting Data...</v>
      </c>
      <c r="AC84" s="19" t="str">
        <f>IFERROR(_xll.BDP(D84,"LAST_PRICE"),"--")</f>
        <v>#N/A Requesting Data...</v>
      </c>
      <c r="AD84" s="20"/>
      <c r="AE84" s="19" t="str">
        <f t="shared" si="4"/>
        <v>#N/A Requesting Data...</v>
      </c>
      <c r="AF84" s="19" t="str">
        <f t="shared" si="5"/>
        <v>--</v>
      </c>
      <c r="AG84" s="21" t="str">
        <f t="shared" si="6"/>
        <v>--</v>
      </c>
      <c r="AH84" s="19" t="str">
        <f t="shared" si="7"/>
        <v>--</v>
      </c>
    </row>
    <row r="85" spans="1:34" x14ac:dyDescent="0.45">
      <c r="A85" s="7" t="s">
        <v>361</v>
      </c>
      <c r="B85" s="8" t="s">
        <v>117</v>
      </c>
      <c r="C85" s="7" t="s">
        <v>362</v>
      </c>
      <c r="D85" s="8" t="s">
        <v>363</v>
      </c>
      <c r="E85" s="8" t="s">
        <v>364</v>
      </c>
      <c r="F85" s="9">
        <v>45719</v>
      </c>
      <c r="G85" s="9">
        <v>46226</v>
      </c>
      <c r="H85" s="9">
        <v>48750</v>
      </c>
      <c r="I85" s="10">
        <v>210.30499267578119</v>
      </c>
      <c r="J85" s="10">
        <v>158.83099365234381</v>
      </c>
      <c r="K85" s="10">
        <v>220.48500000000001</v>
      </c>
      <c r="L85" s="10">
        <v>211.41800000000001</v>
      </c>
      <c r="M85" s="11">
        <v>346</v>
      </c>
      <c r="N85" s="12">
        <v>-10.18000732421876</v>
      </c>
      <c r="O85" s="13">
        <v>-80.288093505859365</v>
      </c>
      <c r="P85" s="13">
        <v>68.296196777343766</v>
      </c>
      <c r="Q85" s="13">
        <v>-28.488822615959741</v>
      </c>
      <c r="R85" s="14">
        <v>47.184050243813722</v>
      </c>
      <c r="S85" s="13">
        <v>-61.654006347656257</v>
      </c>
      <c r="T85" s="13">
        <v>-114.56489636230469</v>
      </c>
      <c r="U85" s="13">
        <v>24.88750537109377</v>
      </c>
      <c r="V85" s="13">
        <v>-67.776966942583201</v>
      </c>
      <c r="W85" s="15">
        <v>37.941899427305763</v>
      </c>
      <c r="X85" s="16" t="str">
        <f>IFERROR(_xll.BDP(E85&amp;" Corp","LAST_PRICE"),"--")</f>
        <v>#N/A Requesting Data...</v>
      </c>
      <c r="Y85" s="17" t="str">
        <f>IFERROR(_xll.BDP(E85&amp;" Corp","YAS_BENCHMARK_BOND_ISIN"),"--")</f>
        <v>#N/A Requesting Data...</v>
      </c>
      <c r="Z85" s="18" t="str">
        <f>IFERROR(_xll.BDP(Y85&amp;" CORP","LAST_PRICE"),"--")</f>
        <v>#N/A Requesting Data... CORP</v>
      </c>
      <c r="AA85" s="19" t="str">
        <f>IFERROR(_xll.BDP(E85&amp;" Corp","YAS_YLD_SPREAD","YAS_BOND_PX="&amp;X85,"YAS_BNCHMRK_BOND_PX="&amp;Z85),"--")</f>
        <v>#N/A Requesting Data...</v>
      </c>
      <c r="AB85" s="19" t="str">
        <f>IFERROR(_xll.BDP(E85&amp;" Corp","BLOOMBERG_MID_G_SPREAD","YAS_BOND_PX="&amp;X85,"YAS_BNCHMRK_BOND_PX="&amp;Z85),"--")</f>
        <v>#N/A Requesting Data...</v>
      </c>
      <c r="AC85" s="19" t="str">
        <f>IFERROR(_xll.BDP(D85,"LAST_PRICE"),"--")</f>
        <v>#N/A Requesting Data...</v>
      </c>
      <c r="AD85" s="20"/>
      <c r="AE85" s="19" t="str">
        <f t="shared" si="4"/>
        <v>#N/A Requesting Data...</v>
      </c>
      <c r="AF85" s="19" t="str">
        <f t="shared" si="5"/>
        <v>--</v>
      </c>
      <c r="AG85" s="21" t="str">
        <f t="shared" si="6"/>
        <v>--</v>
      </c>
      <c r="AH85" s="19" t="str">
        <f t="shared" si="7"/>
        <v>--</v>
      </c>
    </row>
    <row r="86" spans="1:34" x14ac:dyDescent="0.45">
      <c r="A86" s="22" t="s">
        <v>365</v>
      </c>
      <c r="B86" s="23" t="s">
        <v>117</v>
      </c>
      <c r="C86" s="22" t="s">
        <v>366</v>
      </c>
      <c r="D86" s="23" t="s">
        <v>367</v>
      </c>
      <c r="E86" s="23" t="s">
        <v>368</v>
      </c>
      <c r="F86" s="24">
        <v>45659</v>
      </c>
      <c r="G86" s="24">
        <v>46226</v>
      </c>
      <c r="H86" s="24">
        <v>48202</v>
      </c>
      <c r="I86" s="25">
        <v>222.36140441894531</v>
      </c>
      <c r="J86" s="25">
        <v>214.86790466308591</v>
      </c>
      <c r="K86" s="25">
        <v>248.99299999999999</v>
      </c>
      <c r="L86" s="25">
        <v>255.196</v>
      </c>
      <c r="M86" s="26">
        <v>388</v>
      </c>
      <c r="N86" s="27">
        <v>-26.631595581054679</v>
      </c>
      <c r="O86" s="28">
        <v>-77.473506835937485</v>
      </c>
      <c r="P86" s="28">
        <v>28.67750488281251</v>
      </c>
      <c r="Q86" s="28">
        <v>-19.887323732041821</v>
      </c>
      <c r="R86" s="29">
        <v>47.895832956910333</v>
      </c>
      <c r="S86" s="28">
        <v>-34.125095336914057</v>
      </c>
      <c r="T86" s="28">
        <v>-84.55788793945311</v>
      </c>
      <c r="U86" s="28">
        <v>18.97700439453126</v>
      </c>
      <c r="V86" s="28">
        <v>-28.052291337789949</v>
      </c>
      <c r="W86" s="30">
        <v>48.710914229622418</v>
      </c>
      <c r="X86" s="16" t="str">
        <f>IFERROR(_xll.BDP(E86&amp;" Corp","LAST_PRICE"),"--")</f>
        <v>#N/A Requesting Data...</v>
      </c>
      <c r="Y86" s="17" t="str">
        <f>IFERROR(_xll.BDP(E86&amp;" Corp","YAS_BENCHMARK_BOND_ISIN"),"--")</f>
        <v>#N/A Requesting Data...</v>
      </c>
      <c r="Z86" s="18" t="str">
        <f>IFERROR(_xll.BDP(Y86&amp;" CORP","LAST_PRICE"),"--")</f>
        <v>#N/A Requesting Data... CORP</v>
      </c>
      <c r="AA86" s="19" t="str">
        <f>IFERROR(_xll.BDP(E86&amp;" Corp","YAS_YLD_SPREAD","YAS_BOND_PX="&amp;X86,"YAS_BNCHMRK_BOND_PX="&amp;Z86),"--")</f>
        <v>#N/A Requesting Data...</v>
      </c>
      <c r="AB86" s="19" t="str">
        <f>IFERROR(_xll.BDP(E86&amp;" Corp","BLOOMBERG_MID_G_SPREAD","YAS_BOND_PX="&amp;X86,"YAS_BNCHMRK_BOND_PX="&amp;Z86),"--")</f>
        <v>#N/A Requesting Data...</v>
      </c>
      <c r="AC86" s="19" t="str">
        <f>IFERROR(_xll.BDP(D86,"LAST_PRICE"),"--")</f>
        <v>#N/A Requesting Data...</v>
      </c>
      <c r="AD86" s="20"/>
      <c r="AE86" s="19" t="str">
        <f t="shared" si="4"/>
        <v>#N/A Requesting Data...</v>
      </c>
      <c r="AF86" s="19" t="str">
        <f t="shared" si="5"/>
        <v>--</v>
      </c>
      <c r="AG86" s="21" t="str">
        <f t="shared" si="6"/>
        <v>--</v>
      </c>
      <c r="AH86" s="19" t="str">
        <f t="shared" si="7"/>
        <v>--</v>
      </c>
    </row>
    <row r="87" spans="1:34" x14ac:dyDescent="0.45">
      <c r="A87" s="7" t="s">
        <v>369</v>
      </c>
      <c r="B87" s="8" t="s">
        <v>117</v>
      </c>
      <c r="C87" s="7" t="s">
        <v>370</v>
      </c>
      <c r="D87" s="8" t="s">
        <v>371</v>
      </c>
      <c r="E87" s="8" t="s">
        <v>372</v>
      </c>
      <c r="F87" s="9">
        <v>45659</v>
      </c>
      <c r="G87" s="9">
        <v>46226</v>
      </c>
      <c r="H87" s="9">
        <v>48019</v>
      </c>
      <c r="I87" s="10">
        <v>313.20968627929688</v>
      </c>
      <c r="J87" s="10">
        <v>313.20968627929688</v>
      </c>
      <c r="K87" s="10">
        <v>260.28399999999999</v>
      </c>
      <c r="L87" s="10">
        <v>263.42599999999999</v>
      </c>
      <c r="M87" s="11">
        <v>390</v>
      </c>
      <c r="N87" s="12">
        <v>52.925686279296883</v>
      </c>
      <c r="O87" s="13">
        <v>-55.379500854492193</v>
      </c>
      <c r="P87" s="13">
        <v>112.76280639648439</v>
      </c>
      <c r="Q87" s="13">
        <v>-6.8955882760854852</v>
      </c>
      <c r="R87" s="14">
        <v>64.412811328994096</v>
      </c>
      <c r="S87" s="13">
        <v>52.925686279296883</v>
      </c>
      <c r="T87" s="13">
        <v>-55.379500854492193</v>
      </c>
      <c r="U87" s="13">
        <v>112.76280639648439</v>
      </c>
      <c r="V87" s="13">
        <v>-6.8955882760854852</v>
      </c>
      <c r="W87" s="15">
        <v>64.412811328994096</v>
      </c>
      <c r="X87" s="16" t="str">
        <f>IFERROR(_xll.BDP(E87&amp;" Corp","LAST_PRICE"),"--")</f>
        <v>#N/A Requesting Data...</v>
      </c>
      <c r="Y87" s="17" t="str">
        <f>IFERROR(_xll.BDP(E87&amp;" Corp","YAS_BENCHMARK_BOND_ISIN"),"--")</f>
        <v>#N/A Requesting Data...</v>
      </c>
      <c r="Z87" s="18" t="str">
        <f>IFERROR(_xll.BDP(Y87&amp;" CORP","LAST_PRICE"),"--")</f>
        <v>#N/A Requesting Data... CORP</v>
      </c>
      <c r="AA87" s="19" t="str">
        <f>IFERROR(_xll.BDP(E87&amp;" Corp","YAS_YLD_SPREAD","YAS_BOND_PX="&amp;X87,"YAS_BNCHMRK_BOND_PX="&amp;Z87),"--")</f>
        <v>#N/A Requesting Data...</v>
      </c>
      <c r="AB87" s="19" t="str">
        <f>IFERROR(_xll.BDP(E87&amp;" Corp","BLOOMBERG_MID_G_SPREAD","YAS_BOND_PX="&amp;X87,"YAS_BNCHMRK_BOND_PX="&amp;Z87),"--")</f>
        <v>#N/A Requesting Data...</v>
      </c>
      <c r="AC87" s="19" t="str">
        <f>IFERROR(_xll.BDP(D87,"LAST_PRICE"),"--")</f>
        <v>#N/A Requesting Data...</v>
      </c>
      <c r="AD87" s="20"/>
      <c r="AE87" s="19" t="str">
        <f t="shared" si="4"/>
        <v>#N/A Requesting Data...</v>
      </c>
      <c r="AF87" s="19" t="str">
        <f t="shared" si="5"/>
        <v>--</v>
      </c>
      <c r="AG87" s="21" t="str">
        <f t="shared" si="6"/>
        <v>--</v>
      </c>
      <c r="AH87" s="19" t="str">
        <f t="shared" si="7"/>
        <v>--</v>
      </c>
    </row>
    <row r="88" spans="1:34" x14ac:dyDescent="0.45">
      <c r="A88" s="22" t="s">
        <v>373</v>
      </c>
      <c r="B88" s="23" t="s">
        <v>117</v>
      </c>
      <c r="C88" s="22" t="s">
        <v>374</v>
      </c>
      <c r="D88" s="23" t="s">
        <v>375</v>
      </c>
      <c r="E88" s="23" t="s">
        <v>376</v>
      </c>
      <c r="F88" s="24">
        <v>45659</v>
      </c>
      <c r="G88" s="24">
        <v>46226</v>
      </c>
      <c r="H88" s="24">
        <v>47289</v>
      </c>
      <c r="I88" s="25">
        <v>112.30429840087891</v>
      </c>
      <c r="J88" s="25">
        <v>162.76210021972659</v>
      </c>
      <c r="K88" s="25">
        <v>231.583</v>
      </c>
      <c r="L88" s="25">
        <v>191.10300000000001</v>
      </c>
      <c r="M88" s="26">
        <v>390</v>
      </c>
      <c r="N88" s="27">
        <v>-119.27870159912111</v>
      </c>
      <c r="O88" s="28">
        <v>-196.11359802246099</v>
      </c>
      <c r="P88" s="28">
        <v>25.982893066406259</v>
      </c>
      <c r="Q88" s="28">
        <v>-98.311487073536426</v>
      </c>
      <c r="R88" s="29">
        <v>34.595277055771227</v>
      </c>
      <c r="S88" s="28">
        <v>-68.820899780273436</v>
      </c>
      <c r="T88" s="28">
        <v>-138.66239562988281</v>
      </c>
      <c r="U88" s="28">
        <v>93.844587402343763</v>
      </c>
      <c r="V88" s="28">
        <v>-40.444702503007711</v>
      </c>
      <c r="W88" s="30">
        <v>30.038450862324868</v>
      </c>
      <c r="X88" s="16" t="str">
        <f>IFERROR(_xll.BDP(E88&amp;" Corp","LAST_PRICE"),"--")</f>
        <v>#N/A Requesting Data...</v>
      </c>
      <c r="Y88" s="17" t="str">
        <f>IFERROR(_xll.BDP(E88&amp;" Corp","YAS_BENCHMARK_BOND_ISIN"),"--")</f>
        <v>#N/A Requesting Data...</v>
      </c>
      <c r="Z88" s="18" t="str">
        <f>IFERROR(_xll.BDP(Y88&amp;" CORP","LAST_PRICE"),"--")</f>
        <v>#N/A Requesting Data... CORP</v>
      </c>
      <c r="AA88" s="19" t="str">
        <f>IFERROR(_xll.BDP(E88&amp;" Corp","YAS_YLD_SPREAD","YAS_BOND_PX="&amp;X88,"YAS_BNCHMRK_BOND_PX="&amp;Z88),"--")</f>
        <v>#N/A Requesting Data...</v>
      </c>
      <c r="AB88" s="19" t="str">
        <f>IFERROR(_xll.BDP(E88&amp;" Corp","BLOOMBERG_MID_G_SPREAD","YAS_BOND_PX="&amp;X88,"YAS_BNCHMRK_BOND_PX="&amp;Z88),"--")</f>
        <v>#N/A Requesting Data...</v>
      </c>
      <c r="AC88" s="19" t="str">
        <f>IFERROR(_xll.BDP(D88,"LAST_PRICE"),"--")</f>
        <v>#N/A Requesting Data...</v>
      </c>
      <c r="AD88" s="20"/>
      <c r="AE88" s="19" t="str">
        <f t="shared" si="4"/>
        <v>#N/A Requesting Data...</v>
      </c>
      <c r="AF88" s="19" t="str">
        <f t="shared" si="5"/>
        <v>--</v>
      </c>
      <c r="AG88" s="21" t="str">
        <f t="shared" si="6"/>
        <v>--</v>
      </c>
      <c r="AH88" s="19" t="str">
        <f t="shared" si="7"/>
        <v>--</v>
      </c>
    </row>
    <row r="89" spans="1:34" x14ac:dyDescent="0.45">
      <c r="A89" s="7" t="s">
        <v>377</v>
      </c>
      <c r="B89" s="8" t="s">
        <v>117</v>
      </c>
      <c r="C89" s="7" t="s">
        <v>378</v>
      </c>
      <c r="D89" s="8" t="s">
        <v>379</v>
      </c>
      <c r="E89" s="8" t="s">
        <v>380</v>
      </c>
      <c r="F89" s="9">
        <v>45659</v>
      </c>
      <c r="G89" s="9">
        <v>46226</v>
      </c>
      <c r="H89" s="9">
        <v>47837</v>
      </c>
      <c r="I89" s="10">
        <v>97.056602478027344</v>
      </c>
      <c r="J89" s="10">
        <v>104.3852005004883</v>
      </c>
      <c r="K89" s="10">
        <v>145.12899999999999</v>
      </c>
      <c r="L89" s="10">
        <v>146.26499999999999</v>
      </c>
      <c r="M89" s="11">
        <v>389</v>
      </c>
      <c r="N89" s="12">
        <v>-48.072397521972647</v>
      </c>
      <c r="O89" s="13">
        <v>-86.365698608398446</v>
      </c>
      <c r="P89" s="13">
        <v>17.366604858398428</v>
      </c>
      <c r="Q89" s="13">
        <v>-40.290399990679987</v>
      </c>
      <c r="R89" s="14">
        <v>36.915502506586968</v>
      </c>
      <c r="S89" s="13">
        <v>-40.743799499511709</v>
      </c>
      <c r="T89" s="13">
        <v>-82.198401245117196</v>
      </c>
      <c r="U89" s="13">
        <v>23.749203735351561</v>
      </c>
      <c r="V89" s="13">
        <v>-33.909966233908058</v>
      </c>
      <c r="W89" s="15">
        <v>39.127455267391433</v>
      </c>
      <c r="X89" s="16" t="str">
        <f>IFERROR(_xll.BDP(E89&amp;" Corp","LAST_PRICE"),"--")</f>
        <v>#N/A Requesting Data...</v>
      </c>
      <c r="Y89" s="17" t="str">
        <f>IFERROR(_xll.BDP(E89&amp;" Corp","YAS_BENCHMARK_BOND_ISIN"),"--")</f>
        <v>#N/A Requesting Data...</v>
      </c>
      <c r="Z89" s="18" t="str">
        <f>IFERROR(_xll.BDP(Y89&amp;" CORP","LAST_PRICE"),"--")</f>
        <v>#N/A Requesting Data... CORP</v>
      </c>
      <c r="AA89" s="19" t="str">
        <f>IFERROR(_xll.BDP(E89&amp;" Corp","YAS_YLD_SPREAD","YAS_BOND_PX="&amp;X89,"YAS_BNCHMRK_BOND_PX="&amp;Z89),"--")</f>
        <v>#N/A Requesting Data...</v>
      </c>
      <c r="AB89" s="19" t="str">
        <f>IFERROR(_xll.BDP(E89&amp;" Corp","BLOOMBERG_MID_G_SPREAD","YAS_BOND_PX="&amp;X89,"YAS_BNCHMRK_BOND_PX="&amp;Z89),"--")</f>
        <v>#N/A Requesting Data...</v>
      </c>
      <c r="AC89" s="19" t="str">
        <f>IFERROR(_xll.BDP(D89,"LAST_PRICE"),"--")</f>
        <v>#N/A Requesting Data...</v>
      </c>
      <c r="AD89" s="20"/>
      <c r="AE89" s="19" t="str">
        <f t="shared" si="4"/>
        <v>#N/A Requesting Data...</v>
      </c>
      <c r="AF89" s="19" t="str">
        <f t="shared" si="5"/>
        <v>--</v>
      </c>
      <c r="AG89" s="21" t="str">
        <f t="shared" si="6"/>
        <v>--</v>
      </c>
      <c r="AH89" s="19" t="str">
        <f t="shared" si="7"/>
        <v>--</v>
      </c>
    </row>
    <row r="90" spans="1:34" x14ac:dyDescent="0.45">
      <c r="A90" s="22" t="s">
        <v>381</v>
      </c>
      <c r="B90" s="23" t="s">
        <v>117</v>
      </c>
      <c r="C90" s="22" t="s">
        <v>382</v>
      </c>
      <c r="D90" s="23" t="s">
        <v>383</v>
      </c>
      <c r="E90" s="23" t="s">
        <v>384</v>
      </c>
      <c r="F90" s="24">
        <v>46044</v>
      </c>
      <c r="G90" s="24">
        <v>46226</v>
      </c>
      <c r="H90" s="24">
        <v>47837</v>
      </c>
      <c r="I90" s="25">
        <v>164.9945983886719</v>
      </c>
      <c r="J90" s="25">
        <v>182.1712951660156</v>
      </c>
      <c r="K90" s="25">
        <v>238.88499999999999</v>
      </c>
      <c r="L90" s="25">
        <v>241.886</v>
      </c>
      <c r="M90" s="26">
        <v>127</v>
      </c>
      <c r="N90" s="27">
        <v>-73.890401611328116</v>
      </c>
      <c r="O90" s="28">
        <v>-153.5158039550781</v>
      </c>
      <c r="P90" s="28">
        <v>-59.945993530273427</v>
      </c>
      <c r="Q90" s="28">
        <v>-99.496227545790774</v>
      </c>
      <c r="R90" s="29">
        <v>85.097321435463627</v>
      </c>
      <c r="S90" s="28">
        <v>-56.713704833984373</v>
      </c>
      <c r="T90" s="28">
        <v>-139.34269299316409</v>
      </c>
      <c r="U90" s="28">
        <v>-42.551294433593739</v>
      </c>
      <c r="V90" s="28">
        <v>-83.587360723540527</v>
      </c>
      <c r="W90" s="30">
        <v>85.368110585080188</v>
      </c>
      <c r="X90" s="16" t="str">
        <f>IFERROR(_xll.BDP(E90&amp;" Corp","LAST_PRICE"),"--")</f>
        <v>#N/A Requesting Data...</v>
      </c>
      <c r="Y90" s="17" t="str">
        <f>IFERROR(_xll.BDP(E90&amp;" Corp","YAS_BENCHMARK_BOND_ISIN"),"--")</f>
        <v>#N/A Requesting Data...</v>
      </c>
      <c r="Z90" s="18" t="str">
        <f>IFERROR(_xll.BDP(Y90&amp;" CORP","LAST_PRICE"),"--")</f>
        <v>#N/A Requesting Data... CORP</v>
      </c>
      <c r="AA90" s="19" t="str">
        <f>IFERROR(_xll.BDP(E90&amp;" Corp","YAS_YLD_SPREAD","YAS_BOND_PX="&amp;X90,"YAS_BNCHMRK_BOND_PX="&amp;Z90),"--")</f>
        <v>#N/A Requesting Data...</v>
      </c>
      <c r="AB90" s="19" t="str">
        <f>IFERROR(_xll.BDP(E90&amp;" Corp","BLOOMBERG_MID_G_SPREAD","YAS_BOND_PX="&amp;X90,"YAS_BNCHMRK_BOND_PX="&amp;Z90),"--")</f>
        <v>#N/A Requesting Data...</v>
      </c>
      <c r="AC90" s="19" t="str">
        <f>IFERROR(_xll.BDP(D90,"LAST_PRICE"),"--")</f>
        <v>#N/A Requesting Data...</v>
      </c>
      <c r="AD90" s="20"/>
      <c r="AE90" s="19" t="str">
        <f t="shared" si="4"/>
        <v>#N/A Requesting Data...</v>
      </c>
      <c r="AF90" s="19" t="str">
        <f t="shared" si="5"/>
        <v>--</v>
      </c>
      <c r="AG90" s="21" t="str">
        <f t="shared" si="6"/>
        <v>--</v>
      </c>
      <c r="AH90" s="19" t="str">
        <f t="shared" si="7"/>
        <v>--</v>
      </c>
    </row>
    <row r="91" spans="1:34" x14ac:dyDescent="0.45">
      <c r="A91" s="7" t="s">
        <v>385</v>
      </c>
      <c r="B91" s="8" t="s">
        <v>117</v>
      </c>
      <c r="C91" s="7" t="s">
        <v>386</v>
      </c>
      <c r="D91" s="8" t="s">
        <v>387</v>
      </c>
      <c r="E91" s="8" t="s">
        <v>388</v>
      </c>
      <c r="F91" s="9">
        <v>45659</v>
      </c>
      <c r="G91" s="9">
        <v>46226</v>
      </c>
      <c r="H91" s="9">
        <v>48385</v>
      </c>
      <c r="I91" s="10">
        <v>179.29960632324219</v>
      </c>
      <c r="J91" s="10">
        <v>145.58140563964841</v>
      </c>
      <c r="K91" s="10">
        <v>169.286</v>
      </c>
      <c r="L91" s="10">
        <v>171.66399999999999</v>
      </c>
      <c r="M91" s="11">
        <v>387</v>
      </c>
      <c r="N91" s="12">
        <v>10.01360632324219</v>
      </c>
      <c r="O91" s="13">
        <v>-30.86489929199217</v>
      </c>
      <c r="P91" s="13">
        <v>46.762706298828142</v>
      </c>
      <c r="Q91" s="13">
        <v>7.8362583581889949</v>
      </c>
      <c r="R91" s="14">
        <v>52.65975332371756</v>
      </c>
      <c r="S91" s="13">
        <v>-23.70459436035156</v>
      </c>
      <c r="T91" s="13">
        <v>-56.490494384765611</v>
      </c>
      <c r="U91" s="13">
        <v>21.515697021484389</v>
      </c>
      <c r="V91" s="13">
        <v>-16.059111336641529</v>
      </c>
      <c r="W91" s="15">
        <v>42.029868954462479</v>
      </c>
      <c r="X91" s="16" t="str">
        <f>IFERROR(_xll.BDP(E91&amp;" Corp","LAST_PRICE"),"--")</f>
        <v>#N/A Requesting Data...</v>
      </c>
      <c r="Y91" s="17" t="str">
        <f>IFERROR(_xll.BDP(E91&amp;" Corp","YAS_BENCHMARK_BOND_ISIN"),"--")</f>
        <v>#N/A Requesting Data...</v>
      </c>
      <c r="Z91" s="18" t="str">
        <f>IFERROR(_xll.BDP(Y91&amp;" CORP","LAST_PRICE"),"--")</f>
        <v>#N/A Requesting Data... CORP</v>
      </c>
      <c r="AA91" s="19" t="str">
        <f>IFERROR(_xll.BDP(E91&amp;" Corp","YAS_YLD_SPREAD","YAS_BOND_PX="&amp;X91,"YAS_BNCHMRK_BOND_PX="&amp;Z91),"--")</f>
        <v>#N/A Requesting Data...</v>
      </c>
      <c r="AB91" s="19" t="str">
        <f>IFERROR(_xll.BDP(E91&amp;" Corp","BLOOMBERG_MID_G_SPREAD","YAS_BOND_PX="&amp;X91,"YAS_BNCHMRK_BOND_PX="&amp;Z91),"--")</f>
        <v>#N/A Requesting Data...</v>
      </c>
      <c r="AC91" s="19" t="str">
        <f>IFERROR(_xll.BDP(D91,"LAST_PRICE"),"--")</f>
        <v>#N/A Requesting Data...</v>
      </c>
      <c r="AD91" s="20"/>
      <c r="AE91" s="19" t="str">
        <f t="shared" si="4"/>
        <v>#N/A Requesting Data...</v>
      </c>
      <c r="AF91" s="19" t="str">
        <f t="shared" si="5"/>
        <v>--</v>
      </c>
      <c r="AG91" s="21" t="str">
        <f t="shared" si="6"/>
        <v>--</v>
      </c>
      <c r="AH91" s="19" t="str">
        <f t="shared" si="7"/>
        <v>--</v>
      </c>
    </row>
    <row r="92" spans="1:34" x14ac:dyDescent="0.45">
      <c r="A92" s="22" t="s">
        <v>389</v>
      </c>
      <c r="B92" s="23" t="s">
        <v>117</v>
      </c>
      <c r="C92" s="22" t="s">
        <v>390</v>
      </c>
      <c r="D92" s="23" t="s">
        <v>391</v>
      </c>
      <c r="E92" s="23" t="s">
        <v>392</v>
      </c>
      <c r="F92" s="24">
        <v>45659</v>
      </c>
      <c r="G92" s="24">
        <v>46226</v>
      </c>
      <c r="H92" s="24">
        <v>48385</v>
      </c>
      <c r="I92" s="25">
        <v>545.8507080078125</v>
      </c>
      <c r="J92" s="25">
        <v>499.44351196289063</v>
      </c>
      <c r="K92" s="25">
        <v>650.27499999999998</v>
      </c>
      <c r="L92" s="25">
        <v>657.59</v>
      </c>
      <c r="M92" s="26">
        <v>387</v>
      </c>
      <c r="N92" s="27">
        <v>-104.42429199218751</v>
      </c>
      <c r="O92" s="28">
        <v>-202.941087890625</v>
      </c>
      <c r="P92" s="28">
        <v>-3.172297363281245</v>
      </c>
      <c r="Q92" s="28">
        <v>-117.9232098300352</v>
      </c>
      <c r="R92" s="29">
        <v>49.315408897644019</v>
      </c>
      <c r="S92" s="28">
        <v>-150.83148803710941</v>
      </c>
      <c r="T92" s="28">
        <v>-249.42100732421869</v>
      </c>
      <c r="U92" s="28">
        <v>-43.921381835937503</v>
      </c>
      <c r="V92" s="28">
        <v>-154.28860881858651</v>
      </c>
      <c r="W92" s="30">
        <v>47.975522608790122</v>
      </c>
      <c r="X92" s="16" t="str">
        <f>IFERROR(_xll.BDP(E92&amp;" Corp","LAST_PRICE"),"--")</f>
        <v>#N/A Requesting Data...</v>
      </c>
      <c r="Y92" s="17" t="str">
        <f>IFERROR(_xll.BDP(E92&amp;" Corp","YAS_BENCHMARK_BOND_ISIN"),"--")</f>
        <v>#N/A Requesting Data...</v>
      </c>
      <c r="Z92" s="18" t="str">
        <f>IFERROR(_xll.BDP(Y92&amp;" CORP","LAST_PRICE"),"--")</f>
        <v>#N/A Requesting Data... CORP</v>
      </c>
      <c r="AA92" s="19" t="str">
        <f>IFERROR(_xll.BDP(E92&amp;" Corp","YAS_YLD_SPREAD","YAS_BOND_PX="&amp;X92,"YAS_BNCHMRK_BOND_PX="&amp;Z92),"--")</f>
        <v>#N/A Requesting Data...</v>
      </c>
      <c r="AB92" s="19" t="str">
        <f>IFERROR(_xll.BDP(E92&amp;" Corp","BLOOMBERG_MID_G_SPREAD","YAS_BOND_PX="&amp;X92,"YAS_BNCHMRK_BOND_PX="&amp;Z92),"--")</f>
        <v>#N/A Requesting Data...</v>
      </c>
      <c r="AC92" s="19" t="str">
        <f>IFERROR(_xll.BDP(D92,"LAST_PRICE"),"--")</f>
        <v>#N/A Requesting Data...</v>
      </c>
      <c r="AD92" s="20"/>
      <c r="AE92" s="19" t="str">
        <f t="shared" si="4"/>
        <v>#N/A Requesting Data...</v>
      </c>
      <c r="AF92" s="19" t="str">
        <f t="shared" si="5"/>
        <v>--</v>
      </c>
      <c r="AG92" s="21" t="str">
        <f t="shared" si="6"/>
        <v>--</v>
      </c>
      <c r="AH92" s="19" t="str">
        <f t="shared" si="7"/>
        <v>--</v>
      </c>
    </row>
    <row r="93" spans="1:34" x14ac:dyDescent="0.45">
      <c r="A93" s="7" t="s">
        <v>393</v>
      </c>
      <c r="B93" s="8" t="s">
        <v>117</v>
      </c>
      <c r="C93" s="7" t="s">
        <v>394</v>
      </c>
      <c r="D93" s="8" t="s">
        <v>395</v>
      </c>
      <c r="E93" s="8" t="s">
        <v>396</v>
      </c>
      <c r="F93" s="9">
        <v>45659</v>
      </c>
      <c r="G93" s="9">
        <v>46226</v>
      </c>
      <c r="H93" s="9">
        <v>48019</v>
      </c>
      <c r="I93" s="10">
        <v>214.92999267578119</v>
      </c>
      <c r="J93" s="10">
        <v>214.92999267578119</v>
      </c>
      <c r="K93" s="10">
        <v>256.947</v>
      </c>
      <c r="L93" s="10">
        <v>260.62599999999998</v>
      </c>
      <c r="M93" s="11">
        <v>379</v>
      </c>
      <c r="N93" s="12">
        <v>-42.017007324218753</v>
      </c>
      <c r="O93" s="13">
        <v>-129.2331015625</v>
      </c>
      <c r="P93" s="13">
        <v>215.17709375000001</v>
      </c>
      <c r="Q93" s="13">
        <v>-18.913742524401179</v>
      </c>
      <c r="R93" s="14">
        <v>25.323319525760809</v>
      </c>
      <c r="S93" s="13">
        <v>-42.017007324218753</v>
      </c>
      <c r="T93" s="13">
        <v>-129.2331015625</v>
      </c>
      <c r="U93" s="13">
        <v>215.17709375000001</v>
      </c>
      <c r="V93" s="13">
        <v>-18.913742524401179</v>
      </c>
      <c r="W93" s="15">
        <v>25.323319525760809</v>
      </c>
      <c r="X93" s="16" t="str">
        <f>IFERROR(_xll.BDP(E93&amp;" Corp","LAST_PRICE"),"--")</f>
        <v>#N/A Requesting Data...</v>
      </c>
      <c r="Y93" s="17" t="str">
        <f>IFERROR(_xll.BDP(E93&amp;" Corp","YAS_BENCHMARK_BOND_ISIN"),"--")</f>
        <v>#N/A Requesting Data...</v>
      </c>
      <c r="Z93" s="18" t="str">
        <f>IFERROR(_xll.BDP(Y93&amp;" CORP","LAST_PRICE"),"--")</f>
        <v>#N/A Requesting Data... CORP</v>
      </c>
      <c r="AA93" s="19" t="str">
        <f>IFERROR(_xll.BDP(E93&amp;" Corp","YAS_YLD_SPREAD","YAS_BOND_PX="&amp;X93,"YAS_BNCHMRK_BOND_PX="&amp;Z93),"--")</f>
        <v>#N/A Requesting Data...</v>
      </c>
      <c r="AB93" s="19" t="str">
        <f>IFERROR(_xll.BDP(E93&amp;" Corp","BLOOMBERG_MID_G_SPREAD","YAS_BOND_PX="&amp;X93,"YAS_BNCHMRK_BOND_PX="&amp;Z93),"--")</f>
        <v>#N/A Requesting Data...</v>
      </c>
      <c r="AC93" s="19" t="str">
        <f>IFERROR(_xll.BDP(D93,"LAST_PRICE"),"--")</f>
        <v>#N/A Requesting Data...</v>
      </c>
      <c r="AD93" s="20"/>
      <c r="AE93" s="19" t="str">
        <f t="shared" si="4"/>
        <v>#N/A Requesting Data...</v>
      </c>
      <c r="AF93" s="19" t="str">
        <f t="shared" si="5"/>
        <v>--</v>
      </c>
      <c r="AG93" s="21" t="str">
        <f t="shared" si="6"/>
        <v>--</v>
      </c>
      <c r="AH93" s="19" t="str">
        <f t="shared" si="7"/>
        <v>--</v>
      </c>
    </row>
    <row r="94" spans="1:34" x14ac:dyDescent="0.45">
      <c r="A94" s="22" t="s">
        <v>397</v>
      </c>
      <c r="B94" s="23" t="s">
        <v>117</v>
      </c>
      <c r="C94" s="22" t="s">
        <v>398</v>
      </c>
      <c r="D94" s="23" t="s">
        <v>399</v>
      </c>
      <c r="E94" s="23" t="s">
        <v>400</v>
      </c>
      <c r="F94" s="24">
        <v>46163</v>
      </c>
      <c r="G94" s="24">
        <v>46226</v>
      </c>
      <c r="H94" s="24">
        <v>48019</v>
      </c>
      <c r="I94" s="25">
        <v>556.9246826171875</v>
      </c>
      <c r="J94" s="25">
        <v>556.9246826171875</v>
      </c>
      <c r="K94" s="25">
        <v>758.59199999999998</v>
      </c>
      <c r="L94" s="25">
        <v>759.96600000000001</v>
      </c>
      <c r="M94" s="26">
        <v>43</v>
      </c>
      <c r="N94" s="27">
        <v>-201.66731738281251</v>
      </c>
      <c r="O94" s="28">
        <v>-251.85528564453119</v>
      </c>
      <c r="P94" s="28">
        <v>-155.40479345703119</v>
      </c>
      <c r="Q94" s="28">
        <v>-212.6877337618096</v>
      </c>
      <c r="R94" s="29">
        <v>52.03495298308404</v>
      </c>
      <c r="S94" s="28">
        <v>-201.66731738281251</v>
      </c>
      <c r="T94" s="28">
        <v>-251.85528564453119</v>
      </c>
      <c r="U94" s="28">
        <v>-155.40479345703119</v>
      </c>
      <c r="V94" s="28">
        <v>-212.6877337618096</v>
      </c>
      <c r="W94" s="30">
        <v>52.03495298308404</v>
      </c>
      <c r="X94" s="16" t="str">
        <f>IFERROR(_xll.BDP(E94&amp;" Corp","LAST_PRICE"),"--")</f>
        <v>#N/A Requesting Data...</v>
      </c>
      <c r="Y94" s="17" t="str">
        <f>IFERROR(_xll.BDP(E94&amp;" Corp","YAS_BENCHMARK_BOND_ISIN"),"--")</f>
        <v>#N/A Requesting Data...</v>
      </c>
      <c r="Z94" s="18" t="str">
        <f>IFERROR(_xll.BDP(Y94&amp;" CORP","LAST_PRICE"),"--")</f>
        <v>#N/A Requesting Data... CORP</v>
      </c>
      <c r="AA94" s="19" t="str">
        <f>IFERROR(_xll.BDP(E94&amp;" Corp","YAS_YLD_SPREAD","YAS_BOND_PX="&amp;X94,"YAS_BNCHMRK_BOND_PX="&amp;Z94),"--")</f>
        <v>#N/A Requesting Data...</v>
      </c>
      <c r="AB94" s="19" t="str">
        <f>IFERROR(_xll.BDP(E94&amp;" Corp","BLOOMBERG_MID_G_SPREAD","YAS_BOND_PX="&amp;X94,"YAS_BNCHMRK_BOND_PX="&amp;Z94),"--")</f>
        <v>#N/A Requesting Data...</v>
      </c>
      <c r="AC94" s="19" t="str">
        <f>IFERROR(_xll.BDP(D94,"LAST_PRICE"),"--")</f>
        <v>#N/A Requesting Data...</v>
      </c>
      <c r="AD94" s="20"/>
      <c r="AE94" s="19" t="str">
        <f t="shared" si="4"/>
        <v>#N/A Requesting Data...</v>
      </c>
      <c r="AF94" s="19" t="str">
        <f t="shared" si="5"/>
        <v>--</v>
      </c>
      <c r="AG94" s="21" t="str">
        <f t="shared" si="6"/>
        <v>--</v>
      </c>
      <c r="AH94" s="19" t="str">
        <f t="shared" si="7"/>
        <v>--</v>
      </c>
    </row>
    <row r="95" spans="1:34" x14ac:dyDescent="0.45">
      <c r="A95" s="7" t="s">
        <v>401</v>
      </c>
      <c r="B95" s="8" t="s">
        <v>117</v>
      </c>
      <c r="C95" s="7" t="s">
        <v>402</v>
      </c>
      <c r="D95" s="8" t="s">
        <v>403</v>
      </c>
      <c r="E95" s="8" t="s">
        <v>404</v>
      </c>
      <c r="F95" s="9">
        <v>45798</v>
      </c>
      <c r="G95" s="9">
        <v>46226</v>
      </c>
      <c r="H95" s="9">
        <v>47837</v>
      </c>
      <c r="I95" s="10">
        <v>1033.97119140625</v>
      </c>
      <c r="J95" s="10">
        <v>1032.067749023438</v>
      </c>
      <c r="K95" s="10">
        <v>935.60199999999998</v>
      </c>
      <c r="L95" s="10">
        <v>919.81500000000005</v>
      </c>
      <c r="M95" s="11">
        <v>286</v>
      </c>
      <c r="N95" s="12">
        <v>98.369191406250025</v>
      </c>
      <c r="O95" s="13">
        <v>-212.3619472656251</v>
      </c>
      <c r="P95" s="13">
        <v>455.55652441406261</v>
      </c>
      <c r="Q95" s="13">
        <v>43.565551762934341</v>
      </c>
      <c r="R95" s="14">
        <v>46.522315499142508</v>
      </c>
      <c r="S95" s="13">
        <v>96.465749023437525</v>
      </c>
      <c r="T95" s="13">
        <v>-195.4792568359376</v>
      </c>
      <c r="U95" s="13">
        <v>464.65357031250011</v>
      </c>
      <c r="V95" s="13">
        <v>59.667709739147782</v>
      </c>
      <c r="W95" s="15">
        <v>44.225191333156999</v>
      </c>
      <c r="X95" s="16" t="str">
        <f>IFERROR(_xll.BDP(E95&amp;" Corp","LAST_PRICE"),"--")</f>
        <v>#N/A Requesting Data...</v>
      </c>
      <c r="Y95" s="17" t="str">
        <f>IFERROR(_xll.BDP(E95&amp;" Corp","YAS_BENCHMARK_BOND_ISIN"),"--")</f>
        <v>#N/A Requesting Data...</v>
      </c>
      <c r="Z95" s="18" t="str">
        <f>IFERROR(_xll.BDP(Y95&amp;" CORP","LAST_PRICE"),"--")</f>
        <v>#N/A Requesting Data... CORP</v>
      </c>
      <c r="AA95" s="19" t="str">
        <f>IFERROR(_xll.BDP(E95&amp;" Corp","YAS_YLD_SPREAD","YAS_BOND_PX="&amp;X95,"YAS_BNCHMRK_BOND_PX="&amp;Z95),"--")</f>
        <v>#N/A Requesting Data...</v>
      </c>
      <c r="AB95" s="19" t="str">
        <f>IFERROR(_xll.BDP(E95&amp;" Corp","BLOOMBERG_MID_G_SPREAD","YAS_BOND_PX="&amp;X95,"YAS_BNCHMRK_BOND_PX="&amp;Z95),"--")</f>
        <v>#N/A Requesting Data...</v>
      </c>
      <c r="AC95" s="19" t="str">
        <f>IFERROR(_xll.BDP(D95,"LAST_PRICE"),"--")</f>
        <v>#N/A Requesting Data...</v>
      </c>
      <c r="AD95" s="20"/>
      <c r="AE95" s="19" t="str">
        <f t="shared" si="4"/>
        <v>#N/A Requesting Data...</v>
      </c>
      <c r="AF95" s="19" t="str">
        <f t="shared" si="5"/>
        <v>--</v>
      </c>
      <c r="AG95" s="21" t="str">
        <f t="shared" si="6"/>
        <v>--</v>
      </c>
      <c r="AH95" s="19" t="str">
        <f t="shared" si="7"/>
        <v>--</v>
      </c>
    </row>
    <row r="96" spans="1:34" x14ac:dyDescent="0.45">
      <c r="A96" s="22" t="s">
        <v>405</v>
      </c>
      <c r="B96" s="23" t="s">
        <v>117</v>
      </c>
      <c r="C96" s="22" t="s">
        <v>406</v>
      </c>
      <c r="D96" s="23" t="s">
        <v>407</v>
      </c>
      <c r="E96" s="23" t="s">
        <v>408</v>
      </c>
      <c r="F96" s="24">
        <v>45659</v>
      </c>
      <c r="G96" s="24">
        <v>46226</v>
      </c>
      <c r="H96" s="24">
        <v>48933</v>
      </c>
      <c r="I96" s="25">
        <v>252.81300354003909</v>
      </c>
      <c r="J96" s="25">
        <v>198.40370178222659</v>
      </c>
      <c r="K96" s="25">
        <v>285.09899999999999</v>
      </c>
      <c r="L96" s="25">
        <v>272.70499999999998</v>
      </c>
      <c r="M96" s="26">
        <v>389</v>
      </c>
      <c r="N96" s="27">
        <v>-32.285996459960927</v>
      </c>
      <c r="O96" s="28">
        <v>-35.128100708007821</v>
      </c>
      <c r="P96" s="28">
        <v>210.08880834960939</v>
      </c>
      <c r="Q96" s="28">
        <v>29.990122243533101</v>
      </c>
      <c r="R96" s="29">
        <v>1.159016423039205</v>
      </c>
      <c r="S96" s="28">
        <v>-86.695298217773427</v>
      </c>
      <c r="T96" s="28">
        <v>-86.695298217773427</v>
      </c>
      <c r="U96" s="28">
        <v>161.24160986328121</v>
      </c>
      <c r="V96" s="28">
        <v>-5.889477947950974</v>
      </c>
      <c r="W96" s="30">
        <v>0</v>
      </c>
      <c r="X96" s="16" t="str">
        <f>IFERROR(_xll.BDP(E96&amp;" Corp","LAST_PRICE"),"--")</f>
        <v>#N/A Requesting Data...</v>
      </c>
      <c r="Y96" s="17" t="str">
        <f>IFERROR(_xll.BDP(E96&amp;" Corp","YAS_BENCHMARK_BOND_ISIN"),"--")</f>
        <v>#N/A Requesting Data...</v>
      </c>
      <c r="Z96" s="18" t="str">
        <f>IFERROR(_xll.BDP(Y96&amp;" CORP","LAST_PRICE"),"--")</f>
        <v>#N/A Requesting Data... CORP</v>
      </c>
      <c r="AA96" s="19" t="str">
        <f>IFERROR(_xll.BDP(E96&amp;" Corp","YAS_YLD_SPREAD","YAS_BOND_PX="&amp;X96,"YAS_BNCHMRK_BOND_PX="&amp;Z96),"--")</f>
        <v>#N/A Requesting Data...</v>
      </c>
      <c r="AB96" s="19" t="str">
        <f>IFERROR(_xll.BDP(E96&amp;" Corp","BLOOMBERG_MID_G_SPREAD","YAS_BOND_PX="&amp;X96,"YAS_BNCHMRK_BOND_PX="&amp;Z96),"--")</f>
        <v>#N/A Requesting Data...</v>
      </c>
      <c r="AC96" s="19" t="str">
        <f>IFERROR(_xll.BDP(D96,"LAST_PRICE"),"--")</f>
        <v>#N/A Requesting Data...</v>
      </c>
      <c r="AD96" s="20"/>
      <c r="AE96" s="19" t="str">
        <f t="shared" si="4"/>
        <v>#N/A Requesting Data...</v>
      </c>
      <c r="AF96" s="19" t="str">
        <f t="shared" si="5"/>
        <v>--</v>
      </c>
      <c r="AG96" s="21" t="str">
        <f t="shared" si="6"/>
        <v>--</v>
      </c>
      <c r="AH96" s="19" t="str">
        <f t="shared" si="7"/>
        <v>--</v>
      </c>
    </row>
    <row r="97" spans="1:34" x14ac:dyDescent="0.45">
      <c r="A97" s="7" t="s">
        <v>409</v>
      </c>
      <c r="B97" s="8" t="s">
        <v>117</v>
      </c>
      <c r="C97" s="7" t="s">
        <v>410</v>
      </c>
      <c r="D97" s="8" t="s">
        <v>411</v>
      </c>
      <c r="E97" s="8" t="s">
        <v>412</v>
      </c>
      <c r="F97" s="9">
        <v>45659</v>
      </c>
      <c r="G97" s="9">
        <v>46226</v>
      </c>
      <c r="H97" s="9">
        <v>48202</v>
      </c>
      <c r="I97" s="10">
        <v>177.0718994140625</v>
      </c>
      <c r="J97" s="10">
        <v>153.04130554199219</v>
      </c>
      <c r="K97" s="10">
        <v>170.80799999999999</v>
      </c>
      <c r="L97" s="10">
        <v>175.53399999999999</v>
      </c>
      <c r="M97" s="11">
        <v>384</v>
      </c>
      <c r="N97" s="12">
        <v>6.2638994140625073</v>
      </c>
      <c r="O97" s="13">
        <v>-17.196001464843761</v>
      </c>
      <c r="P97" s="13">
        <v>65.479302856445315</v>
      </c>
      <c r="Q97" s="13">
        <v>25.184132293065389</v>
      </c>
      <c r="R97" s="14">
        <v>28.37594741440255</v>
      </c>
      <c r="S97" s="13">
        <v>-17.766694458007809</v>
      </c>
      <c r="T97" s="13">
        <v>-23.901506835937511</v>
      </c>
      <c r="U97" s="13">
        <v>40.45729492187499</v>
      </c>
      <c r="V97" s="13">
        <v>9.3076208766661974</v>
      </c>
      <c r="W97" s="15">
        <v>9.532204159138189</v>
      </c>
      <c r="X97" s="16" t="str">
        <f>IFERROR(_xll.BDP(E97&amp;" Corp","LAST_PRICE"),"--")</f>
        <v>#N/A Requesting Data...</v>
      </c>
      <c r="Y97" s="17" t="str">
        <f>IFERROR(_xll.BDP(E97&amp;" Corp","YAS_BENCHMARK_BOND_ISIN"),"--")</f>
        <v>#N/A Requesting Data...</v>
      </c>
      <c r="Z97" s="18" t="str">
        <f>IFERROR(_xll.BDP(Y97&amp;" CORP","LAST_PRICE"),"--")</f>
        <v>#N/A Requesting Data... CORP</v>
      </c>
      <c r="AA97" s="19" t="str">
        <f>IFERROR(_xll.BDP(E97&amp;" Corp","YAS_YLD_SPREAD","YAS_BOND_PX="&amp;X97,"YAS_BNCHMRK_BOND_PX="&amp;Z97),"--")</f>
        <v>#N/A Requesting Data...</v>
      </c>
      <c r="AB97" s="19" t="str">
        <f>IFERROR(_xll.BDP(E97&amp;" Corp","BLOOMBERG_MID_G_SPREAD","YAS_BOND_PX="&amp;X97,"YAS_BNCHMRK_BOND_PX="&amp;Z97),"--")</f>
        <v>#N/A Requesting Data...</v>
      </c>
      <c r="AC97" s="19" t="str">
        <f>IFERROR(_xll.BDP(D97,"LAST_PRICE"),"--")</f>
        <v>#N/A Requesting Data...</v>
      </c>
      <c r="AD97" s="20"/>
      <c r="AE97" s="19" t="str">
        <f t="shared" si="4"/>
        <v>#N/A Requesting Data...</v>
      </c>
      <c r="AF97" s="19" t="str">
        <f t="shared" si="5"/>
        <v>--</v>
      </c>
      <c r="AG97" s="21" t="str">
        <f t="shared" si="6"/>
        <v>--</v>
      </c>
      <c r="AH97" s="19" t="str">
        <f t="shared" si="7"/>
        <v>--</v>
      </c>
    </row>
    <row r="98" spans="1:34" x14ac:dyDescent="0.45">
      <c r="A98" s="22" t="s">
        <v>413</v>
      </c>
      <c r="B98" s="23" t="s">
        <v>117</v>
      </c>
      <c r="C98" s="22" t="s">
        <v>414</v>
      </c>
      <c r="D98" s="23" t="s">
        <v>415</v>
      </c>
      <c r="E98" s="23" t="s">
        <v>416</v>
      </c>
      <c r="F98" s="24">
        <v>46070</v>
      </c>
      <c r="G98" s="24">
        <v>46226</v>
      </c>
      <c r="H98" s="24">
        <v>48568</v>
      </c>
      <c r="I98" s="25">
        <v>174.1903991699219</v>
      </c>
      <c r="J98" s="25">
        <v>150.7843017578125</v>
      </c>
      <c r="K98" s="25">
        <v>208.15199999999999</v>
      </c>
      <c r="L98" s="25">
        <v>210.49600000000001</v>
      </c>
      <c r="M98" s="26">
        <v>110</v>
      </c>
      <c r="N98" s="27">
        <v>-33.961600830078112</v>
      </c>
      <c r="O98" s="28">
        <v>-91.025696044921858</v>
      </c>
      <c r="P98" s="28">
        <v>-13.07249377441406</v>
      </c>
      <c r="Q98" s="28">
        <v>-40.532374548339853</v>
      </c>
      <c r="R98" s="29">
        <v>73.203016108079666</v>
      </c>
      <c r="S98" s="28">
        <v>-57.367698242187487</v>
      </c>
      <c r="T98" s="28">
        <v>-114.5104067382812</v>
      </c>
      <c r="U98" s="28">
        <v>-38.670500976562487</v>
      </c>
      <c r="V98" s="28">
        <v>-65.65037312233666</v>
      </c>
      <c r="W98" s="30">
        <v>75.346491958508395</v>
      </c>
      <c r="X98" s="16" t="str">
        <f>IFERROR(_xll.BDP(E98&amp;" Corp","LAST_PRICE"),"--")</f>
        <v>#N/A Requesting Data...</v>
      </c>
      <c r="Y98" s="17" t="str">
        <f>IFERROR(_xll.BDP(E98&amp;" Corp","YAS_BENCHMARK_BOND_ISIN"),"--")</f>
        <v>#N/A Requesting Data...</v>
      </c>
      <c r="Z98" s="18" t="str">
        <f>IFERROR(_xll.BDP(Y98&amp;" CORP","LAST_PRICE"),"--")</f>
        <v>#N/A Requesting Data... CORP</v>
      </c>
      <c r="AA98" s="19" t="str">
        <f>IFERROR(_xll.BDP(E98&amp;" Corp","YAS_YLD_SPREAD","YAS_BOND_PX="&amp;X98,"YAS_BNCHMRK_BOND_PX="&amp;Z98),"--")</f>
        <v>#N/A Requesting Data...</v>
      </c>
      <c r="AB98" s="19" t="str">
        <f>IFERROR(_xll.BDP(E98&amp;" Corp","BLOOMBERG_MID_G_SPREAD","YAS_BOND_PX="&amp;X98,"YAS_BNCHMRK_BOND_PX="&amp;Z98),"--")</f>
        <v>#N/A Requesting Data...</v>
      </c>
      <c r="AC98" s="19" t="str">
        <f>IFERROR(_xll.BDP(D98,"LAST_PRICE"),"--")</f>
        <v>#N/A Requesting Data...</v>
      </c>
      <c r="AD98" s="20"/>
      <c r="AE98" s="19" t="str">
        <f t="shared" si="4"/>
        <v>#N/A Requesting Data...</v>
      </c>
      <c r="AF98" s="19" t="str">
        <f t="shared" si="5"/>
        <v>--</v>
      </c>
      <c r="AG98" s="21" t="str">
        <f t="shared" si="6"/>
        <v>--</v>
      </c>
      <c r="AH98" s="19" t="str">
        <f t="shared" si="7"/>
        <v>--</v>
      </c>
    </row>
    <row r="99" spans="1:34" x14ac:dyDescent="0.45">
      <c r="A99" s="7" t="s">
        <v>417</v>
      </c>
      <c r="B99" s="8" t="s">
        <v>117</v>
      </c>
      <c r="C99" s="7" t="s">
        <v>418</v>
      </c>
      <c r="D99" s="8" t="s">
        <v>419</v>
      </c>
      <c r="E99" s="8" t="s">
        <v>420</v>
      </c>
      <c r="F99" s="9">
        <v>45659</v>
      </c>
      <c r="G99" s="9">
        <v>46226</v>
      </c>
      <c r="H99" s="9">
        <v>47654</v>
      </c>
      <c r="I99" s="10">
        <v>1799.191284179688</v>
      </c>
      <c r="J99" s="10">
        <v>1877.3359375</v>
      </c>
      <c r="K99" s="10">
        <v>1756.83</v>
      </c>
      <c r="L99" s="10">
        <v>1760.0319999999999</v>
      </c>
      <c r="M99" s="11">
        <v>390</v>
      </c>
      <c r="N99" s="12">
        <v>42.361284179687573</v>
      </c>
      <c r="O99" s="13">
        <v>-448.46742089843752</v>
      </c>
      <c r="P99" s="13">
        <v>1907.89045703125</v>
      </c>
      <c r="Q99" s="13">
        <v>155.85108952824521</v>
      </c>
      <c r="R99" s="14">
        <v>20.8299728014732</v>
      </c>
      <c r="S99" s="13">
        <v>120.5059375000001</v>
      </c>
      <c r="T99" s="13">
        <v>-180.11024609374999</v>
      </c>
      <c r="U99" s="13">
        <v>1837.35858984375</v>
      </c>
      <c r="V99" s="13">
        <v>224.5710459475545</v>
      </c>
      <c r="W99" s="15">
        <v>14.90066058215251</v>
      </c>
      <c r="X99" s="16" t="str">
        <f>IFERROR(_xll.BDP(E99&amp;" Corp","LAST_PRICE"),"--")</f>
        <v>#N/A Requesting Data...</v>
      </c>
      <c r="Y99" s="17" t="str">
        <f>IFERROR(_xll.BDP(E99&amp;" Corp","YAS_BENCHMARK_BOND_ISIN"),"--")</f>
        <v>#N/A Requesting Data...</v>
      </c>
      <c r="Z99" s="18" t="str">
        <f>IFERROR(_xll.BDP(Y99&amp;" CORP","LAST_PRICE"),"--")</f>
        <v>#N/A Requesting Data... CORP</v>
      </c>
      <c r="AA99" s="19" t="str">
        <f>IFERROR(_xll.BDP(E99&amp;" Corp","YAS_YLD_SPREAD","YAS_BOND_PX="&amp;X99,"YAS_BNCHMRK_BOND_PX="&amp;Z99),"--")</f>
        <v>#N/A Requesting Data...</v>
      </c>
      <c r="AB99" s="19" t="str">
        <f>IFERROR(_xll.BDP(E99&amp;" Corp","BLOOMBERG_MID_G_SPREAD","YAS_BOND_PX="&amp;X99,"YAS_BNCHMRK_BOND_PX="&amp;Z99),"--")</f>
        <v>#N/A Requesting Data...</v>
      </c>
      <c r="AC99" s="19" t="str">
        <f>IFERROR(_xll.BDP(D99,"LAST_PRICE"),"--")</f>
        <v>#N/A Requesting Data...</v>
      </c>
      <c r="AD99" s="20"/>
      <c r="AE99" s="19" t="str">
        <f t="shared" si="4"/>
        <v>#N/A Requesting Data...</v>
      </c>
      <c r="AF99" s="19" t="str">
        <f t="shared" si="5"/>
        <v>--</v>
      </c>
      <c r="AG99" s="21" t="str">
        <f t="shared" si="6"/>
        <v>--</v>
      </c>
      <c r="AH99" s="19" t="str">
        <f t="shared" si="7"/>
        <v>--</v>
      </c>
    </row>
    <row r="100" spans="1:34" x14ac:dyDescent="0.45">
      <c r="A100" s="22" t="s">
        <v>421</v>
      </c>
      <c r="B100" s="23" t="s">
        <v>117</v>
      </c>
      <c r="C100" s="22" t="s">
        <v>422</v>
      </c>
      <c r="D100" s="23" t="s">
        <v>423</v>
      </c>
      <c r="E100" s="23" t="s">
        <v>424</v>
      </c>
      <c r="F100" s="24">
        <v>45659</v>
      </c>
      <c r="G100" s="24">
        <v>46226</v>
      </c>
      <c r="H100" s="24">
        <v>47654</v>
      </c>
      <c r="I100" s="25">
        <v>294.90139770507813</v>
      </c>
      <c r="J100" s="25">
        <v>345.17498779296881</v>
      </c>
      <c r="K100" s="25">
        <v>304.209</v>
      </c>
      <c r="L100" s="25">
        <v>300.91699999999997</v>
      </c>
      <c r="M100" s="26">
        <v>390</v>
      </c>
      <c r="N100" s="27">
        <v>-9.3076022949218782</v>
      </c>
      <c r="O100" s="28">
        <v>-126.28700000000001</v>
      </c>
      <c r="P100" s="28">
        <v>119.1637951660156</v>
      </c>
      <c r="Q100" s="28">
        <v>-10.606179753230171</v>
      </c>
      <c r="R100" s="29">
        <v>47.659001318759927</v>
      </c>
      <c r="S100" s="28">
        <v>40.965987792968747</v>
      </c>
      <c r="T100" s="28">
        <v>-96.069409667968785</v>
      </c>
      <c r="U100" s="28">
        <v>192.97199218750001</v>
      </c>
      <c r="V100" s="28">
        <v>24.970109270188988</v>
      </c>
      <c r="W100" s="30">
        <v>47.4103005940513</v>
      </c>
      <c r="X100" s="16" t="str">
        <f>IFERROR(_xll.BDP(E100&amp;" Corp","LAST_PRICE"),"--")</f>
        <v>#N/A Requesting Data...</v>
      </c>
      <c r="Y100" s="17" t="str">
        <f>IFERROR(_xll.BDP(E100&amp;" Corp","YAS_BENCHMARK_BOND_ISIN"),"--")</f>
        <v>#N/A Requesting Data...</v>
      </c>
      <c r="Z100" s="18" t="str">
        <f>IFERROR(_xll.BDP(Y100&amp;" CORP","LAST_PRICE"),"--")</f>
        <v>#N/A Requesting Data... CORP</v>
      </c>
      <c r="AA100" s="19" t="str">
        <f>IFERROR(_xll.BDP(E100&amp;" Corp","YAS_YLD_SPREAD","YAS_BOND_PX="&amp;X100,"YAS_BNCHMRK_BOND_PX="&amp;Z100),"--")</f>
        <v>#N/A Requesting Data...</v>
      </c>
      <c r="AB100" s="19" t="str">
        <f>IFERROR(_xll.BDP(E100&amp;" Corp","BLOOMBERG_MID_G_SPREAD","YAS_BOND_PX="&amp;X100,"YAS_BNCHMRK_BOND_PX="&amp;Z100),"--")</f>
        <v>#N/A Requesting Data...</v>
      </c>
      <c r="AC100" s="19" t="str">
        <f>IFERROR(_xll.BDP(D100,"LAST_PRICE"),"--")</f>
        <v>#N/A Requesting Data...</v>
      </c>
      <c r="AD100" s="20"/>
      <c r="AE100" s="19" t="str">
        <f t="shared" si="4"/>
        <v>#N/A Requesting Data...</v>
      </c>
      <c r="AF100" s="19" t="str">
        <f t="shared" si="5"/>
        <v>--</v>
      </c>
      <c r="AG100" s="21" t="str">
        <f t="shared" si="6"/>
        <v>--</v>
      </c>
      <c r="AH100" s="19" t="str">
        <f t="shared" si="7"/>
        <v>--</v>
      </c>
    </row>
    <row r="101" spans="1:34" x14ac:dyDescent="0.45">
      <c r="A101" s="7" t="s">
        <v>425</v>
      </c>
      <c r="B101" s="8" t="s">
        <v>117</v>
      </c>
      <c r="C101" s="7" t="s">
        <v>426</v>
      </c>
      <c r="D101" s="8" t="s">
        <v>427</v>
      </c>
      <c r="E101" s="8" t="s">
        <v>428</v>
      </c>
      <c r="F101" s="9">
        <v>45659</v>
      </c>
      <c r="G101" s="9">
        <v>46226</v>
      </c>
      <c r="H101" s="9">
        <v>48019</v>
      </c>
      <c r="I101" s="10">
        <v>141.8605041503906</v>
      </c>
      <c r="J101" s="10">
        <v>141.8605041503906</v>
      </c>
      <c r="K101" s="10">
        <v>154.01400000000001</v>
      </c>
      <c r="L101" s="10">
        <v>160.24799999999999</v>
      </c>
      <c r="M101" s="11">
        <v>390</v>
      </c>
      <c r="N101" s="12">
        <v>-12.15349584960939</v>
      </c>
      <c r="O101" s="13">
        <v>-206.4378973388672</v>
      </c>
      <c r="P101" s="13">
        <v>-9.9866994628906127</v>
      </c>
      <c r="Q101" s="13">
        <v>-102.2046452692276</v>
      </c>
      <c r="R101" s="14">
        <v>98.897030707806266</v>
      </c>
      <c r="S101" s="13">
        <v>-12.15349584960939</v>
      </c>
      <c r="T101" s="13">
        <v>-206.4378973388672</v>
      </c>
      <c r="U101" s="13">
        <v>-9.9866994628906127</v>
      </c>
      <c r="V101" s="13">
        <v>-102.2046452692276</v>
      </c>
      <c r="W101" s="15">
        <v>98.897030707806266</v>
      </c>
      <c r="X101" s="16" t="str">
        <f>IFERROR(_xll.BDP(E101&amp;" Corp","LAST_PRICE"),"--")</f>
        <v>#N/A Requesting Data...</v>
      </c>
      <c r="Y101" s="17" t="str">
        <f>IFERROR(_xll.BDP(E101&amp;" Corp","YAS_BENCHMARK_BOND_ISIN"),"--")</f>
        <v>#N/A Requesting Data...</v>
      </c>
      <c r="Z101" s="18" t="str">
        <f>IFERROR(_xll.BDP(Y101&amp;" CORP","LAST_PRICE"),"--")</f>
        <v>#N/A Requesting Data... CORP</v>
      </c>
      <c r="AA101" s="19" t="str">
        <f>IFERROR(_xll.BDP(E101&amp;" Corp","YAS_YLD_SPREAD","YAS_BOND_PX="&amp;X101,"YAS_BNCHMRK_BOND_PX="&amp;Z101),"--")</f>
        <v>#N/A Requesting Data...</v>
      </c>
      <c r="AB101" s="19" t="str">
        <f>IFERROR(_xll.BDP(E101&amp;" Corp","BLOOMBERG_MID_G_SPREAD","YAS_BOND_PX="&amp;X101,"YAS_BNCHMRK_BOND_PX="&amp;Z101),"--")</f>
        <v>#N/A Requesting Data...</v>
      </c>
      <c r="AC101" s="19" t="str">
        <f>IFERROR(_xll.BDP(D101,"LAST_PRICE"),"--")</f>
        <v>#N/A Requesting Data...</v>
      </c>
      <c r="AD101" s="20"/>
      <c r="AE101" s="19" t="str">
        <f t="shared" si="4"/>
        <v>#N/A Requesting Data...</v>
      </c>
      <c r="AF101" s="19" t="str">
        <f t="shared" si="5"/>
        <v>--</v>
      </c>
      <c r="AG101" s="21" t="str">
        <f t="shared" si="6"/>
        <v>--</v>
      </c>
      <c r="AH101" s="19" t="str">
        <f t="shared" si="7"/>
        <v>--</v>
      </c>
    </row>
    <row r="102" spans="1:34" x14ac:dyDescent="0.45">
      <c r="A102" s="22" t="s">
        <v>429</v>
      </c>
      <c r="B102" s="23" t="s">
        <v>117</v>
      </c>
      <c r="C102" s="22" t="s">
        <v>430</v>
      </c>
      <c r="D102" s="23" t="s">
        <v>431</v>
      </c>
      <c r="E102" s="23" t="s">
        <v>432</v>
      </c>
      <c r="F102" s="24">
        <v>45791</v>
      </c>
      <c r="G102" s="24">
        <v>46226</v>
      </c>
      <c r="H102" s="24">
        <v>48750</v>
      </c>
      <c r="I102" s="25">
        <v>127.3022003173828</v>
      </c>
      <c r="J102" s="25">
        <v>100.3392028808594</v>
      </c>
      <c r="K102" s="25">
        <v>181.94399999999999</v>
      </c>
      <c r="L102" s="25">
        <v>170.59299999999999</v>
      </c>
      <c r="M102" s="26">
        <v>291</v>
      </c>
      <c r="N102" s="27">
        <v>-54.641799682617183</v>
      </c>
      <c r="O102" s="28">
        <v>-125.93729681396481</v>
      </c>
      <c r="P102" s="28">
        <v>-42.743703491210937</v>
      </c>
      <c r="Q102" s="28">
        <v>-85.527764136455303</v>
      </c>
      <c r="R102" s="29">
        <v>85.698302337720946</v>
      </c>
      <c r="S102" s="28">
        <v>-81.604797119140613</v>
      </c>
      <c r="T102" s="28">
        <v>-142.4498013916016</v>
      </c>
      <c r="U102" s="28">
        <v>-66.678395874023437</v>
      </c>
      <c r="V102" s="28">
        <v>-107.2496426223087</v>
      </c>
      <c r="W102" s="30">
        <v>80.30074651095866</v>
      </c>
      <c r="X102" s="16" t="str">
        <f>IFERROR(_xll.BDP(E102&amp;" Corp","LAST_PRICE"),"--")</f>
        <v>#N/A Requesting Data...</v>
      </c>
      <c r="Y102" s="17" t="str">
        <f>IFERROR(_xll.BDP(E102&amp;" Corp","YAS_BENCHMARK_BOND_ISIN"),"--")</f>
        <v>#N/A Requesting Data...</v>
      </c>
      <c r="Z102" s="18" t="str">
        <f>IFERROR(_xll.BDP(Y102&amp;" CORP","LAST_PRICE"),"--")</f>
        <v>#N/A Requesting Data... CORP</v>
      </c>
      <c r="AA102" s="19" t="str">
        <f>IFERROR(_xll.BDP(E102&amp;" Corp","YAS_YLD_SPREAD","YAS_BOND_PX="&amp;X102,"YAS_BNCHMRK_BOND_PX="&amp;Z102),"--")</f>
        <v>#N/A Requesting Data...</v>
      </c>
      <c r="AB102" s="19" t="str">
        <f>IFERROR(_xll.BDP(E102&amp;" Corp","BLOOMBERG_MID_G_SPREAD","YAS_BOND_PX="&amp;X102,"YAS_BNCHMRK_BOND_PX="&amp;Z102),"--")</f>
        <v>#N/A Requesting Data...</v>
      </c>
      <c r="AC102" s="19" t="str">
        <f>IFERROR(_xll.BDP(D102,"LAST_PRICE"),"--")</f>
        <v>#N/A Requesting Data...</v>
      </c>
      <c r="AD102" s="20"/>
      <c r="AE102" s="19" t="str">
        <f t="shared" si="4"/>
        <v>#N/A Requesting Data...</v>
      </c>
      <c r="AF102" s="19" t="str">
        <f t="shared" si="5"/>
        <v>--</v>
      </c>
      <c r="AG102" s="21" t="str">
        <f t="shared" si="6"/>
        <v>--</v>
      </c>
      <c r="AH102" s="19" t="str">
        <f t="shared" si="7"/>
        <v>--</v>
      </c>
    </row>
    <row r="103" spans="1:34" x14ac:dyDescent="0.45">
      <c r="A103" s="7" t="s">
        <v>433</v>
      </c>
      <c r="B103" s="8" t="s">
        <v>117</v>
      </c>
      <c r="C103" s="7" t="s">
        <v>434</v>
      </c>
      <c r="D103" s="8" t="s">
        <v>435</v>
      </c>
      <c r="E103" s="8" t="s">
        <v>436</v>
      </c>
      <c r="F103" s="9">
        <v>45797</v>
      </c>
      <c r="G103" s="9">
        <v>46226</v>
      </c>
      <c r="H103" s="9">
        <v>48568</v>
      </c>
      <c r="I103" s="10">
        <v>88.805099487304688</v>
      </c>
      <c r="J103" s="10">
        <v>70.999702453613281</v>
      </c>
      <c r="K103" s="10">
        <v>97.938000000000002</v>
      </c>
      <c r="L103" s="10">
        <v>109.664</v>
      </c>
      <c r="M103" s="11">
        <v>295</v>
      </c>
      <c r="N103" s="12">
        <v>-9.1329005126953149</v>
      </c>
      <c r="O103" s="13">
        <v>-51.00690270996094</v>
      </c>
      <c r="P103" s="13">
        <v>0.89930017089844227</v>
      </c>
      <c r="Q103" s="13">
        <v>-24.58546520582296</v>
      </c>
      <c r="R103" s="14">
        <v>80.67244351003535</v>
      </c>
      <c r="S103" s="13">
        <v>-26.938297546386721</v>
      </c>
      <c r="T103" s="13">
        <v>-62.195203796386721</v>
      </c>
      <c r="U103" s="13">
        <v>-17.69149725341796</v>
      </c>
      <c r="V103" s="13">
        <v>-39.560972263142219</v>
      </c>
      <c r="W103" s="15">
        <v>79.22240412932598</v>
      </c>
      <c r="X103" s="16" t="str">
        <f>IFERROR(_xll.BDP(E103&amp;" Corp","LAST_PRICE"),"--")</f>
        <v>#N/A Requesting Data...</v>
      </c>
      <c r="Y103" s="17" t="str">
        <f>IFERROR(_xll.BDP(E103&amp;" Corp","YAS_BENCHMARK_BOND_ISIN"),"--")</f>
        <v>#N/A Requesting Data...</v>
      </c>
      <c r="Z103" s="18" t="str">
        <f>IFERROR(_xll.BDP(Y103&amp;" CORP","LAST_PRICE"),"--")</f>
        <v>#N/A Requesting Data... CORP</v>
      </c>
      <c r="AA103" s="19" t="str">
        <f>IFERROR(_xll.BDP(E103&amp;" Corp","YAS_YLD_SPREAD","YAS_BOND_PX="&amp;X103,"YAS_BNCHMRK_BOND_PX="&amp;Z103),"--")</f>
        <v>#N/A Requesting Data...</v>
      </c>
      <c r="AB103" s="19" t="str">
        <f>IFERROR(_xll.BDP(E103&amp;" Corp","BLOOMBERG_MID_G_SPREAD","YAS_BOND_PX="&amp;X103,"YAS_BNCHMRK_BOND_PX="&amp;Z103),"--")</f>
        <v>#N/A Requesting Data...</v>
      </c>
      <c r="AC103" s="19" t="str">
        <f>IFERROR(_xll.BDP(D103,"LAST_PRICE"),"--")</f>
        <v>#N/A Requesting Data...</v>
      </c>
      <c r="AD103" s="20"/>
      <c r="AE103" s="19" t="str">
        <f t="shared" si="4"/>
        <v>#N/A Requesting Data...</v>
      </c>
      <c r="AF103" s="19" t="str">
        <f t="shared" si="5"/>
        <v>--</v>
      </c>
      <c r="AG103" s="21" t="str">
        <f t="shared" si="6"/>
        <v>--</v>
      </c>
      <c r="AH103" s="19" t="str">
        <f t="shared" si="7"/>
        <v>--</v>
      </c>
    </row>
    <row r="104" spans="1:34" x14ac:dyDescent="0.45">
      <c r="A104" s="22" t="s">
        <v>437</v>
      </c>
      <c r="B104" s="23" t="s">
        <v>117</v>
      </c>
      <c r="C104" s="22" t="s">
        <v>438</v>
      </c>
      <c r="D104" s="23" t="s">
        <v>439</v>
      </c>
      <c r="E104" s="23" t="s">
        <v>440</v>
      </c>
      <c r="F104" s="24">
        <v>45965</v>
      </c>
      <c r="G104" s="24">
        <v>46226</v>
      </c>
      <c r="H104" s="24">
        <v>48933</v>
      </c>
      <c r="I104" s="25">
        <v>154.1094055175781</v>
      </c>
      <c r="J104" s="25">
        <v>107.9598007202148</v>
      </c>
      <c r="K104" s="25">
        <v>155.34899999999999</v>
      </c>
      <c r="L104" s="25">
        <v>131.70400000000001</v>
      </c>
      <c r="M104" s="26">
        <v>179</v>
      </c>
      <c r="N104" s="27">
        <v>-1.239594482421865</v>
      </c>
      <c r="O104" s="28">
        <v>-60.595805053710933</v>
      </c>
      <c r="P104" s="28">
        <v>18.256801879882801</v>
      </c>
      <c r="Q104" s="28">
        <v>-10.452285001786731</v>
      </c>
      <c r="R104" s="29">
        <v>75.274886753302027</v>
      </c>
      <c r="S104" s="28">
        <v>-47.389199279785153</v>
      </c>
      <c r="T104" s="28">
        <v>-97.728999023437495</v>
      </c>
      <c r="U104" s="28">
        <v>-28.795999084472669</v>
      </c>
      <c r="V104" s="28">
        <v>-50.166356392801809</v>
      </c>
      <c r="W104" s="30">
        <v>73.027141990374119</v>
      </c>
      <c r="X104" s="16" t="str">
        <f>IFERROR(_xll.BDP(E104&amp;" Corp","LAST_PRICE"),"--")</f>
        <v>#N/A Requesting Data...</v>
      </c>
      <c r="Y104" s="17" t="str">
        <f>IFERROR(_xll.BDP(E104&amp;" Corp","YAS_BENCHMARK_BOND_ISIN"),"--")</f>
        <v>#N/A Requesting Data...</v>
      </c>
      <c r="Z104" s="18" t="str">
        <f>IFERROR(_xll.BDP(Y104&amp;" CORP","LAST_PRICE"),"--")</f>
        <v>#N/A Requesting Data... CORP</v>
      </c>
      <c r="AA104" s="19" t="str">
        <f>IFERROR(_xll.BDP(E104&amp;" Corp","YAS_YLD_SPREAD","YAS_BOND_PX="&amp;X104,"YAS_BNCHMRK_BOND_PX="&amp;Z104),"--")</f>
        <v>#N/A Requesting Data...</v>
      </c>
      <c r="AB104" s="19" t="str">
        <f>IFERROR(_xll.BDP(E104&amp;" Corp","BLOOMBERG_MID_G_SPREAD","YAS_BOND_PX="&amp;X104,"YAS_BNCHMRK_BOND_PX="&amp;Z104),"--")</f>
        <v>#N/A Requesting Data...</v>
      </c>
      <c r="AC104" s="19" t="str">
        <f>IFERROR(_xll.BDP(D104,"LAST_PRICE"),"--")</f>
        <v>#N/A Requesting Data...</v>
      </c>
      <c r="AD104" s="20"/>
      <c r="AE104" s="19" t="str">
        <f t="shared" si="4"/>
        <v>#N/A Requesting Data...</v>
      </c>
      <c r="AF104" s="19" t="str">
        <f t="shared" si="5"/>
        <v>--</v>
      </c>
      <c r="AG104" s="21" t="str">
        <f t="shared" si="6"/>
        <v>--</v>
      </c>
      <c r="AH104" s="19" t="str">
        <f t="shared" si="7"/>
        <v>--</v>
      </c>
    </row>
    <row r="105" spans="1:34" x14ac:dyDescent="0.45">
      <c r="A105" s="7" t="s">
        <v>441</v>
      </c>
      <c r="B105" s="8" t="s">
        <v>117</v>
      </c>
      <c r="C105" s="7" t="s">
        <v>442</v>
      </c>
      <c r="D105" s="8" t="s">
        <v>443</v>
      </c>
      <c r="E105" s="8" t="s">
        <v>444</v>
      </c>
      <c r="F105" s="9">
        <v>45659</v>
      </c>
      <c r="G105" s="9">
        <v>46226</v>
      </c>
      <c r="H105" s="9">
        <v>47472</v>
      </c>
      <c r="I105" s="10">
        <v>382.36221313476563</v>
      </c>
      <c r="J105" s="10">
        <v>506.69070434570313</v>
      </c>
      <c r="K105" s="10">
        <v>538.79999999999995</v>
      </c>
      <c r="L105" s="10">
        <v>545.66099999999994</v>
      </c>
      <c r="M105" s="11">
        <v>390</v>
      </c>
      <c r="N105" s="12">
        <v>-156.4377868652343</v>
      </c>
      <c r="O105" s="13">
        <v>-255.72129687500001</v>
      </c>
      <c r="P105" s="13">
        <v>-37.603814941406263</v>
      </c>
      <c r="Q105" s="13">
        <v>-145.16195289807439</v>
      </c>
      <c r="R105" s="14">
        <v>45.518364291401788</v>
      </c>
      <c r="S105" s="13">
        <v>-32.10929565429683</v>
      </c>
      <c r="T105" s="13">
        <v>-192.86588500976561</v>
      </c>
      <c r="U105" s="13">
        <v>71.172814941406273</v>
      </c>
      <c r="V105" s="13">
        <v>-61.277851304274343</v>
      </c>
      <c r="W105" s="15">
        <v>60.883722494163607</v>
      </c>
      <c r="X105" s="16" t="str">
        <f>IFERROR(_xll.BDP(E105&amp;" Corp","LAST_PRICE"),"--")</f>
        <v>#N/A Requesting Data...</v>
      </c>
      <c r="Y105" s="17" t="str">
        <f>IFERROR(_xll.BDP(E105&amp;" Corp","YAS_BENCHMARK_BOND_ISIN"),"--")</f>
        <v>#N/A Requesting Data...</v>
      </c>
      <c r="Z105" s="18" t="str">
        <f>IFERROR(_xll.BDP(Y105&amp;" CORP","LAST_PRICE"),"--")</f>
        <v>#N/A Requesting Data... CORP</v>
      </c>
      <c r="AA105" s="19" t="str">
        <f>IFERROR(_xll.BDP(E105&amp;" Corp","YAS_YLD_SPREAD","YAS_BOND_PX="&amp;X105,"YAS_BNCHMRK_BOND_PX="&amp;Z105),"--")</f>
        <v>#N/A Requesting Data...</v>
      </c>
      <c r="AB105" s="19" t="str">
        <f>IFERROR(_xll.BDP(E105&amp;" Corp","BLOOMBERG_MID_G_SPREAD","YAS_BOND_PX="&amp;X105,"YAS_BNCHMRK_BOND_PX="&amp;Z105),"--")</f>
        <v>#N/A Requesting Data...</v>
      </c>
      <c r="AC105" s="19" t="str">
        <f>IFERROR(_xll.BDP(D105,"LAST_PRICE"),"--")</f>
        <v>#N/A Requesting Data...</v>
      </c>
      <c r="AD105" s="20"/>
      <c r="AE105" s="19" t="str">
        <f t="shared" si="4"/>
        <v>#N/A Requesting Data...</v>
      </c>
      <c r="AF105" s="19" t="str">
        <f t="shared" si="5"/>
        <v>--</v>
      </c>
      <c r="AG105" s="21" t="str">
        <f t="shared" si="6"/>
        <v>--</v>
      </c>
      <c r="AH105" s="19" t="str">
        <f t="shared" si="7"/>
        <v>--</v>
      </c>
    </row>
    <row r="106" spans="1:34" x14ac:dyDescent="0.45">
      <c r="A106" s="22" t="s">
        <v>445</v>
      </c>
      <c r="B106" s="23" t="s">
        <v>117</v>
      </c>
      <c r="C106" s="22" t="s">
        <v>446</v>
      </c>
      <c r="D106" s="23" t="s">
        <v>447</v>
      </c>
      <c r="E106" s="23" t="s">
        <v>448</v>
      </c>
      <c r="F106" s="24">
        <v>46050</v>
      </c>
      <c r="G106" s="24">
        <v>46226</v>
      </c>
      <c r="H106" s="24">
        <v>48019</v>
      </c>
      <c r="I106" s="25">
        <v>165.4790954589844</v>
      </c>
      <c r="J106" s="25">
        <v>165.4790954589844</v>
      </c>
      <c r="K106" s="25">
        <v>137.46299999999999</v>
      </c>
      <c r="L106" s="25">
        <v>137.44200000000001</v>
      </c>
      <c r="M106" s="26">
        <v>123</v>
      </c>
      <c r="N106" s="27">
        <v>28.016095458984381</v>
      </c>
      <c r="O106" s="28">
        <v>1.999196166992192</v>
      </c>
      <c r="P106" s="28">
        <v>64.784495727539053</v>
      </c>
      <c r="Q106" s="28">
        <v>29.110711807871251</v>
      </c>
      <c r="R106" s="29">
        <v>41.437883507910719</v>
      </c>
      <c r="S106" s="28">
        <v>28.016095458984381</v>
      </c>
      <c r="T106" s="28">
        <v>1.999196166992192</v>
      </c>
      <c r="U106" s="28">
        <v>64.784495727539053</v>
      </c>
      <c r="V106" s="28">
        <v>29.110711807871251</v>
      </c>
      <c r="W106" s="30">
        <v>41.437883507910719</v>
      </c>
      <c r="X106" s="16" t="str">
        <f>IFERROR(_xll.BDP(E106&amp;" Corp","LAST_PRICE"),"--")</f>
        <v>#N/A Requesting Data...</v>
      </c>
      <c r="Y106" s="17" t="str">
        <f>IFERROR(_xll.BDP(E106&amp;" Corp","YAS_BENCHMARK_BOND_ISIN"),"--")</f>
        <v>#N/A Requesting Data...</v>
      </c>
      <c r="Z106" s="18" t="str">
        <f>IFERROR(_xll.BDP(Y106&amp;" CORP","LAST_PRICE"),"--")</f>
        <v>#N/A Requesting Data... CORP</v>
      </c>
      <c r="AA106" s="19" t="str">
        <f>IFERROR(_xll.BDP(E106&amp;" Corp","YAS_YLD_SPREAD","YAS_BOND_PX="&amp;X106,"YAS_BNCHMRK_BOND_PX="&amp;Z106),"--")</f>
        <v>#N/A Requesting Data...</v>
      </c>
      <c r="AB106" s="19" t="str">
        <f>IFERROR(_xll.BDP(E106&amp;" Corp","BLOOMBERG_MID_G_SPREAD","YAS_BOND_PX="&amp;X106,"YAS_BNCHMRK_BOND_PX="&amp;Z106),"--")</f>
        <v>#N/A Requesting Data...</v>
      </c>
      <c r="AC106" s="19" t="str">
        <f>IFERROR(_xll.BDP(D106,"LAST_PRICE"),"--")</f>
        <v>#N/A Requesting Data...</v>
      </c>
      <c r="AD106" s="20"/>
      <c r="AE106" s="19" t="str">
        <f t="shared" si="4"/>
        <v>#N/A Requesting Data...</v>
      </c>
      <c r="AF106" s="19" t="str">
        <f t="shared" si="5"/>
        <v>--</v>
      </c>
      <c r="AG106" s="21" t="str">
        <f t="shared" si="6"/>
        <v>--</v>
      </c>
      <c r="AH106" s="19" t="str">
        <f t="shared" si="7"/>
        <v>--</v>
      </c>
    </row>
    <row r="107" spans="1:34" x14ac:dyDescent="0.45">
      <c r="A107" s="7" t="s">
        <v>449</v>
      </c>
      <c r="B107" s="8" t="s">
        <v>117</v>
      </c>
      <c r="C107" s="7" t="s">
        <v>450</v>
      </c>
      <c r="D107" s="8" t="s">
        <v>451</v>
      </c>
      <c r="E107" s="8" t="s">
        <v>452</v>
      </c>
      <c r="F107" s="9">
        <v>45659</v>
      </c>
      <c r="G107" s="9">
        <v>46226</v>
      </c>
      <c r="H107" s="9">
        <v>47107</v>
      </c>
      <c r="I107" s="10">
        <v>4418.02197265625</v>
      </c>
      <c r="J107" s="10">
        <v>19245.048828125</v>
      </c>
      <c r="K107" s="10">
        <v>2147.3739999999998</v>
      </c>
      <c r="L107" s="10">
        <v>2187.1219999999998</v>
      </c>
      <c r="M107" s="11">
        <v>390</v>
      </c>
      <c r="N107" s="12">
        <v>2270.6479726562502</v>
      </c>
      <c r="O107" s="13">
        <v>-251.35320166015629</v>
      </c>
      <c r="P107" s="13">
        <v>2734.6856874999999</v>
      </c>
      <c r="Q107" s="13">
        <v>233.33281830178291</v>
      </c>
      <c r="R107" s="14">
        <v>84.459756484475548</v>
      </c>
      <c r="S107" s="13">
        <v>17097.674828125</v>
      </c>
      <c r="T107" s="13">
        <v>-190.47160986328129</v>
      </c>
      <c r="U107" s="13">
        <v>17097.674828125</v>
      </c>
      <c r="V107" s="13">
        <v>568.78181935972566</v>
      </c>
      <c r="W107" s="15">
        <v>100</v>
      </c>
      <c r="X107" s="16" t="str">
        <f>IFERROR(_xll.BDP(E107&amp;" Corp","LAST_PRICE"),"--")</f>
        <v>#N/A Requesting Data...</v>
      </c>
      <c r="Y107" s="17" t="str">
        <f>IFERROR(_xll.BDP(E107&amp;" Corp","YAS_BENCHMARK_BOND_ISIN"),"--")</f>
        <v>#N/A Requesting Data...</v>
      </c>
      <c r="Z107" s="18" t="str">
        <f>IFERROR(_xll.BDP(Y107&amp;" CORP","LAST_PRICE"),"--")</f>
        <v>#N/A Requesting Data... CORP</v>
      </c>
      <c r="AA107" s="19" t="str">
        <f>IFERROR(_xll.BDP(E107&amp;" Corp","YAS_YLD_SPREAD","YAS_BOND_PX="&amp;X107,"YAS_BNCHMRK_BOND_PX="&amp;Z107),"--")</f>
        <v>#N/A Requesting Data...</v>
      </c>
      <c r="AB107" s="19" t="str">
        <f>IFERROR(_xll.BDP(E107&amp;" Corp","BLOOMBERG_MID_G_SPREAD","YAS_BOND_PX="&amp;X107,"YAS_BNCHMRK_BOND_PX="&amp;Z107),"--")</f>
        <v>#N/A Requesting Data...</v>
      </c>
      <c r="AC107" s="19" t="str">
        <f>IFERROR(_xll.BDP(D107,"LAST_PRICE"),"--")</f>
        <v>#N/A Requesting Data...</v>
      </c>
      <c r="AD107" s="20"/>
      <c r="AE107" s="19" t="str">
        <f t="shared" si="4"/>
        <v>#N/A Requesting Data...</v>
      </c>
      <c r="AF107" s="19" t="str">
        <f t="shared" si="5"/>
        <v>--</v>
      </c>
      <c r="AG107" s="21" t="str">
        <f t="shared" si="6"/>
        <v>--</v>
      </c>
      <c r="AH107" s="19" t="str">
        <f t="shared" si="7"/>
        <v>--</v>
      </c>
    </row>
    <row r="108" spans="1:34" x14ac:dyDescent="0.45">
      <c r="A108" s="22" t="s">
        <v>453</v>
      </c>
      <c r="B108" s="23" t="s">
        <v>117</v>
      </c>
      <c r="C108" s="22" t="s">
        <v>454</v>
      </c>
      <c r="D108" s="23" t="s">
        <v>455</v>
      </c>
      <c r="E108" s="23" t="s">
        <v>456</v>
      </c>
      <c r="F108" s="24">
        <v>45659</v>
      </c>
      <c r="G108" s="24">
        <v>46226</v>
      </c>
      <c r="H108" s="24">
        <v>49298</v>
      </c>
      <c r="I108" s="25">
        <v>107.85870361328119</v>
      </c>
      <c r="J108" s="25">
        <v>73.719596862792969</v>
      </c>
      <c r="K108" s="25">
        <v>133.76900000000001</v>
      </c>
      <c r="L108" s="25">
        <v>126.946</v>
      </c>
      <c r="M108" s="26">
        <v>389</v>
      </c>
      <c r="N108" s="27">
        <v>-25.910296386718759</v>
      </c>
      <c r="O108" s="28">
        <v>-68.955302612304678</v>
      </c>
      <c r="P108" s="28">
        <v>-14.899096923828131</v>
      </c>
      <c r="Q108" s="28">
        <v>-38.172938418822312</v>
      </c>
      <c r="R108" s="29">
        <v>79.630091822671261</v>
      </c>
      <c r="S108" s="28">
        <v>-60.049403137207037</v>
      </c>
      <c r="T108" s="28">
        <v>-88.358203308105459</v>
      </c>
      <c r="U108" s="28">
        <v>-50.033600646972637</v>
      </c>
      <c r="V108" s="28">
        <v>-63.0874733725109</v>
      </c>
      <c r="W108" s="30">
        <v>73.865867367773149</v>
      </c>
      <c r="X108" s="16" t="str">
        <f>IFERROR(_xll.BDP(E108&amp;" Corp","LAST_PRICE"),"--")</f>
        <v>#N/A Requesting Data...</v>
      </c>
      <c r="Y108" s="17" t="str">
        <f>IFERROR(_xll.BDP(E108&amp;" Corp","YAS_BENCHMARK_BOND_ISIN"),"--")</f>
        <v>#N/A Requesting Data...</v>
      </c>
      <c r="Z108" s="18" t="str">
        <f>IFERROR(_xll.BDP(Y108&amp;" CORP","LAST_PRICE"),"--")</f>
        <v>#N/A Requesting Data... CORP</v>
      </c>
      <c r="AA108" s="19" t="str">
        <f>IFERROR(_xll.BDP(E108&amp;" Corp","YAS_YLD_SPREAD","YAS_BOND_PX="&amp;X108,"YAS_BNCHMRK_BOND_PX="&amp;Z108),"--")</f>
        <v>#N/A Requesting Data...</v>
      </c>
      <c r="AB108" s="19" t="str">
        <f>IFERROR(_xll.BDP(E108&amp;" Corp","BLOOMBERG_MID_G_SPREAD","YAS_BOND_PX="&amp;X108,"YAS_BNCHMRK_BOND_PX="&amp;Z108),"--")</f>
        <v>#N/A Requesting Data...</v>
      </c>
      <c r="AC108" s="19" t="str">
        <f>IFERROR(_xll.BDP(D108,"LAST_PRICE"),"--")</f>
        <v>#N/A Requesting Data...</v>
      </c>
      <c r="AD108" s="20"/>
      <c r="AE108" s="19" t="str">
        <f t="shared" si="4"/>
        <v>#N/A Requesting Data...</v>
      </c>
      <c r="AF108" s="19" t="str">
        <f t="shared" si="5"/>
        <v>--</v>
      </c>
      <c r="AG108" s="21" t="str">
        <f t="shared" si="6"/>
        <v>--</v>
      </c>
      <c r="AH108" s="19" t="str">
        <f t="shared" si="7"/>
        <v>--</v>
      </c>
    </row>
    <row r="109" spans="1:34" x14ac:dyDescent="0.45">
      <c r="A109" s="7" t="s">
        <v>457</v>
      </c>
      <c r="B109" s="8" t="s">
        <v>117</v>
      </c>
      <c r="C109" s="7" t="s">
        <v>458</v>
      </c>
      <c r="D109" s="8" t="s">
        <v>459</v>
      </c>
      <c r="E109" s="8" t="s">
        <v>460</v>
      </c>
      <c r="F109" s="9">
        <v>45824</v>
      </c>
      <c r="G109" s="9">
        <v>46226</v>
      </c>
      <c r="H109" s="9">
        <v>48019</v>
      </c>
      <c r="I109" s="10">
        <v>663.281982421875</v>
      </c>
      <c r="J109" s="10">
        <v>663.281982421875</v>
      </c>
      <c r="K109" s="10">
        <v>802.69</v>
      </c>
      <c r="L109" s="10">
        <v>810.24</v>
      </c>
      <c r="M109" s="11">
        <v>277</v>
      </c>
      <c r="N109" s="12">
        <v>-139.40801757812511</v>
      </c>
      <c r="O109" s="13">
        <v>-271.02419384765631</v>
      </c>
      <c r="P109" s="13">
        <v>163.85551147460939</v>
      </c>
      <c r="Q109" s="13">
        <v>-127.43967101566029</v>
      </c>
      <c r="R109" s="14">
        <v>30.264961702914519</v>
      </c>
      <c r="S109" s="13">
        <v>-139.40801757812511</v>
      </c>
      <c r="T109" s="13">
        <v>-271.02419384765631</v>
      </c>
      <c r="U109" s="13">
        <v>163.85551147460939</v>
      </c>
      <c r="V109" s="13">
        <v>-127.43967101566029</v>
      </c>
      <c r="W109" s="15">
        <v>30.264961702914519</v>
      </c>
      <c r="X109" s="16" t="str">
        <f>IFERROR(_xll.BDP(E109&amp;" Corp","LAST_PRICE"),"--")</f>
        <v>#N/A Requesting Data...</v>
      </c>
      <c r="Y109" s="17" t="str">
        <f>IFERROR(_xll.BDP(E109&amp;" Corp","YAS_BENCHMARK_BOND_ISIN"),"--")</f>
        <v>#N/A Requesting Data...</v>
      </c>
      <c r="Z109" s="18" t="str">
        <f>IFERROR(_xll.BDP(Y109&amp;" CORP","LAST_PRICE"),"--")</f>
        <v>#N/A Requesting Data... CORP</v>
      </c>
      <c r="AA109" s="19" t="str">
        <f>IFERROR(_xll.BDP(E109&amp;" Corp","YAS_YLD_SPREAD","YAS_BOND_PX="&amp;X109,"YAS_BNCHMRK_BOND_PX="&amp;Z109),"--")</f>
        <v>#N/A Requesting Data...</v>
      </c>
      <c r="AB109" s="19" t="str">
        <f>IFERROR(_xll.BDP(E109&amp;" Corp","BLOOMBERG_MID_G_SPREAD","YAS_BOND_PX="&amp;X109,"YAS_BNCHMRK_BOND_PX="&amp;Z109),"--")</f>
        <v>#N/A Requesting Data...</v>
      </c>
      <c r="AC109" s="19" t="str">
        <f>IFERROR(_xll.BDP(D109,"LAST_PRICE"),"--")</f>
        <v>#N/A Requesting Data...</v>
      </c>
      <c r="AD109" s="20"/>
      <c r="AE109" s="19" t="str">
        <f t="shared" si="4"/>
        <v>#N/A Requesting Data...</v>
      </c>
      <c r="AF109" s="19" t="str">
        <f t="shared" si="5"/>
        <v>--</v>
      </c>
      <c r="AG109" s="21" t="str">
        <f t="shared" si="6"/>
        <v>--</v>
      </c>
      <c r="AH109" s="19" t="str">
        <f t="shared" si="7"/>
        <v>--</v>
      </c>
    </row>
    <row r="110" spans="1:34" x14ac:dyDescent="0.45">
      <c r="A110" s="22" t="s">
        <v>461</v>
      </c>
      <c r="B110" s="23" t="s">
        <v>117</v>
      </c>
      <c r="C110" s="22" t="s">
        <v>462</v>
      </c>
      <c r="D110" s="23" t="s">
        <v>463</v>
      </c>
      <c r="E110" s="23" t="s">
        <v>464</v>
      </c>
      <c r="F110" s="24">
        <v>45986</v>
      </c>
      <c r="G110" s="24">
        <v>46226</v>
      </c>
      <c r="H110" s="24">
        <v>48933</v>
      </c>
      <c r="I110" s="25">
        <v>95.958900451660156</v>
      </c>
      <c r="J110" s="25">
        <v>72.050300598144531</v>
      </c>
      <c r="K110" s="25">
        <v>120.313</v>
      </c>
      <c r="L110" s="25">
        <v>111.247</v>
      </c>
      <c r="M110" s="26">
        <v>166</v>
      </c>
      <c r="N110" s="27">
        <v>-24.35409954833985</v>
      </c>
      <c r="O110" s="28">
        <v>-73.957800170898452</v>
      </c>
      <c r="P110" s="28">
        <v>-18.322499328613279</v>
      </c>
      <c r="Q110" s="28">
        <v>-41.2545122860828</v>
      </c>
      <c r="R110" s="29">
        <v>89.158681397580764</v>
      </c>
      <c r="S110" s="28">
        <v>-48.262699401855471</v>
      </c>
      <c r="T110" s="28">
        <v>-95.655000488281246</v>
      </c>
      <c r="U110" s="28">
        <v>-45.365398803710931</v>
      </c>
      <c r="V110" s="28">
        <v>-63.69281438363317</v>
      </c>
      <c r="W110" s="30">
        <v>94.238768053250496</v>
      </c>
      <c r="X110" s="16" t="str">
        <f>IFERROR(_xll.BDP(E110&amp;" Corp","LAST_PRICE"),"--")</f>
        <v>#N/A Requesting Data...</v>
      </c>
      <c r="Y110" s="17" t="str">
        <f>IFERROR(_xll.BDP(E110&amp;" Corp","YAS_BENCHMARK_BOND_ISIN"),"--")</f>
        <v>#N/A Requesting Data...</v>
      </c>
      <c r="Z110" s="18" t="str">
        <f>IFERROR(_xll.BDP(Y110&amp;" CORP","LAST_PRICE"),"--")</f>
        <v>#N/A Requesting Data... CORP</v>
      </c>
      <c r="AA110" s="19" t="str">
        <f>IFERROR(_xll.BDP(E110&amp;" Corp","YAS_YLD_SPREAD","YAS_BOND_PX="&amp;X110,"YAS_BNCHMRK_BOND_PX="&amp;Z110),"--")</f>
        <v>#N/A Requesting Data...</v>
      </c>
      <c r="AB110" s="19" t="str">
        <f>IFERROR(_xll.BDP(E110&amp;" Corp","BLOOMBERG_MID_G_SPREAD","YAS_BOND_PX="&amp;X110,"YAS_BNCHMRK_BOND_PX="&amp;Z110),"--")</f>
        <v>#N/A Requesting Data...</v>
      </c>
      <c r="AC110" s="19" t="str">
        <f>IFERROR(_xll.BDP(D110,"LAST_PRICE"),"--")</f>
        <v>#N/A Requesting Data...</v>
      </c>
      <c r="AD110" s="20"/>
      <c r="AE110" s="19" t="str">
        <f t="shared" si="4"/>
        <v>#N/A Requesting Data...</v>
      </c>
      <c r="AF110" s="19" t="str">
        <f t="shared" si="5"/>
        <v>--</v>
      </c>
      <c r="AG110" s="21" t="str">
        <f t="shared" si="6"/>
        <v>--</v>
      </c>
      <c r="AH110" s="19" t="str">
        <f t="shared" si="7"/>
        <v>--</v>
      </c>
    </row>
    <row r="111" spans="1:34" x14ac:dyDescent="0.45">
      <c r="A111" s="7" t="s">
        <v>465</v>
      </c>
      <c r="B111" s="8" t="s">
        <v>117</v>
      </c>
      <c r="C111" s="7" t="s">
        <v>466</v>
      </c>
      <c r="D111" s="8" t="s">
        <v>467</v>
      </c>
      <c r="E111" s="8" t="s">
        <v>468</v>
      </c>
      <c r="F111" s="9">
        <v>45659</v>
      </c>
      <c r="G111" s="9">
        <v>46226</v>
      </c>
      <c r="H111" s="9">
        <v>48202</v>
      </c>
      <c r="I111" s="10">
        <v>351.56689453125</v>
      </c>
      <c r="J111" s="10">
        <v>332.15411376953119</v>
      </c>
      <c r="K111" s="10">
        <v>410.30200000000002</v>
      </c>
      <c r="L111" s="10">
        <v>411.07799999999997</v>
      </c>
      <c r="M111" s="11">
        <v>388</v>
      </c>
      <c r="N111" s="12">
        <v>-58.735105468750021</v>
      </c>
      <c r="O111" s="13">
        <v>-141.56120703125001</v>
      </c>
      <c r="P111" s="13">
        <v>2.4974956054687709</v>
      </c>
      <c r="Q111" s="13">
        <v>-70.963386440001813</v>
      </c>
      <c r="R111" s="14">
        <v>57.494687961592561</v>
      </c>
      <c r="S111" s="13">
        <v>-78.147886230468771</v>
      </c>
      <c r="T111" s="13">
        <v>-156.61769506835941</v>
      </c>
      <c r="U111" s="13">
        <v>-13.519289062499981</v>
      </c>
      <c r="V111" s="13">
        <v>-86.279722216419344</v>
      </c>
      <c r="W111" s="15">
        <v>54.836256411324037</v>
      </c>
      <c r="X111" s="16" t="str">
        <f>IFERROR(_xll.BDP(E111&amp;" Corp","LAST_PRICE"),"--")</f>
        <v>#N/A Requesting Data...</v>
      </c>
      <c r="Y111" s="17" t="str">
        <f>IFERROR(_xll.BDP(E111&amp;" Corp","YAS_BENCHMARK_BOND_ISIN"),"--")</f>
        <v>#N/A Requesting Data...</v>
      </c>
      <c r="Z111" s="18" t="str">
        <f>IFERROR(_xll.BDP(Y111&amp;" CORP","LAST_PRICE"),"--")</f>
        <v>#N/A Requesting Data... CORP</v>
      </c>
      <c r="AA111" s="19" t="str">
        <f>IFERROR(_xll.BDP(E111&amp;" Corp","YAS_YLD_SPREAD","YAS_BOND_PX="&amp;X111,"YAS_BNCHMRK_BOND_PX="&amp;Z111),"--")</f>
        <v>#N/A Requesting Data...</v>
      </c>
      <c r="AB111" s="19" t="str">
        <f>IFERROR(_xll.BDP(E111&amp;" Corp","BLOOMBERG_MID_G_SPREAD","YAS_BOND_PX="&amp;X111,"YAS_BNCHMRK_BOND_PX="&amp;Z111),"--")</f>
        <v>#N/A Requesting Data...</v>
      </c>
      <c r="AC111" s="19" t="str">
        <f>IFERROR(_xll.BDP(D111,"LAST_PRICE"),"--")</f>
        <v>#N/A Requesting Data...</v>
      </c>
      <c r="AD111" s="20"/>
      <c r="AE111" s="19" t="str">
        <f t="shared" si="4"/>
        <v>#N/A Requesting Data...</v>
      </c>
      <c r="AF111" s="19" t="str">
        <f t="shared" si="5"/>
        <v>--</v>
      </c>
      <c r="AG111" s="21" t="str">
        <f t="shared" si="6"/>
        <v>--</v>
      </c>
      <c r="AH111" s="19" t="str">
        <f t="shared" si="7"/>
        <v>--</v>
      </c>
    </row>
    <row r="112" spans="1:34" x14ac:dyDescent="0.45">
      <c r="A112" s="22" t="s">
        <v>469</v>
      </c>
      <c r="B112" s="23" t="s">
        <v>117</v>
      </c>
      <c r="C112" s="22" t="s">
        <v>470</v>
      </c>
      <c r="D112" s="23" t="s">
        <v>471</v>
      </c>
      <c r="E112" s="23" t="s">
        <v>472</v>
      </c>
      <c r="F112" s="24">
        <v>45659</v>
      </c>
      <c r="G112" s="24">
        <v>46226</v>
      </c>
      <c r="H112" s="24">
        <v>48019</v>
      </c>
      <c r="I112" s="25">
        <v>171.86900329589841</v>
      </c>
      <c r="J112" s="25">
        <v>171.86900329589841</v>
      </c>
      <c r="K112" s="25">
        <v>191.119</v>
      </c>
      <c r="L112" s="25">
        <v>165.48400000000001</v>
      </c>
      <c r="M112" s="26">
        <v>373</v>
      </c>
      <c r="N112" s="27">
        <v>-19.249996704101559</v>
      </c>
      <c r="O112" s="28">
        <v>-143.0618015136719</v>
      </c>
      <c r="P112" s="28">
        <v>115.9139929199219</v>
      </c>
      <c r="Q112" s="28">
        <v>-41.702199905354597</v>
      </c>
      <c r="R112" s="29">
        <v>47.808253694272572</v>
      </c>
      <c r="S112" s="28">
        <v>-19.249996704101559</v>
      </c>
      <c r="T112" s="28">
        <v>-143.0618015136719</v>
      </c>
      <c r="U112" s="28">
        <v>115.9139929199219</v>
      </c>
      <c r="V112" s="28">
        <v>-41.702199905354597</v>
      </c>
      <c r="W112" s="30">
        <v>47.808253694272572</v>
      </c>
      <c r="X112" s="16" t="str">
        <f>IFERROR(_xll.BDP(E112&amp;" Corp","LAST_PRICE"),"--")</f>
        <v>#N/A Requesting Data...</v>
      </c>
      <c r="Y112" s="17" t="str">
        <f>IFERROR(_xll.BDP(E112&amp;" Corp","YAS_BENCHMARK_BOND_ISIN"),"--")</f>
        <v>#N/A Requesting Data...</v>
      </c>
      <c r="Z112" s="18" t="str">
        <f>IFERROR(_xll.BDP(Y112&amp;" CORP","LAST_PRICE"),"--")</f>
        <v>#N/A Requesting Data... CORP</v>
      </c>
      <c r="AA112" s="19" t="str">
        <f>IFERROR(_xll.BDP(E112&amp;" Corp","YAS_YLD_SPREAD","YAS_BOND_PX="&amp;X112,"YAS_BNCHMRK_BOND_PX="&amp;Z112),"--")</f>
        <v>#N/A Requesting Data...</v>
      </c>
      <c r="AB112" s="19" t="str">
        <f>IFERROR(_xll.BDP(E112&amp;" Corp","BLOOMBERG_MID_G_SPREAD","YAS_BOND_PX="&amp;X112,"YAS_BNCHMRK_BOND_PX="&amp;Z112),"--")</f>
        <v>#N/A Requesting Data...</v>
      </c>
      <c r="AC112" s="19" t="str">
        <f>IFERROR(_xll.BDP(D112,"LAST_PRICE"),"--")</f>
        <v>#N/A Requesting Data...</v>
      </c>
      <c r="AD112" s="20"/>
      <c r="AE112" s="19" t="str">
        <f t="shared" si="4"/>
        <v>#N/A Requesting Data...</v>
      </c>
      <c r="AF112" s="19" t="str">
        <f t="shared" si="5"/>
        <v>--</v>
      </c>
      <c r="AG112" s="21" t="str">
        <f t="shared" si="6"/>
        <v>--</v>
      </c>
      <c r="AH112" s="19" t="str">
        <f t="shared" si="7"/>
        <v>--</v>
      </c>
    </row>
    <row r="113" spans="1:34" x14ac:dyDescent="0.45">
      <c r="A113" s="7" t="s">
        <v>473</v>
      </c>
      <c r="B113" s="8" t="s">
        <v>117</v>
      </c>
      <c r="C113" s="7" t="s">
        <v>474</v>
      </c>
      <c r="D113" s="8" t="s">
        <v>475</v>
      </c>
      <c r="E113" s="8" t="s">
        <v>476</v>
      </c>
      <c r="F113" s="9">
        <v>46035</v>
      </c>
      <c r="G113" s="9">
        <v>46226</v>
      </c>
      <c r="H113" s="9">
        <v>48019</v>
      </c>
      <c r="I113" s="10">
        <v>88.0531005859375</v>
      </c>
      <c r="J113" s="10">
        <v>88.0531005859375</v>
      </c>
      <c r="K113" s="10">
        <v>94.366</v>
      </c>
      <c r="L113" s="10">
        <v>96.204999999999998</v>
      </c>
      <c r="M113" s="11">
        <v>133</v>
      </c>
      <c r="N113" s="12">
        <v>-6.3128994140624997</v>
      </c>
      <c r="O113" s="13">
        <v>-12.78049780273437</v>
      </c>
      <c r="P113" s="13">
        <v>25.42739642333984</v>
      </c>
      <c r="Q113" s="13">
        <v>0.93319126628215998</v>
      </c>
      <c r="R113" s="14">
        <v>16.92738770266536</v>
      </c>
      <c r="S113" s="13">
        <v>-6.3128994140624997</v>
      </c>
      <c r="T113" s="13">
        <v>-12.78049780273437</v>
      </c>
      <c r="U113" s="13">
        <v>25.42739642333984</v>
      </c>
      <c r="V113" s="13">
        <v>0.93319126628215998</v>
      </c>
      <c r="W113" s="15">
        <v>16.92738770266536</v>
      </c>
      <c r="X113" s="16" t="str">
        <f>IFERROR(_xll.BDP(E113&amp;" Corp","LAST_PRICE"),"--")</f>
        <v>#N/A Requesting Data...</v>
      </c>
      <c r="Y113" s="17" t="str">
        <f>IFERROR(_xll.BDP(E113&amp;" Corp","YAS_BENCHMARK_BOND_ISIN"),"--")</f>
        <v>#N/A Requesting Data...</v>
      </c>
      <c r="Z113" s="18" t="str">
        <f>IFERROR(_xll.BDP(Y113&amp;" CORP","LAST_PRICE"),"--")</f>
        <v>#N/A Requesting Data... CORP</v>
      </c>
      <c r="AA113" s="19" t="str">
        <f>IFERROR(_xll.BDP(E113&amp;" Corp","YAS_YLD_SPREAD","YAS_BOND_PX="&amp;X113,"YAS_BNCHMRK_BOND_PX="&amp;Z113),"--")</f>
        <v>#N/A Requesting Data...</v>
      </c>
      <c r="AB113" s="19" t="str">
        <f>IFERROR(_xll.BDP(E113&amp;" Corp","BLOOMBERG_MID_G_SPREAD","YAS_BOND_PX="&amp;X113,"YAS_BNCHMRK_BOND_PX="&amp;Z113),"--")</f>
        <v>#N/A Requesting Data...</v>
      </c>
      <c r="AC113" s="19" t="str">
        <f>IFERROR(_xll.BDP(D113,"LAST_PRICE"),"--")</f>
        <v>#N/A Requesting Data...</v>
      </c>
      <c r="AD113" s="20"/>
      <c r="AE113" s="19" t="str">
        <f t="shared" si="4"/>
        <v>#N/A Requesting Data...</v>
      </c>
      <c r="AF113" s="19" t="str">
        <f t="shared" si="5"/>
        <v>--</v>
      </c>
      <c r="AG113" s="21" t="str">
        <f t="shared" si="6"/>
        <v>--</v>
      </c>
      <c r="AH113" s="19" t="str">
        <f t="shared" si="7"/>
        <v>--</v>
      </c>
    </row>
    <row r="114" spans="1:34" x14ac:dyDescent="0.45">
      <c r="A114" s="22" t="s">
        <v>477</v>
      </c>
      <c r="B114" s="23" t="s">
        <v>117</v>
      </c>
      <c r="C114" s="22" t="s">
        <v>478</v>
      </c>
      <c r="D114" s="23" t="s">
        <v>479</v>
      </c>
      <c r="E114" s="23" t="s">
        <v>480</v>
      </c>
      <c r="F114" s="24">
        <v>46160</v>
      </c>
      <c r="G114" s="24">
        <v>46226</v>
      </c>
      <c r="H114" s="24">
        <v>48385</v>
      </c>
      <c r="I114" s="25">
        <v>336.31118774414063</v>
      </c>
      <c r="J114" s="25">
        <v>303.78970336914063</v>
      </c>
      <c r="K114" s="25">
        <v>369.19900000000001</v>
      </c>
      <c r="L114" s="25">
        <v>362.839</v>
      </c>
      <c r="M114" s="26">
        <v>46</v>
      </c>
      <c r="N114" s="27">
        <v>-32.887812255859387</v>
      </c>
      <c r="O114" s="28">
        <v>-43.762097167968761</v>
      </c>
      <c r="P114" s="28">
        <v>198.44109594726561</v>
      </c>
      <c r="Q114" s="28">
        <v>98.489313285495925</v>
      </c>
      <c r="R114" s="29">
        <v>4.4897363953974194</v>
      </c>
      <c r="S114" s="28">
        <v>-65.409296630859387</v>
      </c>
      <c r="T114" s="28">
        <v>-87.704907226562511</v>
      </c>
      <c r="U114" s="28">
        <v>145.12191259765629</v>
      </c>
      <c r="V114" s="28">
        <v>56.285128131368893</v>
      </c>
      <c r="W114" s="30">
        <v>9.5760491048823422</v>
      </c>
      <c r="X114" s="16" t="str">
        <f>IFERROR(_xll.BDP(E114&amp;" Corp","LAST_PRICE"),"--")</f>
        <v>#N/A Requesting Data...</v>
      </c>
      <c r="Y114" s="17" t="str">
        <f>IFERROR(_xll.BDP(E114&amp;" Corp","YAS_BENCHMARK_BOND_ISIN"),"--")</f>
        <v>#N/A Requesting Data...</v>
      </c>
      <c r="Z114" s="18" t="str">
        <f>IFERROR(_xll.BDP(Y114&amp;" CORP","LAST_PRICE"),"--")</f>
        <v>#N/A Requesting Data... CORP</v>
      </c>
      <c r="AA114" s="19" t="str">
        <f>IFERROR(_xll.BDP(E114&amp;" Corp","YAS_YLD_SPREAD","YAS_BOND_PX="&amp;X114,"YAS_BNCHMRK_BOND_PX="&amp;Z114),"--")</f>
        <v>#N/A Requesting Data...</v>
      </c>
      <c r="AB114" s="19" t="str">
        <f>IFERROR(_xll.BDP(E114&amp;" Corp","BLOOMBERG_MID_G_SPREAD","YAS_BOND_PX="&amp;X114,"YAS_BNCHMRK_BOND_PX="&amp;Z114),"--")</f>
        <v>#N/A Requesting Data...</v>
      </c>
      <c r="AC114" s="19" t="str">
        <f>IFERROR(_xll.BDP(D114,"LAST_PRICE"),"--")</f>
        <v>#N/A Requesting Data...</v>
      </c>
      <c r="AD114" s="20"/>
      <c r="AE114" s="19" t="str">
        <f t="shared" si="4"/>
        <v>#N/A Requesting Data...</v>
      </c>
      <c r="AF114" s="19" t="str">
        <f t="shared" si="5"/>
        <v>--</v>
      </c>
      <c r="AG114" s="21" t="str">
        <f t="shared" si="6"/>
        <v>--</v>
      </c>
      <c r="AH114" s="19" t="str">
        <f t="shared" si="7"/>
        <v>--</v>
      </c>
    </row>
    <row r="115" spans="1:34" x14ac:dyDescent="0.45">
      <c r="A115" s="7" t="s">
        <v>481</v>
      </c>
      <c r="B115" s="8" t="s">
        <v>117</v>
      </c>
      <c r="C115" s="7" t="s">
        <v>482</v>
      </c>
      <c r="D115" s="8" t="s">
        <v>483</v>
      </c>
      <c r="E115" s="8" t="s">
        <v>484</v>
      </c>
      <c r="F115" s="9">
        <v>45923</v>
      </c>
      <c r="G115" s="9">
        <v>46226</v>
      </c>
      <c r="H115" s="9">
        <v>48933</v>
      </c>
      <c r="I115" s="10">
        <v>148.82609558105469</v>
      </c>
      <c r="J115" s="10">
        <v>109.4439010620117</v>
      </c>
      <c r="K115" s="10">
        <v>185.29400000000001</v>
      </c>
      <c r="L115" s="10">
        <v>183.88499999999999</v>
      </c>
      <c r="M115" s="11">
        <v>209</v>
      </c>
      <c r="N115" s="12">
        <v>-36.467904418945317</v>
      </c>
      <c r="O115" s="13">
        <v>-94.973603149414089</v>
      </c>
      <c r="P115" s="13">
        <v>-12.666400756835939</v>
      </c>
      <c r="Q115" s="13">
        <v>-40.104048678019403</v>
      </c>
      <c r="R115" s="14">
        <v>71.082113144140067</v>
      </c>
      <c r="S115" s="13">
        <v>-75.850098937988292</v>
      </c>
      <c r="T115" s="13">
        <v>-135.28400695800781</v>
      </c>
      <c r="U115" s="13">
        <v>-56.422801025390612</v>
      </c>
      <c r="V115" s="13">
        <v>-81.542575762442993</v>
      </c>
      <c r="W115" s="15">
        <v>75.365203102274009</v>
      </c>
      <c r="X115" s="16" t="str">
        <f>IFERROR(_xll.BDP(E115&amp;" Corp","LAST_PRICE"),"--")</f>
        <v>#N/A Requesting Data...</v>
      </c>
      <c r="Y115" s="17" t="str">
        <f>IFERROR(_xll.BDP(E115&amp;" Corp","YAS_BENCHMARK_BOND_ISIN"),"--")</f>
        <v>#N/A Requesting Data...</v>
      </c>
      <c r="Z115" s="18" t="str">
        <f>IFERROR(_xll.BDP(Y115&amp;" CORP","LAST_PRICE"),"--")</f>
        <v>#N/A Requesting Data... CORP</v>
      </c>
      <c r="AA115" s="19" t="str">
        <f>IFERROR(_xll.BDP(E115&amp;" Corp","YAS_YLD_SPREAD","YAS_BOND_PX="&amp;X115,"YAS_BNCHMRK_BOND_PX="&amp;Z115),"--")</f>
        <v>#N/A Requesting Data...</v>
      </c>
      <c r="AB115" s="19" t="str">
        <f>IFERROR(_xll.BDP(E115&amp;" Corp","BLOOMBERG_MID_G_SPREAD","YAS_BOND_PX="&amp;X115,"YAS_BNCHMRK_BOND_PX="&amp;Z115),"--")</f>
        <v>#N/A Requesting Data...</v>
      </c>
      <c r="AC115" s="19" t="str">
        <f>IFERROR(_xll.BDP(D115,"LAST_PRICE"),"--")</f>
        <v>#N/A Requesting Data...</v>
      </c>
      <c r="AD115" s="20"/>
      <c r="AE115" s="19" t="str">
        <f t="shared" si="4"/>
        <v>#N/A Requesting Data...</v>
      </c>
      <c r="AF115" s="19" t="str">
        <f t="shared" si="5"/>
        <v>--</v>
      </c>
      <c r="AG115" s="21" t="str">
        <f t="shared" si="6"/>
        <v>--</v>
      </c>
      <c r="AH115" s="19" t="str">
        <f t="shared" si="7"/>
        <v>--</v>
      </c>
    </row>
    <row r="116" spans="1:34" x14ac:dyDescent="0.45">
      <c r="A116" s="22" t="s">
        <v>485</v>
      </c>
      <c r="B116" s="23" t="s">
        <v>117</v>
      </c>
      <c r="C116" s="22" t="s">
        <v>486</v>
      </c>
      <c r="D116" s="23" t="s">
        <v>487</v>
      </c>
      <c r="E116" s="23" t="s">
        <v>488</v>
      </c>
      <c r="F116" s="24">
        <v>45818</v>
      </c>
      <c r="G116" s="24">
        <v>46226</v>
      </c>
      <c r="H116" s="24">
        <v>48750</v>
      </c>
      <c r="I116" s="25">
        <v>575.30377197265625</v>
      </c>
      <c r="J116" s="25">
        <v>514.65301513671875</v>
      </c>
      <c r="K116" s="25">
        <v>552.13099999999997</v>
      </c>
      <c r="L116" s="25">
        <v>544.06200000000001</v>
      </c>
      <c r="M116" s="26">
        <v>280</v>
      </c>
      <c r="N116" s="27">
        <v>23.172771972656282</v>
      </c>
      <c r="O116" s="28">
        <v>-31.240594238281229</v>
      </c>
      <c r="P116" s="28">
        <v>105.9007900390625</v>
      </c>
      <c r="Q116" s="28">
        <v>31.129604950387129</v>
      </c>
      <c r="R116" s="29">
        <v>39.676838977282223</v>
      </c>
      <c r="S116" s="28">
        <v>-37.477984863281222</v>
      </c>
      <c r="T116" s="28">
        <v>-52.383797973632802</v>
      </c>
      <c r="U116" s="28">
        <v>46.277193847656243</v>
      </c>
      <c r="V116" s="28">
        <v>-7.7046436196463466</v>
      </c>
      <c r="W116" s="30">
        <v>15.10811196521461</v>
      </c>
      <c r="X116" s="16" t="str">
        <f>IFERROR(_xll.BDP(E116&amp;" Corp","LAST_PRICE"),"--")</f>
        <v>#N/A Requesting Data...</v>
      </c>
      <c r="Y116" s="17" t="str">
        <f>IFERROR(_xll.BDP(E116&amp;" Corp","YAS_BENCHMARK_BOND_ISIN"),"--")</f>
        <v>#N/A Requesting Data...</v>
      </c>
      <c r="Z116" s="18" t="str">
        <f>IFERROR(_xll.BDP(Y116&amp;" CORP","LAST_PRICE"),"--")</f>
        <v>#N/A Requesting Data... CORP</v>
      </c>
      <c r="AA116" s="19" t="str">
        <f>IFERROR(_xll.BDP(E116&amp;" Corp","YAS_YLD_SPREAD","YAS_BOND_PX="&amp;X116,"YAS_BNCHMRK_BOND_PX="&amp;Z116),"--")</f>
        <v>#N/A Requesting Data...</v>
      </c>
      <c r="AB116" s="19" t="str">
        <f>IFERROR(_xll.BDP(E116&amp;" Corp","BLOOMBERG_MID_G_SPREAD","YAS_BOND_PX="&amp;X116,"YAS_BNCHMRK_BOND_PX="&amp;Z116),"--")</f>
        <v>#N/A Requesting Data...</v>
      </c>
      <c r="AC116" s="19" t="str">
        <f>IFERROR(_xll.BDP(D116,"LAST_PRICE"),"--")</f>
        <v>#N/A Requesting Data...</v>
      </c>
      <c r="AD116" s="20"/>
      <c r="AE116" s="19" t="str">
        <f t="shared" si="4"/>
        <v>#N/A Requesting Data...</v>
      </c>
      <c r="AF116" s="19" t="str">
        <f t="shared" si="5"/>
        <v>--</v>
      </c>
      <c r="AG116" s="21" t="str">
        <f t="shared" si="6"/>
        <v>--</v>
      </c>
      <c r="AH116" s="19" t="str">
        <f t="shared" si="7"/>
        <v>--</v>
      </c>
    </row>
    <row r="117" spans="1:34" x14ac:dyDescent="0.45">
      <c r="A117" s="7" t="s">
        <v>489</v>
      </c>
      <c r="B117" s="8" t="s">
        <v>117</v>
      </c>
      <c r="C117" s="7" t="s">
        <v>490</v>
      </c>
      <c r="D117" s="8" t="s">
        <v>491</v>
      </c>
      <c r="E117" s="8" t="s">
        <v>492</v>
      </c>
      <c r="F117" s="9">
        <v>46111</v>
      </c>
      <c r="G117" s="9">
        <v>46226</v>
      </c>
      <c r="H117" s="9">
        <v>48019</v>
      </c>
      <c r="I117" s="10">
        <v>140.877197265625</v>
      </c>
      <c r="J117" s="10">
        <v>140.877197265625</v>
      </c>
      <c r="K117" s="10">
        <v>180.64500000000001</v>
      </c>
      <c r="L117" s="10">
        <v>182.54400000000001</v>
      </c>
      <c r="M117" s="11">
        <v>81</v>
      </c>
      <c r="N117" s="12">
        <v>-39.76780273437501</v>
      </c>
      <c r="O117" s="13">
        <v>-52.344903930664088</v>
      </c>
      <c r="P117" s="13">
        <v>22.29129553222657</v>
      </c>
      <c r="Q117" s="13">
        <v>-21.129191106348859</v>
      </c>
      <c r="R117" s="14">
        <v>16.85120797521644</v>
      </c>
      <c r="S117" s="13">
        <v>-39.76780273437501</v>
      </c>
      <c r="T117" s="13">
        <v>-52.344903930664088</v>
      </c>
      <c r="U117" s="13">
        <v>22.29129553222657</v>
      </c>
      <c r="V117" s="13">
        <v>-21.129191106348859</v>
      </c>
      <c r="W117" s="15">
        <v>16.85120797521644</v>
      </c>
      <c r="X117" s="16" t="str">
        <f>IFERROR(_xll.BDP(E117&amp;" Corp","LAST_PRICE"),"--")</f>
        <v>#N/A Requesting Data...</v>
      </c>
      <c r="Y117" s="17" t="str">
        <f>IFERROR(_xll.BDP(E117&amp;" Corp","YAS_BENCHMARK_BOND_ISIN"),"--")</f>
        <v>#N/A Requesting Data...</v>
      </c>
      <c r="Z117" s="18" t="str">
        <f>IFERROR(_xll.BDP(Y117&amp;" CORP","LAST_PRICE"),"--")</f>
        <v>#N/A Requesting Data... CORP</v>
      </c>
      <c r="AA117" s="19" t="str">
        <f>IFERROR(_xll.BDP(E117&amp;" Corp","YAS_YLD_SPREAD","YAS_BOND_PX="&amp;X117,"YAS_BNCHMRK_BOND_PX="&amp;Z117),"--")</f>
        <v>#N/A Requesting Data...</v>
      </c>
      <c r="AB117" s="19" t="str">
        <f>IFERROR(_xll.BDP(E117&amp;" Corp","BLOOMBERG_MID_G_SPREAD","YAS_BOND_PX="&amp;X117,"YAS_BNCHMRK_BOND_PX="&amp;Z117),"--")</f>
        <v>#N/A Requesting Data...</v>
      </c>
      <c r="AC117" s="19" t="str">
        <f>IFERROR(_xll.BDP(D117,"LAST_PRICE"),"--")</f>
        <v>#N/A Requesting Data...</v>
      </c>
      <c r="AD117" s="20"/>
      <c r="AE117" s="19" t="str">
        <f t="shared" si="4"/>
        <v>#N/A Requesting Data...</v>
      </c>
      <c r="AF117" s="19" t="str">
        <f t="shared" si="5"/>
        <v>--</v>
      </c>
      <c r="AG117" s="21" t="str">
        <f t="shared" si="6"/>
        <v>--</v>
      </c>
      <c r="AH117" s="19" t="str">
        <f t="shared" si="7"/>
        <v>--</v>
      </c>
    </row>
    <row r="118" spans="1:34" x14ac:dyDescent="0.45">
      <c r="A118" s="22" t="s">
        <v>493</v>
      </c>
      <c r="B118" s="23" t="s">
        <v>117</v>
      </c>
      <c r="C118" s="22" t="s">
        <v>494</v>
      </c>
      <c r="D118" s="23" t="s">
        <v>495</v>
      </c>
      <c r="E118" s="23" t="s">
        <v>496</v>
      </c>
      <c r="F118" s="24">
        <v>45659</v>
      </c>
      <c r="G118" s="24">
        <v>46226</v>
      </c>
      <c r="H118" s="24">
        <v>47472</v>
      </c>
      <c r="I118" s="25">
        <v>2655.84033203125</v>
      </c>
      <c r="J118" s="25">
        <v>0</v>
      </c>
      <c r="K118" s="25">
        <v>3720.444</v>
      </c>
      <c r="L118" s="25">
        <v>3733.02</v>
      </c>
      <c r="M118" s="26">
        <v>390</v>
      </c>
      <c r="N118" s="27">
        <v>-1064.60366796875</v>
      </c>
      <c r="O118" s="28">
        <v>-5659.8329999999996</v>
      </c>
      <c r="P118" s="28">
        <v>91336.438812499997</v>
      </c>
      <c r="Q118" s="28">
        <v>-303.80124986853968</v>
      </c>
      <c r="R118" s="29">
        <v>4.7375319135091312</v>
      </c>
      <c r="S118" s="28">
        <v>-3720.444</v>
      </c>
      <c r="T118" s="28">
        <v>-5659.8329999999996</v>
      </c>
      <c r="U118" s="28">
        <v>67380.098312500006</v>
      </c>
      <c r="V118" s="28">
        <v>-1372.7965437438629</v>
      </c>
      <c r="W118" s="30">
        <v>2.6552448299853402</v>
      </c>
      <c r="X118" s="16" t="str">
        <f>IFERROR(_xll.BDP(E118&amp;" Corp","LAST_PRICE"),"--")</f>
        <v>#N/A Requesting Data...</v>
      </c>
      <c r="Y118" s="17" t="str">
        <f>IFERROR(_xll.BDP(E118&amp;" Corp","YAS_BENCHMARK_BOND_ISIN"),"--")</f>
        <v>#N/A Requesting Data...</v>
      </c>
      <c r="Z118" s="18" t="str">
        <f>IFERROR(_xll.BDP(Y118&amp;" CORP","LAST_PRICE"),"--")</f>
        <v>#N/A Requesting Data... CORP</v>
      </c>
      <c r="AA118" s="19" t="str">
        <f>IFERROR(_xll.BDP(E118&amp;" Corp","YAS_YLD_SPREAD","YAS_BOND_PX="&amp;X118,"YAS_BNCHMRK_BOND_PX="&amp;Z118),"--")</f>
        <v>#N/A Requesting Data...</v>
      </c>
      <c r="AB118" s="19" t="str">
        <f>IFERROR(_xll.BDP(E118&amp;" Corp","BLOOMBERG_MID_G_SPREAD","YAS_BOND_PX="&amp;X118,"YAS_BNCHMRK_BOND_PX="&amp;Z118),"--")</f>
        <v>#N/A Requesting Data...</v>
      </c>
      <c r="AC118" s="19" t="str">
        <f>IFERROR(_xll.BDP(D118,"LAST_PRICE"),"--")</f>
        <v>#N/A Requesting Data...</v>
      </c>
      <c r="AD118" s="20"/>
      <c r="AE118" s="19" t="str">
        <f t="shared" si="4"/>
        <v>#N/A Requesting Data...</v>
      </c>
      <c r="AF118" s="19" t="str">
        <f t="shared" si="5"/>
        <v>--</v>
      </c>
      <c r="AG118" s="21" t="str">
        <f t="shared" si="6"/>
        <v>--</v>
      </c>
      <c r="AH118" s="19" t="str">
        <f t="shared" si="7"/>
        <v>--</v>
      </c>
    </row>
    <row r="119" spans="1:34" x14ac:dyDescent="0.45">
      <c r="A119" s="7" t="s">
        <v>497</v>
      </c>
      <c r="B119" s="8" t="s">
        <v>117</v>
      </c>
      <c r="C119" s="7" t="s">
        <v>498</v>
      </c>
      <c r="D119" s="8" t="s">
        <v>499</v>
      </c>
      <c r="E119" s="8" t="s">
        <v>500</v>
      </c>
      <c r="F119" s="9">
        <v>45659</v>
      </c>
      <c r="G119" s="9">
        <v>46226</v>
      </c>
      <c r="H119" s="9">
        <v>48385</v>
      </c>
      <c r="I119" s="10">
        <v>97.544197082519531</v>
      </c>
      <c r="J119" s="10">
        <v>83.003402709960938</v>
      </c>
      <c r="K119" s="10">
        <v>116.739</v>
      </c>
      <c r="L119" s="10">
        <v>124.976</v>
      </c>
      <c r="M119" s="11">
        <v>390</v>
      </c>
      <c r="N119" s="12">
        <v>-19.19480291748047</v>
      </c>
      <c r="O119" s="13">
        <v>-77.042202148437497</v>
      </c>
      <c r="P119" s="13">
        <v>-9.6636011352539128</v>
      </c>
      <c r="Q119" s="13">
        <v>-42.099601823542663</v>
      </c>
      <c r="R119" s="14">
        <v>85.854259900169723</v>
      </c>
      <c r="S119" s="13">
        <v>-33.735597290039067</v>
      </c>
      <c r="T119" s="13">
        <v>-88.175701293945309</v>
      </c>
      <c r="U119" s="13">
        <v>-17.574902038574219</v>
      </c>
      <c r="V119" s="13">
        <v>-52.969091600936487</v>
      </c>
      <c r="W119" s="15">
        <v>77.109755949065416</v>
      </c>
      <c r="X119" s="16" t="str">
        <f>IFERROR(_xll.BDP(E119&amp;" Corp","LAST_PRICE"),"--")</f>
        <v>#N/A Requesting Data...</v>
      </c>
      <c r="Y119" s="17" t="str">
        <f>IFERROR(_xll.BDP(E119&amp;" Corp","YAS_BENCHMARK_BOND_ISIN"),"--")</f>
        <v>#N/A Requesting Data...</v>
      </c>
      <c r="Z119" s="18" t="str">
        <f>IFERROR(_xll.BDP(Y119&amp;" CORP","LAST_PRICE"),"--")</f>
        <v>#N/A Requesting Data... CORP</v>
      </c>
      <c r="AA119" s="19" t="str">
        <f>IFERROR(_xll.BDP(E119&amp;" Corp","YAS_YLD_SPREAD","YAS_BOND_PX="&amp;X119,"YAS_BNCHMRK_BOND_PX="&amp;Z119),"--")</f>
        <v>#N/A Requesting Data...</v>
      </c>
      <c r="AB119" s="19" t="str">
        <f>IFERROR(_xll.BDP(E119&amp;" Corp","BLOOMBERG_MID_G_SPREAD","YAS_BOND_PX="&amp;X119,"YAS_BNCHMRK_BOND_PX="&amp;Z119),"--")</f>
        <v>#N/A Requesting Data...</v>
      </c>
      <c r="AC119" s="19" t="str">
        <f>IFERROR(_xll.BDP(D119,"LAST_PRICE"),"--")</f>
        <v>#N/A Requesting Data...</v>
      </c>
      <c r="AD119" s="20"/>
      <c r="AE119" s="19" t="str">
        <f t="shared" si="4"/>
        <v>#N/A Requesting Data...</v>
      </c>
      <c r="AF119" s="19" t="str">
        <f t="shared" si="5"/>
        <v>--</v>
      </c>
      <c r="AG119" s="21" t="str">
        <f t="shared" si="6"/>
        <v>--</v>
      </c>
      <c r="AH119" s="19" t="str">
        <f t="shared" si="7"/>
        <v>--</v>
      </c>
    </row>
    <row r="120" spans="1:34" x14ac:dyDescent="0.45">
      <c r="A120" s="22" t="s">
        <v>501</v>
      </c>
      <c r="B120" s="23" t="s">
        <v>502</v>
      </c>
      <c r="C120" s="22" t="s">
        <v>503</v>
      </c>
      <c r="D120" s="23" t="s">
        <v>504</v>
      </c>
      <c r="E120" s="23" t="s">
        <v>505</v>
      </c>
      <c r="F120" s="24">
        <v>45932</v>
      </c>
      <c r="G120" s="24">
        <v>46226</v>
      </c>
      <c r="H120" s="24">
        <v>48385</v>
      </c>
      <c r="I120" s="25">
        <v>80.305099487304688</v>
      </c>
      <c r="J120" s="25">
        <v>80.823898315429688</v>
      </c>
      <c r="K120" s="25">
        <v>158.27500000000001</v>
      </c>
      <c r="L120" s="25">
        <v>156.28</v>
      </c>
      <c r="M120" s="26">
        <v>202</v>
      </c>
      <c r="N120" s="27">
        <v>-77.969900512695318</v>
      </c>
      <c r="O120" s="28">
        <v>-146.17399755859381</v>
      </c>
      <c r="P120" s="28">
        <v>-45.623402099609358</v>
      </c>
      <c r="Q120" s="28">
        <v>-85.384537675612037</v>
      </c>
      <c r="R120" s="29">
        <v>67.830624706463908</v>
      </c>
      <c r="S120" s="28">
        <v>-77.451101684570318</v>
      </c>
      <c r="T120" s="28">
        <v>-156.42440039062501</v>
      </c>
      <c r="U120" s="28">
        <v>-48.271099548339834</v>
      </c>
      <c r="V120" s="28">
        <v>-92.768695083013839</v>
      </c>
      <c r="W120" s="30">
        <v>73.019776642062638</v>
      </c>
      <c r="X120" s="16" t="str">
        <f>IFERROR(_xll.BDP(E120&amp;" Corp","LAST_PRICE"),"--")</f>
        <v>#N/A Requesting Data...</v>
      </c>
      <c r="Y120" s="17" t="str">
        <f>IFERROR(_xll.BDP(E120&amp;" Corp","YAS_BENCHMARK_BOND_ISIN"),"--")</f>
        <v>#N/A Requesting Data...</v>
      </c>
      <c r="Z120" s="18" t="str">
        <f>IFERROR(_xll.BDP(Y120&amp;" CORP","LAST_PRICE"),"--")</f>
        <v>#N/A Requesting Data... CORP</v>
      </c>
      <c r="AA120" s="19" t="str">
        <f>IFERROR(_xll.BDP(E120&amp;" Corp","YAS_YLD_SPREAD","YAS_BOND_PX="&amp;X120,"YAS_BNCHMRK_BOND_PX="&amp;Z120),"--")</f>
        <v>#N/A Requesting Data...</v>
      </c>
      <c r="AB120" s="19" t="str">
        <f>IFERROR(_xll.BDP(E120&amp;" Corp","BLOOMBERG_MID_G_SPREAD","YAS_BOND_PX="&amp;X120,"YAS_BNCHMRK_BOND_PX="&amp;Z120),"--")</f>
        <v>#N/A Requesting Data...</v>
      </c>
      <c r="AC120" s="19" t="str">
        <f>IFERROR(_xll.BDP(D120,"LAST_PRICE"),"--")</f>
        <v>#N/A Requesting Data...</v>
      </c>
      <c r="AD120" s="20"/>
      <c r="AE120" s="19" t="str">
        <f t="shared" si="4"/>
        <v>#N/A Requesting Data...</v>
      </c>
      <c r="AF120" s="19" t="str">
        <f t="shared" si="5"/>
        <v>--</v>
      </c>
      <c r="AG120" s="21" t="str">
        <f t="shared" si="6"/>
        <v>--</v>
      </c>
      <c r="AH120" s="19" t="str">
        <f t="shared" si="7"/>
        <v>--</v>
      </c>
    </row>
    <row r="121" spans="1:34" x14ac:dyDescent="0.45">
      <c r="A121" s="7" t="s">
        <v>506</v>
      </c>
      <c r="B121" s="8" t="s">
        <v>502</v>
      </c>
      <c r="C121" s="7" t="s">
        <v>507</v>
      </c>
      <c r="D121" s="8" t="s">
        <v>508</v>
      </c>
      <c r="E121" s="8" t="s">
        <v>509</v>
      </c>
      <c r="F121" s="9">
        <v>45911</v>
      </c>
      <c r="G121" s="9">
        <v>46226</v>
      </c>
      <c r="H121" s="9">
        <v>48019</v>
      </c>
      <c r="I121" s="10">
        <v>69.499496459960938</v>
      </c>
      <c r="J121" s="10">
        <v>69.499496459960938</v>
      </c>
      <c r="K121" s="10">
        <v>76.694999999999993</v>
      </c>
      <c r="L121" s="10">
        <v>75.896000000000001</v>
      </c>
      <c r="M121" s="11">
        <v>217</v>
      </c>
      <c r="N121" s="12">
        <v>-7.1955035400390557</v>
      </c>
      <c r="O121" s="13">
        <v>-154.34890130615241</v>
      </c>
      <c r="P121" s="13">
        <v>0.62760137939453386</v>
      </c>
      <c r="Q121" s="13">
        <v>-14.571515074277251</v>
      </c>
      <c r="R121" s="14">
        <v>94.952070292031962</v>
      </c>
      <c r="S121" s="13">
        <v>-7.1955035400390557</v>
      </c>
      <c r="T121" s="13">
        <v>-154.34890130615241</v>
      </c>
      <c r="U121" s="13">
        <v>0.62760137939453386</v>
      </c>
      <c r="V121" s="13">
        <v>-14.571515074277251</v>
      </c>
      <c r="W121" s="15">
        <v>94.952070292031962</v>
      </c>
      <c r="X121" s="16" t="str">
        <f>IFERROR(_xll.BDP(E121&amp;" Corp","LAST_PRICE"),"--")</f>
        <v>#N/A Requesting Data...</v>
      </c>
      <c r="Y121" s="17" t="str">
        <f>IFERROR(_xll.BDP(E121&amp;" Corp","YAS_BENCHMARK_BOND_ISIN"),"--")</f>
        <v>#N/A Requesting Data...</v>
      </c>
      <c r="Z121" s="18" t="str">
        <f>IFERROR(_xll.BDP(Y121&amp;" CORP","LAST_PRICE"),"--")</f>
        <v>#N/A Requesting Data... CORP</v>
      </c>
      <c r="AA121" s="19" t="str">
        <f>IFERROR(_xll.BDP(E121&amp;" Corp","YAS_YLD_SPREAD","YAS_BOND_PX="&amp;X121,"YAS_BNCHMRK_BOND_PX="&amp;Z121),"--")</f>
        <v>#N/A Requesting Data...</v>
      </c>
      <c r="AB121" s="19" t="str">
        <f>IFERROR(_xll.BDP(E121&amp;" Corp","BLOOMBERG_MID_G_SPREAD","YAS_BOND_PX="&amp;X121,"YAS_BNCHMRK_BOND_PX="&amp;Z121),"--")</f>
        <v>#N/A Requesting Data...</v>
      </c>
      <c r="AC121" s="19" t="str">
        <f>IFERROR(_xll.BDP(D121,"LAST_PRICE"),"--")</f>
        <v>#N/A Requesting Data...</v>
      </c>
      <c r="AD121" s="20"/>
      <c r="AE121" s="19" t="str">
        <f t="shared" si="4"/>
        <v>#N/A Requesting Data...</v>
      </c>
      <c r="AF121" s="19" t="str">
        <f t="shared" si="5"/>
        <v>--</v>
      </c>
      <c r="AG121" s="21" t="str">
        <f t="shared" si="6"/>
        <v>--</v>
      </c>
      <c r="AH121" s="19" t="str">
        <f t="shared" si="7"/>
        <v>--</v>
      </c>
    </row>
    <row r="122" spans="1:34" x14ac:dyDescent="0.45">
      <c r="A122" s="22" t="s">
        <v>510</v>
      </c>
      <c r="B122" s="23" t="s">
        <v>502</v>
      </c>
      <c r="C122" s="22" t="s">
        <v>511</v>
      </c>
      <c r="D122" s="23" t="s">
        <v>512</v>
      </c>
      <c r="E122" s="23" t="s">
        <v>513</v>
      </c>
      <c r="F122" s="24">
        <v>45922</v>
      </c>
      <c r="G122" s="24">
        <v>46226</v>
      </c>
      <c r="H122" s="24">
        <v>47654</v>
      </c>
      <c r="I122" s="25">
        <v>61.597400665283203</v>
      </c>
      <c r="J122" s="25">
        <v>74.473701477050781</v>
      </c>
      <c r="K122" s="25">
        <v>90.932000000000002</v>
      </c>
      <c r="L122" s="25">
        <v>90.763999999999996</v>
      </c>
      <c r="M122" s="26">
        <v>210</v>
      </c>
      <c r="N122" s="27">
        <v>-29.334599334716799</v>
      </c>
      <c r="O122" s="28">
        <v>-60.336702941894529</v>
      </c>
      <c r="P122" s="28">
        <v>-25.519199554443361</v>
      </c>
      <c r="Q122" s="28">
        <v>-41.700768240647093</v>
      </c>
      <c r="R122" s="29">
        <v>89.041719224335381</v>
      </c>
      <c r="S122" s="28">
        <v>-16.458298522949221</v>
      </c>
      <c r="T122" s="28">
        <v>-47.696100830078123</v>
      </c>
      <c r="U122" s="28">
        <v>-12.758201782226561</v>
      </c>
      <c r="V122" s="28">
        <v>-29.219693080938431</v>
      </c>
      <c r="W122" s="30">
        <v>89.409504172947152</v>
      </c>
      <c r="X122" s="16" t="str">
        <f>IFERROR(_xll.BDP(E122&amp;" Corp","LAST_PRICE"),"--")</f>
        <v>#N/A Requesting Data...</v>
      </c>
      <c r="Y122" s="17" t="str">
        <f>IFERROR(_xll.BDP(E122&amp;" Corp","YAS_BENCHMARK_BOND_ISIN"),"--")</f>
        <v>#N/A Requesting Data...</v>
      </c>
      <c r="Z122" s="18" t="str">
        <f>IFERROR(_xll.BDP(Y122&amp;" CORP","LAST_PRICE"),"--")</f>
        <v>#N/A Requesting Data... CORP</v>
      </c>
      <c r="AA122" s="19" t="str">
        <f>IFERROR(_xll.BDP(E122&amp;" Corp","YAS_YLD_SPREAD","YAS_BOND_PX="&amp;X122,"YAS_BNCHMRK_BOND_PX="&amp;Z122),"--")</f>
        <v>#N/A Requesting Data...</v>
      </c>
      <c r="AB122" s="19" t="str">
        <f>IFERROR(_xll.BDP(E122&amp;" Corp","BLOOMBERG_MID_G_SPREAD","YAS_BOND_PX="&amp;X122,"YAS_BNCHMRK_BOND_PX="&amp;Z122),"--")</f>
        <v>#N/A Requesting Data...</v>
      </c>
      <c r="AC122" s="19" t="str">
        <f>IFERROR(_xll.BDP(D122,"LAST_PRICE"),"--")</f>
        <v>#N/A Requesting Data...</v>
      </c>
      <c r="AD122" s="20"/>
      <c r="AE122" s="19" t="str">
        <f t="shared" si="4"/>
        <v>#N/A Requesting Data...</v>
      </c>
      <c r="AF122" s="19" t="str">
        <f t="shared" si="5"/>
        <v>--</v>
      </c>
      <c r="AG122" s="21" t="str">
        <f t="shared" si="6"/>
        <v>--</v>
      </c>
      <c r="AH122" s="19" t="str">
        <f t="shared" si="7"/>
        <v>--</v>
      </c>
    </row>
    <row r="123" spans="1:34" x14ac:dyDescent="0.45">
      <c r="A123" s="7" t="s">
        <v>514</v>
      </c>
      <c r="B123" s="8" t="s">
        <v>502</v>
      </c>
      <c r="C123" s="7" t="s">
        <v>515</v>
      </c>
      <c r="D123" s="8" t="s">
        <v>516</v>
      </c>
      <c r="E123" s="8" t="s">
        <v>517</v>
      </c>
      <c r="F123" s="9">
        <v>45659</v>
      </c>
      <c r="G123" s="9">
        <v>46226</v>
      </c>
      <c r="H123" s="9">
        <v>47289</v>
      </c>
      <c r="I123" s="10">
        <v>43.136798858642578</v>
      </c>
      <c r="J123" s="10">
        <v>69.185897827148438</v>
      </c>
      <c r="K123" s="10">
        <v>103.428</v>
      </c>
      <c r="L123" s="10">
        <v>103.883</v>
      </c>
      <c r="M123" s="11">
        <v>390</v>
      </c>
      <c r="N123" s="12">
        <v>-60.291201141357419</v>
      </c>
      <c r="O123" s="13">
        <v>-141.36969775390631</v>
      </c>
      <c r="P123" s="13">
        <v>-41.237201232910152</v>
      </c>
      <c r="Q123" s="13">
        <v>-71.469169505740439</v>
      </c>
      <c r="R123" s="14">
        <v>80.971212572881413</v>
      </c>
      <c r="S123" s="13">
        <v>-34.24210217285156</v>
      </c>
      <c r="T123" s="13">
        <v>-98.428901855468752</v>
      </c>
      <c r="U123" s="13">
        <v>-14.40570080566407</v>
      </c>
      <c r="V123" s="13">
        <v>-45.664546504530797</v>
      </c>
      <c r="W123" s="15">
        <v>76.391757134521114</v>
      </c>
      <c r="X123" s="16" t="str">
        <f>IFERROR(_xll.BDP(E123&amp;" Corp","LAST_PRICE"),"--")</f>
        <v>#N/A Requesting Data...</v>
      </c>
      <c r="Y123" s="17" t="str">
        <f>IFERROR(_xll.BDP(E123&amp;" Corp","YAS_BENCHMARK_BOND_ISIN"),"--")</f>
        <v>#N/A Requesting Data...</v>
      </c>
      <c r="Z123" s="18" t="str">
        <f>IFERROR(_xll.BDP(Y123&amp;" CORP","LAST_PRICE"),"--")</f>
        <v>#N/A Requesting Data... CORP</v>
      </c>
      <c r="AA123" s="19" t="str">
        <f>IFERROR(_xll.BDP(E123&amp;" Corp","YAS_YLD_SPREAD","YAS_BOND_PX="&amp;X123,"YAS_BNCHMRK_BOND_PX="&amp;Z123),"--")</f>
        <v>#N/A Requesting Data...</v>
      </c>
      <c r="AB123" s="19" t="str">
        <f>IFERROR(_xll.BDP(E123&amp;" Corp","BLOOMBERG_MID_G_SPREAD","YAS_BOND_PX="&amp;X123,"YAS_BNCHMRK_BOND_PX="&amp;Z123),"--")</f>
        <v>#N/A Requesting Data...</v>
      </c>
      <c r="AC123" s="19" t="str">
        <f>IFERROR(_xll.BDP(D123,"LAST_PRICE"),"--")</f>
        <v>#N/A Requesting Data...</v>
      </c>
      <c r="AD123" s="20"/>
      <c r="AE123" s="19" t="str">
        <f t="shared" si="4"/>
        <v>#N/A Requesting Data...</v>
      </c>
      <c r="AF123" s="19" t="str">
        <f t="shared" si="5"/>
        <v>--</v>
      </c>
      <c r="AG123" s="21" t="str">
        <f t="shared" si="6"/>
        <v>--</v>
      </c>
      <c r="AH123" s="19" t="str">
        <f t="shared" si="7"/>
        <v>--</v>
      </c>
    </row>
    <row r="124" spans="1:34" x14ac:dyDescent="0.45">
      <c r="A124" s="22" t="s">
        <v>518</v>
      </c>
      <c r="B124" s="23" t="s">
        <v>502</v>
      </c>
      <c r="C124" s="22" t="s">
        <v>519</v>
      </c>
      <c r="D124" s="23" t="s">
        <v>520</v>
      </c>
      <c r="E124" s="23" t="s">
        <v>521</v>
      </c>
      <c r="F124" s="24">
        <v>45922</v>
      </c>
      <c r="G124" s="24">
        <v>46226</v>
      </c>
      <c r="H124" s="24">
        <v>48202</v>
      </c>
      <c r="I124" s="25">
        <v>62.942401885986328</v>
      </c>
      <c r="J124" s="25">
        <v>53.748798370361328</v>
      </c>
      <c r="K124" s="25">
        <v>93.834000000000003</v>
      </c>
      <c r="L124" s="25">
        <v>97.745999999999995</v>
      </c>
      <c r="M124" s="26">
        <v>178</v>
      </c>
      <c r="N124" s="27">
        <v>-30.891598114013679</v>
      </c>
      <c r="O124" s="28">
        <v>-101.1438004760742</v>
      </c>
      <c r="P124" s="28">
        <v>-29.35539648437501</v>
      </c>
      <c r="Q124" s="28">
        <v>-62.242138733767391</v>
      </c>
      <c r="R124" s="29">
        <v>97.860097809367247</v>
      </c>
      <c r="S124" s="28">
        <v>-40.085201629638682</v>
      </c>
      <c r="T124" s="28">
        <v>-109.6924989013672</v>
      </c>
      <c r="U124" s="28">
        <v>-33.778400634765632</v>
      </c>
      <c r="V124" s="28">
        <v>-68.265648607060228</v>
      </c>
      <c r="W124" s="30">
        <v>91.692187434375768</v>
      </c>
      <c r="X124" s="16" t="str">
        <f>IFERROR(_xll.BDP(E124&amp;" Corp","LAST_PRICE"),"--")</f>
        <v>#N/A Requesting Data...</v>
      </c>
      <c r="Y124" s="17" t="str">
        <f>IFERROR(_xll.BDP(E124&amp;" Corp","YAS_BENCHMARK_BOND_ISIN"),"--")</f>
        <v>#N/A Requesting Data...</v>
      </c>
      <c r="Z124" s="18" t="str">
        <f>IFERROR(_xll.BDP(Y124&amp;" CORP","LAST_PRICE"),"--")</f>
        <v>#N/A Requesting Data... CORP</v>
      </c>
      <c r="AA124" s="19" t="str">
        <f>IFERROR(_xll.BDP(E124&amp;" Corp","YAS_YLD_SPREAD","YAS_BOND_PX="&amp;X124,"YAS_BNCHMRK_BOND_PX="&amp;Z124),"--")</f>
        <v>#N/A Requesting Data...</v>
      </c>
      <c r="AB124" s="19" t="str">
        <f>IFERROR(_xll.BDP(E124&amp;" Corp","BLOOMBERG_MID_G_SPREAD","YAS_BOND_PX="&amp;X124,"YAS_BNCHMRK_BOND_PX="&amp;Z124),"--")</f>
        <v>#N/A Requesting Data...</v>
      </c>
      <c r="AC124" s="19" t="str">
        <f>IFERROR(_xll.BDP(D124,"LAST_PRICE"),"--")</f>
        <v>#N/A Requesting Data...</v>
      </c>
      <c r="AD124" s="20"/>
      <c r="AE124" s="19" t="str">
        <f t="shared" si="4"/>
        <v>#N/A Requesting Data...</v>
      </c>
      <c r="AF124" s="19" t="str">
        <f t="shared" si="5"/>
        <v>--</v>
      </c>
      <c r="AG124" s="21" t="str">
        <f t="shared" si="6"/>
        <v>--</v>
      </c>
      <c r="AH124" s="19" t="str">
        <f t="shared" si="7"/>
        <v>--</v>
      </c>
    </row>
    <row r="125" spans="1:34" x14ac:dyDescent="0.45">
      <c r="A125" s="7" t="s">
        <v>522</v>
      </c>
      <c r="B125" s="8" t="s">
        <v>523</v>
      </c>
      <c r="C125" s="7" t="s">
        <v>524</v>
      </c>
      <c r="D125" s="8" t="s">
        <v>525</v>
      </c>
      <c r="E125" s="8" t="s">
        <v>526</v>
      </c>
      <c r="F125" s="9">
        <v>46101</v>
      </c>
      <c r="G125" s="9">
        <v>46226</v>
      </c>
      <c r="H125" s="9">
        <v>48019</v>
      </c>
      <c r="I125" s="10">
        <v>28.004800796508789</v>
      </c>
      <c r="J125" s="10">
        <v>28.004800796508789</v>
      </c>
      <c r="K125" s="10">
        <v>44.177999999999997</v>
      </c>
      <c r="L125" s="10">
        <v>44.027000000000001</v>
      </c>
      <c r="M125" s="11">
        <v>87</v>
      </c>
      <c r="N125" s="12">
        <v>-16.173199203491212</v>
      </c>
      <c r="O125" s="13">
        <v>-20.905700256347661</v>
      </c>
      <c r="P125" s="13">
        <v>-10.4533998260498</v>
      </c>
      <c r="Q125" s="13">
        <v>-14.940471317159719</v>
      </c>
      <c r="R125" s="14">
        <v>45.277124250451628</v>
      </c>
      <c r="S125" s="13">
        <v>-16.173199203491212</v>
      </c>
      <c r="T125" s="13">
        <v>-20.905700256347661</v>
      </c>
      <c r="U125" s="13">
        <v>-10.4533998260498</v>
      </c>
      <c r="V125" s="13">
        <v>-14.940471317159719</v>
      </c>
      <c r="W125" s="15">
        <v>45.277124250451628</v>
      </c>
      <c r="X125" s="16" t="str">
        <f>IFERROR(_xll.BDP(E125&amp;" Corp","LAST_PRICE"),"--")</f>
        <v>#N/A Requesting Data...</v>
      </c>
      <c r="Y125" s="17" t="str">
        <f>IFERROR(_xll.BDP(E125&amp;" Corp","YAS_BENCHMARK_BOND_ISIN"),"--")</f>
        <v>#N/A Requesting Data...</v>
      </c>
      <c r="Z125" s="18" t="str">
        <f>IFERROR(_xll.BDP(Y125&amp;" CORP","LAST_PRICE"),"--")</f>
        <v>#N/A Requesting Data... CORP</v>
      </c>
      <c r="AA125" s="19" t="str">
        <f>IFERROR(_xll.BDP(E125&amp;" Corp","YAS_YLD_SPREAD","YAS_BOND_PX="&amp;X125,"YAS_BNCHMRK_BOND_PX="&amp;Z125),"--")</f>
        <v>#N/A Requesting Data...</v>
      </c>
      <c r="AB125" s="19" t="str">
        <f>IFERROR(_xll.BDP(E125&amp;" Corp","BLOOMBERG_MID_G_SPREAD","YAS_BOND_PX="&amp;X125,"YAS_BNCHMRK_BOND_PX="&amp;Z125),"--")</f>
        <v>#N/A Requesting Data...</v>
      </c>
      <c r="AC125" s="19" t="str">
        <f>IFERROR(_xll.BDP(D125,"LAST_PRICE"),"--")</f>
        <v>#N/A Requesting Data...</v>
      </c>
      <c r="AD125" s="20"/>
      <c r="AE125" s="19" t="str">
        <f t="shared" si="4"/>
        <v>#N/A Requesting Data...</v>
      </c>
      <c r="AF125" s="19" t="str">
        <f t="shared" si="5"/>
        <v>--</v>
      </c>
      <c r="AG125" s="21" t="str">
        <f t="shared" si="6"/>
        <v>--</v>
      </c>
      <c r="AH125" s="19" t="str">
        <f t="shared" si="7"/>
        <v>--</v>
      </c>
    </row>
    <row r="126" spans="1:34" x14ac:dyDescent="0.45">
      <c r="A126" s="22" t="s">
        <v>527</v>
      </c>
      <c r="B126" s="23" t="s">
        <v>523</v>
      </c>
      <c r="C126" s="22" t="s">
        <v>528</v>
      </c>
      <c r="D126" s="23" t="s">
        <v>529</v>
      </c>
      <c r="E126" s="23" t="s">
        <v>530</v>
      </c>
      <c r="F126" s="24">
        <v>45659</v>
      </c>
      <c r="G126" s="24">
        <v>46226</v>
      </c>
      <c r="H126" s="24">
        <v>49298</v>
      </c>
      <c r="I126" s="25">
        <v>51.158500671386719</v>
      </c>
      <c r="J126" s="25">
        <v>26.023300170898441</v>
      </c>
      <c r="K126" s="25">
        <v>74.718999999999994</v>
      </c>
      <c r="L126" s="25">
        <v>68.751000000000005</v>
      </c>
      <c r="M126" s="26">
        <v>390</v>
      </c>
      <c r="N126" s="27">
        <v>-23.560499328613279</v>
      </c>
      <c r="O126" s="28">
        <v>-51.913198974609372</v>
      </c>
      <c r="P126" s="28">
        <v>-10.600299865722659</v>
      </c>
      <c r="Q126" s="28">
        <v>-29.89981515377729</v>
      </c>
      <c r="R126" s="29">
        <v>68.629169720740364</v>
      </c>
      <c r="S126" s="28">
        <v>-48.695699829101557</v>
      </c>
      <c r="T126" s="28">
        <v>-77.323999908447263</v>
      </c>
      <c r="U126" s="28">
        <v>-36.59269958496094</v>
      </c>
      <c r="V126" s="28">
        <v>-54.173941524525183</v>
      </c>
      <c r="W126" s="30">
        <v>70.285750398295448</v>
      </c>
      <c r="X126" s="16" t="str">
        <f>IFERROR(_xll.BDP(E126&amp;" Corp","LAST_PRICE"),"--")</f>
        <v>#N/A Requesting Data...</v>
      </c>
      <c r="Y126" s="17" t="str">
        <f>IFERROR(_xll.BDP(E126&amp;" Corp","YAS_BENCHMARK_BOND_ISIN"),"--")</f>
        <v>#N/A Requesting Data...</v>
      </c>
      <c r="Z126" s="18" t="str">
        <f>IFERROR(_xll.BDP(Y126&amp;" CORP","LAST_PRICE"),"--")</f>
        <v>#N/A Requesting Data... CORP</v>
      </c>
      <c r="AA126" s="19" t="str">
        <f>IFERROR(_xll.BDP(E126&amp;" Corp","YAS_YLD_SPREAD","YAS_BOND_PX="&amp;X126,"YAS_BNCHMRK_BOND_PX="&amp;Z126),"--")</f>
        <v>#N/A Requesting Data...</v>
      </c>
      <c r="AB126" s="19" t="str">
        <f>IFERROR(_xll.BDP(E126&amp;" Corp","BLOOMBERG_MID_G_SPREAD","YAS_BOND_PX="&amp;X126,"YAS_BNCHMRK_BOND_PX="&amp;Z126),"--")</f>
        <v>#N/A Requesting Data...</v>
      </c>
      <c r="AC126" s="19" t="str">
        <f>IFERROR(_xll.BDP(D126,"LAST_PRICE"),"--")</f>
        <v>#N/A Requesting Data...</v>
      </c>
      <c r="AD126" s="20"/>
      <c r="AE126" s="19" t="str">
        <f t="shared" si="4"/>
        <v>#N/A Requesting Data...</v>
      </c>
      <c r="AF126" s="19" t="str">
        <f t="shared" si="5"/>
        <v>--</v>
      </c>
      <c r="AG126" s="21" t="str">
        <f t="shared" si="6"/>
        <v>--</v>
      </c>
      <c r="AH126" s="19" t="str">
        <f t="shared" si="7"/>
        <v>--</v>
      </c>
    </row>
    <row r="127" spans="1:34" x14ac:dyDescent="0.45">
      <c r="A127" s="7" t="s">
        <v>531</v>
      </c>
      <c r="B127" s="8" t="s">
        <v>523</v>
      </c>
      <c r="C127" s="7" t="s">
        <v>532</v>
      </c>
      <c r="D127" s="8" t="s">
        <v>533</v>
      </c>
      <c r="E127" s="8" t="s">
        <v>534</v>
      </c>
      <c r="F127" s="9">
        <v>45659</v>
      </c>
      <c r="G127" s="9">
        <v>46226</v>
      </c>
      <c r="H127" s="9">
        <v>48750</v>
      </c>
      <c r="I127" s="10">
        <v>50.546199798583977</v>
      </c>
      <c r="J127" s="10">
        <v>36.437698364257813</v>
      </c>
      <c r="K127" s="10">
        <v>67.513000000000005</v>
      </c>
      <c r="L127" s="10">
        <v>52.686</v>
      </c>
      <c r="M127" s="11">
        <v>390</v>
      </c>
      <c r="N127" s="12">
        <v>-16.966800201416021</v>
      </c>
      <c r="O127" s="13">
        <v>-73.890400177001965</v>
      </c>
      <c r="P127" s="13">
        <v>-15.99899908447266</v>
      </c>
      <c r="Q127" s="13">
        <v>-39.484418026576897</v>
      </c>
      <c r="R127" s="14">
        <v>98.328247203075108</v>
      </c>
      <c r="S127" s="13">
        <v>-31.075301635742189</v>
      </c>
      <c r="T127" s="13">
        <v>-84.43959832763673</v>
      </c>
      <c r="U127" s="13">
        <v>-29.725000823974611</v>
      </c>
      <c r="V127" s="13">
        <v>-49.919357151833559</v>
      </c>
      <c r="W127" s="15">
        <v>97.532101352518936</v>
      </c>
      <c r="X127" s="16" t="str">
        <f>IFERROR(_xll.BDP(E127&amp;" Corp","LAST_PRICE"),"--")</f>
        <v>#N/A Requesting Data...</v>
      </c>
      <c r="Y127" s="17" t="str">
        <f>IFERROR(_xll.BDP(E127&amp;" Corp","YAS_BENCHMARK_BOND_ISIN"),"--")</f>
        <v>#N/A Requesting Data...</v>
      </c>
      <c r="Z127" s="18" t="str">
        <f>IFERROR(_xll.BDP(Y127&amp;" CORP","LAST_PRICE"),"--")</f>
        <v>#N/A Requesting Data... CORP</v>
      </c>
      <c r="AA127" s="19" t="str">
        <f>IFERROR(_xll.BDP(E127&amp;" Corp","YAS_YLD_SPREAD","YAS_BOND_PX="&amp;X127,"YAS_BNCHMRK_BOND_PX="&amp;Z127),"--")</f>
        <v>#N/A Requesting Data...</v>
      </c>
      <c r="AB127" s="19" t="str">
        <f>IFERROR(_xll.BDP(E127&amp;" Corp","BLOOMBERG_MID_G_SPREAD","YAS_BOND_PX="&amp;X127,"YAS_BNCHMRK_BOND_PX="&amp;Z127),"--")</f>
        <v>#N/A Requesting Data...</v>
      </c>
      <c r="AC127" s="19" t="str">
        <f>IFERROR(_xll.BDP(D127,"LAST_PRICE"),"--")</f>
        <v>#N/A Requesting Data...</v>
      </c>
      <c r="AD127" s="20"/>
      <c r="AE127" s="19" t="str">
        <f t="shared" si="4"/>
        <v>#N/A Requesting Data...</v>
      </c>
      <c r="AF127" s="19" t="str">
        <f t="shared" si="5"/>
        <v>--</v>
      </c>
      <c r="AG127" s="21" t="str">
        <f t="shared" si="6"/>
        <v>--</v>
      </c>
      <c r="AH127" s="19" t="str">
        <f t="shared" si="7"/>
        <v>--</v>
      </c>
    </row>
    <row r="128" spans="1:34" x14ac:dyDescent="0.45">
      <c r="A128" s="22" t="s">
        <v>535</v>
      </c>
      <c r="B128" s="23" t="s">
        <v>523</v>
      </c>
      <c r="C128" s="22" t="s">
        <v>536</v>
      </c>
      <c r="D128" s="23" t="s">
        <v>537</v>
      </c>
      <c r="E128" s="23" t="s">
        <v>538</v>
      </c>
      <c r="F128" s="24">
        <v>45729</v>
      </c>
      <c r="G128" s="24">
        <v>46226</v>
      </c>
      <c r="H128" s="24">
        <v>48385</v>
      </c>
      <c r="I128" s="25">
        <v>106.4300994873047</v>
      </c>
      <c r="J128" s="25">
        <v>88.727897644042969</v>
      </c>
      <c r="K128" s="25">
        <v>122.101</v>
      </c>
      <c r="L128" s="25">
        <v>126.604</v>
      </c>
      <c r="M128" s="26">
        <v>342</v>
      </c>
      <c r="N128" s="27">
        <v>-15.67090051269531</v>
      </c>
      <c r="O128" s="28">
        <v>-29.169198242187491</v>
      </c>
      <c r="P128" s="28">
        <v>20.909792968750001</v>
      </c>
      <c r="Q128" s="28">
        <v>-7.9563942412437756</v>
      </c>
      <c r="R128" s="29">
        <v>26.95401285668088</v>
      </c>
      <c r="S128" s="28">
        <v>-33.37310235595703</v>
      </c>
      <c r="T128" s="28">
        <v>-48.29229852294921</v>
      </c>
      <c r="U128" s="28">
        <v>5.6187010498046854</v>
      </c>
      <c r="V128" s="28">
        <v>-24.56995427645856</v>
      </c>
      <c r="W128" s="30">
        <v>27.673751711575012</v>
      </c>
      <c r="X128" s="16" t="str">
        <f>IFERROR(_xll.BDP(E128&amp;" Corp","LAST_PRICE"),"--")</f>
        <v>#N/A Requesting Data...</v>
      </c>
      <c r="Y128" s="17" t="str">
        <f>IFERROR(_xll.BDP(E128&amp;" Corp","YAS_BENCHMARK_BOND_ISIN"),"--")</f>
        <v>#N/A Requesting Data...</v>
      </c>
      <c r="Z128" s="18" t="str">
        <f>IFERROR(_xll.BDP(Y128&amp;" CORP","LAST_PRICE"),"--")</f>
        <v>#N/A Requesting Data... CORP</v>
      </c>
      <c r="AA128" s="19" t="str">
        <f>IFERROR(_xll.BDP(E128&amp;" Corp","YAS_YLD_SPREAD","YAS_BOND_PX="&amp;X128,"YAS_BNCHMRK_BOND_PX="&amp;Z128),"--")</f>
        <v>#N/A Requesting Data...</v>
      </c>
      <c r="AB128" s="19" t="str">
        <f>IFERROR(_xll.BDP(E128&amp;" Corp","BLOOMBERG_MID_G_SPREAD","YAS_BOND_PX="&amp;X128,"YAS_BNCHMRK_BOND_PX="&amp;Z128),"--")</f>
        <v>#N/A Requesting Data...</v>
      </c>
      <c r="AC128" s="19" t="str">
        <f>IFERROR(_xll.BDP(D128,"LAST_PRICE"),"--")</f>
        <v>#N/A Requesting Data...</v>
      </c>
      <c r="AD128" s="20"/>
      <c r="AE128" s="19" t="str">
        <f t="shared" si="4"/>
        <v>#N/A Requesting Data...</v>
      </c>
      <c r="AF128" s="19" t="str">
        <f t="shared" si="5"/>
        <v>--</v>
      </c>
      <c r="AG128" s="21" t="str">
        <f t="shared" si="6"/>
        <v>--</v>
      </c>
      <c r="AH128" s="19" t="str">
        <f t="shared" si="7"/>
        <v>--</v>
      </c>
    </row>
    <row r="129" spans="1:34" x14ac:dyDescent="0.45">
      <c r="A129" s="7" t="s">
        <v>539</v>
      </c>
      <c r="B129" s="8" t="s">
        <v>523</v>
      </c>
      <c r="C129" s="7" t="s">
        <v>540</v>
      </c>
      <c r="D129" s="8" t="s">
        <v>541</v>
      </c>
      <c r="E129" s="8" t="s">
        <v>542</v>
      </c>
      <c r="F129" s="9">
        <v>45659</v>
      </c>
      <c r="G129" s="9">
        <v>46226</v>
      </c>
      <c r="H129" s="9">
        <v>48750</v>
      </c>
      <c r="I129" s="10">
        <v>77.539901733398438</v>
      </c>
      <c r="J129" s="10">
        <v>53.481498718261719</v>
      </c>
      <c r="K129" s="10">
        <v>69.866</v>
      </c>
      <c r="L129" s="10">
        <v>57.231999999999999</v>
      </c>
      <c r="M129" s="11">
        <v>389</v>
      </c>
      <c r="N129" s="12">
        <v>7.6739017333984378</v>
      </c>
      <c r="O129" s="13">
        <v>-19.095303771972649</v>
      </c>
      <c r="P129" s="13">
        <v>15.498496948242179</v>
      </c>
      <c r="Q129" s="13">
        <v>3.4107758873789971</v>
      </c>
      <c r="R129" s="14">
        <v>77.381510409547289</v>
      </c>
      <c r="S129" s="13">
        <v>-16.384501281738281</v>
      </c>
      <c r="T129" s="13">
        <v>-35.176602600097652</v>
      </c>
      <c r="U129" s="13">
        <v>-3.803697998046871</v>
      </c>
      <c r="V129" s="13">
        <v>-14.15850840986203</v>
      </c>
      <c r="W129" s="15">
        <v>59.899144043968988</v>
      </c>
      <c r="X129" s="16" t="str">
        <f>IFERROR(_xll.BDP(E129&amp;" Corp","LAST_PRICE"),"--")</f>
        <v>#N/A Requesting Data...</v>
      </c>
      <c r="Y129" s="17" t="str">
        <f>IFERROR(_xll.BDP(E129&amp;" Corp","YAS_BENCHMARK_BOND_ISIN"),"--")</f>
        <v>#N/A Requesting Data...</v>
      </c>
      <c r="Z129" s="18" t="str">
        <f>IFERROR(_xll.BDP(Y129&amp;" CORP","LAST_PRICE"),"--")</f>
        <v>#N/A Requesting Data... CORP</v>
      </c>
      <c r="AA129" s="19" t="str">
        <f>IFERROR(_xll.BDP(E129&amp;" Corp","YAS_YLD_SPREAD","YAS_BOND_PX="&amp;X129,"YAS_BNCHMRK_BOND_PX="&amp;Z129),"--")</f>
        <v>#N/A Requesting Data...</v>
      </c>
      <c r="AB129" s="19" t="str">
        <f>IFERROR(_xll.BDP(E129&amp;" Corp","BLOOMBERG_MID_G_SPREAD","YAS_BOND_PX="&amp;X129,"YAS_BNCHMRK_BOND_PX="&amp;Z129),"--")</f>
        <v>#N/A Requesting Data...</v>
      </c>
      <c r="AC129" s="19" t="str">
        <f>IFERROR(_xll.BDP(D129,"LAST_PRICE"),"--")</f>
        <v>#N/A Requesting Data...</v>
      </c>
      <c r="AD129" s="20"/>
      <c r="AE129" s="19" t="str">
        <f t="shared" si="4"/>
        <v>#N/A Requesting Data...</v>
      </c>
      <c r="AF129" s="19" t="str">
        <f t="shared" si="5"/>
        <v>--</v>
      </c>
      <c r="AG129" s="21" t="str">
        <f t="shared" si="6"/>
        <v>--</v>
      </c>
      <c r="AH129" s="19" t="str">
        <f t="shared" si="7"/>
        <v>--</v>
      </c>
    </row>
    <row r="130" spans="1:34" x14ac:dyDescent="0.45">
      <c r="A130" s="22" t="s">
        <v>543</v>
      </c>
      <c r="B130" s="23" t="s">
        <v>523</v>
      </c>
      <c r="C130" s="22" t="s">
        <v>544</v>
      </c>
      <c r="D130" s="23" t="s">
        <v>545</v>
      </c>
      <c r="E130" s="23" t="s">
        <v>546</v>
      </c>
      <c r="F130" s="24">
        <v>45659</v>
      </c>
      <c r="G130" s="24">
        <v>46226</v>
      </c>
      <c r="H130" s="24">
        <v>48750</v>
      </c>
      <c r="I130" s="25">
        <v>40.032901763916023</v>
      </c>
      <c r="J130" s="25">
        <v>30.310600280761719</v>
      </c>
      <c r="K130" s="25">
        <v>65.180000000000007</v>
      </c>
      <c r="L130" s="25">
        <v>50.433999999999997</v>
      </c>
      <c r="M130" s="26">
        <v>390</v>
      </c>
      <c r="N130" s="27">
        <v>-25.147098236083991</v>
      </c>
      <c r="O130" s="28">
        <v>-70.514098266601565</v>
      </c>
      <c r="P130" s="28">
        <v>-20.708199310302732</v>
      </c>
      <c r="Q130" s="28">
        <v>-36.170326415389617</v>
      </c>
      <c r="R130" s="29">
        <v>91.087604041288188</v>
      </c>
      <c r="S130" s="28">
        <v>-34.869399719238288</v>
      </c>
      <c r="T130" s="28">
        <v>-77.112200836181643</v>
      </c>
      <c r="U130" s="28">
        <v>-30.986798095703119</v>
      </c>
      <c r="V130" s="28">
        <v>-43.889670725661063</v>
      </c>
      <c r="W130" s="30">
        <v>91.582509001860942</v>
      </c>
      <c r="X130" s="16" t="str">
        <f>IFERROR(_xll.BDP(E130&amp;" Corp","LAST_PRICE"),"--")</f>
        <v>#N/A Requesting Data...</v>
      </c>
      <c r="Y130" s="17" t="str">
        <f>IFERROR(_xll.BDP(E130&amp;" Corp","YAS_BENCHMARK_BOND_ISIN"),"--")</f>
        <v>#N/A Requesting Data...</v>
      </c>
      <c r="Z130" s="18" t="str">
        <f>IFERROR(_xll.BDP(Y130&amp;" CORP","LAST_PRICE"),"--")</f>
        <v>#N/A Requesting Data... CORP</v>
      </c>
      <c r="AA130" s="19" t="str">
        <f>IFERROR(_xll.BDP(E130&amp;" Corp","YAS_YLD_SPREAD","YAS_BOND_PX="&amp;X130,"YAS_BNCHMRK_BOND_PX="&amp;Z130),"--")</f>
        <v>#N/A Requesting Data...</v>
      </c>
      <c r="AB130" s="19" t="str">
        <f>IFERROR(_xll.BDP(E130&amp;" Corp","BLOOMBERG_MID_G_SPREAD","YAS_BOND_PX="&amp;X130,"YAS_BNCHMRK_BOND_PX="&amp;Z130),"--")</f>
        <v>#N/A Requesting Data...</v>
      </c>
      <c r="AC130" s="19" t="str">
        <f>IFERROR(_xll.BDP(D130,"LAST_PRICE"),"--")</f>
        <v>#N/A Requesting Data...</v>
      </c>
      <c r="AD130" s="20"/>
      <c r="AE130" s="19" t="str">
        <f t="shared" si="4"/>
        <v>#N/A Requesting Data...</v>
      </c>
      <c r="AF130" s="19" t="str">
        <f t="shared" si="5"/>
        <v>--</v>
      </c>
      <c r="AG130" s="21" t="str">
        <f t="shared" si="6"/>
        <v>--</v>
      </c>
      <c r="AH130" s="19" t="str">
        <f t="shared" si="7"/>
        <v>--</v>
      </c>
    </row>
    <row r="131" spans="1:34" x14ac:dyDescent="0.45">
      <c r="A131" s="7" t="s">
        <v>547</v>
      </c>
      <c r="B131" s="8" t="s">
        <v>523</v>
      </c>
      <c r="C131" s="7" t="s">
        <v>548</v>
      </c>
      <c r="D131" s="8" t="s">
        <v>549</v>
      </c>
      <c r="E131" s="8" t="s">
        <v>550</v>
      </c>
      <c r="F131" s="9">
        <v>45659</v>
      </c>
      <c r="G131" s="9">
        <v>46226</v>
      </c>
      <c r="H131" s="9">
        <v>48202</v>
      </c>
      <c r="I131" s="10">
        <v>139.97259521484381</v>
      </c>
      <c r="J131" s="10">
        <v>127.36550140380859</v>
      </c>
      <c r="K131" s="10">
        <v>123.8</v>
      </c>
      <c r="L131" s="10">
        <v>126.654</v>
      </c>
      <c r="M131" s="11">
        <v>390</v>
      </c>
      <c r="N131" s="12">
        <v>16.172595214843749</v>
      </c>
      <c r="O131" s="13">
        <v>-26.649599609374999</v>
      </c>
      <c r="P131" s="13">
        <v>35.271703857421869</v>
      </c>
      <c r="Q131" s="13">
        <v>14.36293888659355</v>
      </c>
      <c r="R131" s="14">
        <v>69.155835595710059</v>
      </c>
      <c r="S131" s="13">
        <v>3.565501403808597</v>
      </c>
      <c r="T131" s="13">
        <v>-35.658693847656252</v>
      </c>
      <c r="U131" s="13">
        <v>24.787702636718759</v>
      </c>
      <c r="V131" s="13">
        <v>4.4716368658603782</v>
      </c>
      <c r="W131" s="15">
        <v>64.890874448742437</v>
      </c>
      <c r="X131" s="16" t="str">
        <f>IFERROR(_xll.BDP(E131&amp;" Corp","LAST_PRICE"),"--")</f>
        <v>#N/A Requesting Data...</v>
      </c>
      <c r="Y131" s="17" t="str">
        <f>IFERROR(_xll.BDP(E131&amp;" Corp","YAS_BENCHMARK_BOND_ISIN"),"--")</f>
        <v>#N/A Requesting Data...</v>
      </c>
      <c r="Z131" s="18" t="str">
        <f>IFERROR(_xll.BDP(Y131&amp;" CORP","LAST_PRICE"),"--")</f>
        <v>#N/A Requesting Data... CORP</v>
      </c>
      <c r="AA131" s="19" t="str">
        <f>IFERROR(_xll.BDP(E131&amp;" Corp","YAS_YLD_SPREAD","YAS_BOND_PX="&amp;X131,"YAS_BNCHMRK_BOND_PX="&amp;Z131),"--")</f>
        <v>#N/A Requesting Data...</v>
      </c>
      <c r="AB131" s="19" t="str">
        <f>IFERROR(_xll.BDP(E131&amp;" Corp","BLOOMBERG_MID_G_SPREAD","YAS_BOND_PX="&amp;X131,"YAS_BNCHMRK_BOND_PX="&amp;Z131),"--")</f>
        <v>#N/A Requesting Data...</v>
      </c>
      <c r="AC131" s="19" t="str">
        <f>IFERROR(_xll.BDP(D131,"LAST_PRICE"),"--")</f>
        <v>#N/A Requesting Data...</v>
      </c>
      <c r="AD131" s="20"/>
      <c r="AE131" s="19" t="str">
        <f t="shared" si="4"/>
        <v>#N/A Requesting Data...</v>
      </c>
      <c r="AF131" s="19" t="str">
        <f t="shared" si="5"/>
        <v>--</v>
      </c>
      <c r="AG131" s="21" t="str">
        <f t="shared" si="6"/>
        <v>--</v>
      </c>
      <c r="AH131" s="19" t="str">
        <f t="shared" si="7"/>
        <v>--</v>
      </c>
    </row>
    <row r="132" spans="1:34" x14ac:dyDescent="0.45">
      <c r="A132" s="22" t="s">
        <v>551</v>
      </c>
      <c r="B132" s="23" t="s">
        <v>523</v>
      </c>
      <c r="C132" s="22" t="s">
        <v>552</v>
      </c>
      <c r="D132" s="23" t="s">
        <v>553</v>
      </c>
      <c r="E132" s="23" t="s">
        <v>554</v>
      </c>
      <c r="F132" s="24">
        <v>45659</v>
      </c>
      <c r="G132" s="24">
        <v>46226</v>
      </c>
      <c r="H132" s="24">
        <v>48385</v>
      </c>
      <c r="I132" s="25">
        <v>81.831398010253906</v>
      </c>
      <c r="J132" s="25">
        <v>73.303802490234375</v>
      </c>
      <c r="K132" s="25">
        <v>46.145000000000003</v>
      </c>
      <c r="L132" s="25">
        <v>56.377000000000002</v>
      </c>
      <c r="M132" s="26">
        <v>390</v>
      </c>
      <c r="N132" s="27">
        <v>35.686398010253903</v>
      </c>
      <c r="O132" s="28">
        <v>-17.786300598144539</v>
      </c>
      <c r="P132" s="28">
        <v>36.131602539062499</v>
      </c>
      <c r="Q132" s="28">
        <v>6.8496416413918517</v>
      </c>
      <c r="R132" s="29">
        <v>99.174291834614436</v>
      </c>
      <c r="S132" s="28">
        <v>27.158802490234368</v>
      </c>
      <c r="T132" s="28">
        <v>-22.013999877929692</v>
      </c>
      <c r="U132" s="28">
        <v>27.767398132324221</v>
      </c>
      <c r="V132" s="28">
        <v>0.61784232498560132</v>
      </c>
      <c r="W132" s="30">
        <v>98.777463738634879</v>
      </c>
      <c r="X132" s="16" t="str">
        <f>IFERROR(_xll.BDP(E132&amp;" Corp","LAST_PRICE"),"--")</f>
        <v>#N/A Requesting Data...</v>
      </c>
      <c r="Y132" s="17" t="str">
        <f>IFERROR(_xll.BDP(E132&amp;" Corp","YAS_BENCHMARK_BOND_ISIN"),"--")</f>
        <v>#N/A Requesting Data...</v>
      </c>
      <c r="Z132" s="18" t="str">
        <f>IFERROR(_xll.BDP(Y132&amp;" CORP","LAST_PRICE"),"--")</f>
        <v>#N/A Requesting Data... CORP</v>
      </c>
      <c r="AA132" s="19" t="str">
        <f>IFERROR(_xll.BDP(E132&amp;" Corp","YAS_YLD_SPREAD","YAS_BOND_PX="&amp;X132,"YAS_BNCHMRK_BOND_PX="&amp;Z132),"--")</f>
        <v>#N/A Requesting Data...</v>
      </c>
      <c r="AB132" s="19" t="str">
        <f>IFERROR(_xll.BDP(E132&amp;" Corp","BLOOMBERG_MID_G_SPREAD","YAS_BOND_PX="&amp;X132,"YAS_BNCHMRK_BOND_PX="&amp;Z132),"--")</f>
        <v>#N/A Requesting Data...</v>
      </c>
      <c r="AC132" s="19" t="str">
        <f>IFERROR(_xll.BDP(D132,"LAST_PRICE"),"--")</f>
        <v>#N/A Requesting Data...</v>
      </c>
      <c r="AD132" s="20"/>
      <c r="AE132" s="19" t="str">
        <f t="shared" si="4"/>
        <v>#N/A Requesting Data...</v>
      </c>
      <c r="AF132" s="19" t="str">
        <f t="shared" si="5"/>
        <v>--</v>
      </c>
      <c r="AG132" s="21" t="str">
        <f t="shared" si="6"/>
        <v>--</v>
      </c>
      <c r="AH132" s="19" t="str">
        <f t="shared" si="7"/>
        <v>--</v>
      </c>
    </row>
    <row r="133" spans="1:34" x14ac:dyDescent="0.45">
      <c r="A133" s="7" t="s">
        <v>555</v>
      </c>
      <c r="B133" s="8" t="s">
        <v>523</v>
      </c>
      <c r="C133" s="7" t="s">
        <v>556</v>
      </c>
      <c r="D133" s="8" t="s">
        <v>557</v>
      </c>
      <c r="E133" s="8" t="s">
        <v>558</v>
      </c>
      <c r="F133" s="9">
        <v>45659</v>
      </c>
      <c r="G133" s="9">
        <v>46226</v>
      </c>
      <c r="H133" s="9">
        <v>48750</v>
      </c>
      <c r="I133" s="10">
        <v>42.084098815917969</v>
      </c>
      <c r="J133" s="10">
        <v>29.65730094909668</v>
      </c>
      <c r="K133" s="10">
        <v>66.039000000000001</v>
      </c>
      <c r="L133" s="10">
        <v>51.716999999999999</v>
      </c>
      <c r="M133" s="11">
        <v>390</v>
      </c>
      <c r="N133" s="12">
        <v>-23.954901184082029</v>
      </c>
      <c r="O133" s="13">
        <v>-47.985500000000002</v>
      </c>
      <c r="P133" s="13">
        <v>-12.65660061645508</v>
      </c>
      <c r="Q133" s="13">
        <v>-23.373166900087021</v>
      </c>
      <c r="R133" s="14">
        <v>68.019664453828582</v>
      </c>
      <c r="S133" s="13">
        <v>-36.381699050903322</v>
      </c>
      <c r="T133" s="13">
        <v>-59.895599029541017</v>
      </c>
      <c r="U133" s="13">
        <v>-24.232098632812491</v>
      </c>
      <c r="V133" s="13">
        <v>-34.813590469399479</v>
      </c>
      <c r="W133" s="15">
        <v>65.932675472300716</v>
      </c>
      <c r="X133" s="16" t="str">
        <f>IFERROR(_xll.BDP(E133&amp;" Corp","LAST_PRICE"),"--")</f>
        <v>#N/A Requesting Data...</v>
      </c>
      <c r="Y133" s="17" t="str">
        <f>IFERROR(_xll.BDP(E133&amp;" Corp","YAS_BENCHMARK_BOND_ISIN"),"--")</f>
        <v>#N/A Requesting Data...</v>
      </c>
      <c r="Z133" s="18" t="str">
        <f>IFERROR(_xll.BDP(Y133&amp;" CORP","LAST_PRICE"),"--")</f>
        <v>#N/A Requesting Data... CORP</v>
      </c>
      <c r="AA133" s="19" t="str">
        <f>IFERROR(_xll.BDP(E133&amp;" Corp","YAS_YLD_SPREAD","YAS_BOND_PX="&amp;X133,"YAS_BNCHMRK_BOND_PX="&amp;Z133),"--")</f>
        <v>#N/A Requesting Data...</v>
      </c>
      <c r="AB133" s="19" t="str">
        <f>IFERROR(_xll.BDP(E133&amp;" Corp","BLOOMBERG_MID_G_SPREAD","YAS_BOND_PX="&amp;X133,"YAS_BNCHMRK_BOND_PX="&amp;Z133),"--")</f>
        <v>#N/A Requesting Data...</v>
      </c>
      <c r="AC133" s="19" t="str">
        <f>IFERROR(_xll.BDP(D133,"LAST_PRICE"),"--")</f>
        <v>#N/A Requesting Data...</v>
      </c>
      <c r="AD133" s="20"/>
      <c r="AE133" s="19" t="str">
        <f t="shared" ref="AE133:AE196" si="8">IFERROR(IF(ISBLANK(AD133),AC133,AD133),"--")</f>
        <v>#N/A Requesting Data...</v>
      </c>
      <c r="AF133" s="19" t="str">
        <f t="shared" ref="AF133:AF196" si="9">IFERROR(MAX(-500,MIN(500,AE133-AB133)),"--")</f>
        <v>--</v>
      </c>
      <c r="AG133" s="21" t="str">
        <f t="shared" ref="AG133:AG196" si="10">IFERROR((AF133-T133)/(U133-T133)*100,"--")</f>
        <v>--</v>
      </c>
      <c r="AH133" s="19" t="str">
        <f t="shared" ref="AH133:AH196" si="11">IFERROR(AF133-V133,"--")</f>
        <v>--</v>
      </c>
    </row>
    <row r="134" spans="1:34" x14ac:dyDescent="0.45">
      <c r="A134" s="22" t="s">
        <v>559</v>
      </c>
      <c r="B134" s="23" t="s">
        <v>523</v>
      </c>
      <c r="C134" s="22" t="s">
        <v>560</v>
      </c>
      <c r="D134" s="23" t="s">
        <v>561</v>
      </c>
      <c r="E134" s="23" t="s">
        <v>562</v>
      </c>
      <c r="F134" s="24">
        <v>45659</v>
      </c>
      <c r="G134" s="24">
        <v>46226</v>
      </c>
      <c r="H134" s="24">
        <v>48385</v>
      </c>
      <c r="I134" s="25">
        <v>71.460403442382813</v>
      </c>
      <c r="J134" s="25">
        <v>64.777900695800781</v>
      </c>
      <c r="K134" s="25">
        <v>47.063000000000002</v>
      </c>
      <c r="L134" s="25">
        <v>56.951999999999998</v>
      </c>
      <c r="M134" s="26">
        <v>390</v>
      </c>
      <c r="N134" s="27">
        <v>24.39740344238281</v>
      </c>
      <c r="O134" s="28">
        <v>-29.545298797607419</v>
      </c>
      <c r="P134" s="28">
        <v>25.459598632812501</v>
      </c>
      <c r="Q134" s="28">
        <v>5.8424704928275846</v>
      </c>
      <c r="R134" s="29">
        <v>98.068907969925135</v>
      </c>
      <c r="S134" s="28">
        <v>17.714900695800779</v>
      </c>
      <c r="T134" s="28">
        <v>-32.676001770019518</v>
      </c>
      <c r="U134" s="28">
        <v>17.87060174560547</v>
      </c>
      <c r="V134" s="28">
        <v>1.2818748386089609</v>
      </c>
      <c r="W134" s="30">
        <v>99.691965356769103</v>
      </c>
      <c r="X134" s="16" t="str">
        <f>IFERROR(_xll.BDP(E134&amp;" Corp","LAST_PRICE"),"--")</f>
        <v>#N/A Requesting Data...</v>
      </c>
      <c r="Y134" s="17" t="str">
        <f>IFERROR(_xll.BDP(E134&amp;" Corp","YAS_BENCHMARK_BOND_ISIN"),"--")</f>
        <v>#N/A Requesting Data...</v>
      </c>
      <c r="Z134" s="18" t="str">
        <f>IFERROR(_xll.BDP(Y134&amp;" CORP","LAST_PRICE"),"--")</f>
        <v>#N/A Requesting Data... CORP</v>
      </c>
      <c r="AA134" s="19" t="str">
        <f>IFERROR(_xll.BDP(E134&amp;" Corp","YAS_YLD_SPREAD","YAS_BOND_PX="&amp;X134,"YAS_BNCHMRK_BOND_PX="&amp;Z134),"--")</f>
        <v>#N/A Requesting Data...</v>
      </c>
      <c r="AB134" s="19" t="str">
        <f>IFERROR(_xll.BDP(E134&amp;" Corp","BLOOMBERG_MID_G_SPREAD","YAS_BOND_PX="&amp;X134,"YAS_BNCHMRK_BOND_PX="&amp;Z134),"--")</f>
        <v>#N/A Requesting Data...</v>
      </c>
      <c r="AC134" s="19" t="str">
        <f>IFERROR(_xll.BDP(D134,"LAST_PRICE"),"--")</f>
        <v>#N/A Requesting Data...</v>
      </c>
      <c r="AD134" s="20"/>
      <c r="AE134" s="19" t="str">
        <f t="shared" si="8"/>
        <v>#N/A Requesting Data...</v>
      </c>
      <c r="AF134" s="19" t="str">
        <f t="shared" si="9"/>
        <v>--</v>
      </c>
      <c r="AG134" s="21" t="str">
        <f t="shared" si="10"/>
        <v>--</v>
      </c>
      <c r="AH134" s="19" t="str">
        <f t="shared" si="11"/>
        <v>--</v>
      </c>
    </row>
    <row r="135" spans="1:34" x14ac:dyDescent="0.45">
      <c r="A135" s="7" t="s">
        <v>563</v>
      </c>
      <c r="B135" s="8" t="s">
        <v>523</v>
      </c>
      <c r="C135" s="7" t="s">
        <v>564</v>
      </c>
      <c r="D135" s="8" t="s">
        <v>565</v>
      </c>
      <c r="E135" s="8" t="s">
        <v>566</v>
      </c>
      <c r="F135" s="9">
        <v>45919</v>
      </c>
      <c r="G135" s="9">
        <v>46226</v>
      </c>
      <c r="H135" s="9">
        <v>47654</v>
      </c>
      <c r="I135" s="10">
        <v>70.055900573730469</v>
      </c>
      <c r="J135" s="10">
        <v>85.558403015136719</v>
      </c>
      <c r="K135" s="10">
        <v>61.792000000000002</v>
      </c>
      <c r="L135" s="10">
        <v>58.37</v>
      </c>
      <c r="M135" s="11">
        <v>211</v>
      </c>
      <c r="N135" s="12">
        <v>8.2639005737304672</v>
      </c>
      <c r="O135" s="13">
        <v>-28.406398681640621</v>
      </c>
      <c r="P135" s="13">
        <v>20.15119750976562</v>
      </c>
      <c r="Q135" s="13">
        <v>-3.0415315930696472</v>
      </c>
      <c r="R135" s="14">
        <v>75.519181614391826</v>
      </c>
      <c r="S135" s="13">
        <v>23.766403015136721</v>
      </c>
      <c r="T135" s="13">
        <v>-8.5210028076171938</v>
      </c>
      <c r="U135" s="13">
        <v>36.951498107910147</v>
      </c>
      <c r="V135" s="13">
        <v>15.69086822538692</v>
      </c>
      <c r="W135" s="15">
        <v>71.004244703261605</v>
      </c>
      <c r="X135" s="16" t="str">
        <f>IFERROR(_xll.BDP(E135&amp;" Corp","LAST_PRICE"),"--")</f>
        <v>#N/A Requesting Data...</v>
      </c>
      <c r="Y135" s="17" t="str">
        <f>IFERROR(_xll.BDP(E135&amp;" Corp","YAS_BENCHMARK_BOND_ISIN"),"--")</f>
        <v>#N/A Requesting Data...</v>
      </c>
      <c r="Z135" s="18" t="str">
        <f>IFERROR(_xll.BDP(Y135&amp;" CORP","LAST_PRICE"),"--")</f>
        <v>#N/A Requesting Data... CORP</v>
      </c>
      <c r="AA135" s="19" t="str">
        <f>IFERROR(_xll.BDP(E135&amp;" Corp","YAS_YLD_SPREAD","YAS_BOND_PX="&amp;X135,"YAS_BNCHMRK_BOND_PX="&amp;Z135),"--")</f>
        <v>#N/A Requesting Data...</v>
      </c>
      <c r="AB135" s="19" t="str">
        <f>IFERROR(_xll.BDP(E135&amp;" Corp","BLOOMBERG_MID_G_SPREAD","YAS_BOND_PX="&amp;X135,"YAS_BNCHMRK_BOND_PX="&amp;Z135),"--")</f>
        <v>#N/A Requesting Data...</v>
      </c>
      <c r="AC135" s="19" t="str">
        <f>IFERROR(_xll.BDP(D135,"LAST_PRICE"),"--")</f>
        <v>#N/A Requesting Data...</v>
      </c>
      <c r="AD135" s="20"/>
      <c r="AE135" s="19" t="str">
        <f t="shared" si="8"/>
        <v>#N/A Requesting Data...</v>
      </c>
      <c r="AF135" s="19" t="str">
        <f t="shared" si="9"/>
        <v>--</v>
      </c>
      <c r="AG135" s="21" t="str">
        <f t="shared" si="10"/>
        <v>--</v>
      </c>
      <c r="AH135" s="19" t="str">
        <f t="shared" si="11"/>
        <v>--</v>
      </c>
    </row>
    <row r="136" spans="1:34" x14ac:dyDescent="0.45">
      <c r="A136" s="22" t="s">
        <v>567</v>
      </c>
      <c r="B136" s="23" t="s">
        <v>523</v>
      </c>
      <c r="C136" s="22" t="s">
        <v>568</v>
      </c>
      <c r="D136" s="23" t="s">
        <v>569</v>
      </c>
      <c r="E136" s="23" t="s">
        <v>570</v>
      </c>
      <c r="F136" s="24">
        <v>45659</v>
      </c>
      <c r="G136" s="24">
        <v>46226</v>
      </c>
      <c r="H136" s="24">
        <v>49115</v>
      </c>
      <c r="I136" s="25">
        <v>99.876197814941406</v>
      </c>
      <c r="J136" s="25">
        <v>71.662803649902344</v>
      </c>
      <c r="K136" s="25">
        <v>108.047</v>
      </c>
      <c r="L136" s="25">
        <v>99.400999999999996</v>
      </c>
      <c r="M136" s="26">
        <v>390</v>
      </c>
      <c r="N136" s="27">
        <v>-8.1708021850585908</v>
      </c>
      <c r="O136" s="28">
        <v>-64.839502319335935</v>
      </c>
      <c r="P136" s="28">
        <v>-5.8275006713867157</v>
      </c>
      <c r="Q136" s="28">
        <v>-23.34117786380083</v>
      </c>
      <c r="R136" s="29">
        <v>96.029110268701913</v>
      </c>
      <c r="S136" s="28">
        <v>-36.384196350097653</v>
      </c>
      <c r="T136" s="28">
        <v>-86.916398986816404</v>
      </c>
      <c r="U136" s="28">
        <v>-32.321301574707043</v>
      </c>
      <c r="V136" s="28">
        <v>-47.719998439612773</v>
      </c>
      <c r="W136" s="30">
        <v>92.558132565050698</v>
      </c>
      <c r="X136" s="16" t="str">
        <f>IFERROR(_xll.BDP(E136&amp;" Corp","LAST_PRICE"),"--")</f>
        <v>#N/A Requesting Data...</v>
      </c>
      <c r="Y136" s="17" t="str">
        <f>IFERROR(_xll.BDP(E136&amp;" Corp","YAS_BENCHMARK_BOND_ISIN"),"--")</f>
        <v>#N/A Requesting Data...</v>
      </c>
      <c r="Z136" s="18" t="str">
        <f>IFERROR(_xll.BDP(Y136&amp;" CORP","LAST_PRICE"),"--")</f>
        <v>#N/A Requesting Data... CORP</v>
      </c>
      <c r="AA136" s="19" t="str">
        <f>IFERROR(_xll.BDP(E136&amp;" Corp","YAS_YLD_SPREAD","YAS_BOND_PX="&amp;X136,"YAS_BNCHMRK_BOND_PX="&amp;Z136),"--")</f>
        <v>#N/A Requesting Data...</v>
      </c>
      <c r="AB136" s="19" t="str">
        <f>IFERROR(_xll.BDP(E136&amp;" Corp","BLOOMBERG_MID_G_SPREAD","YAS_BOND_PX="&amp;X136,"YAS_BNCHMRK_BOND_PX="&amp;Z136),"--")</f>
        <v>#N/A Requesting Data...</v>
      </c>
      <c r="AC136" s="19" t="str">
        <f>IFERROR(_xll.BDP(D136,"LAST_PRICE"),"--")</f>
        <v>#N/A Requesting Data...</v>
      </c>
      <c r="AD136" s="20"/>
      <c r="AE136" s="19" t="str">
        <f t="shared" si="8"/>
        <v>#N/A Requesting Data...</v>
      </c>
      <c r="AF136" s="19" t="str">
        <f t="shared" si="9"/>
        <v>--</v>
      </c>
      <c r="AG136" s="21" t="str">
        <f t="shared" si="10"/>
        <v>--</v>
      </c>
      <c r="AH136" s="19" t="str">
        <f t="shared" si="11"/>
        <v>--</v>
      </c>
    </row>
    <row r="137" spans="1:34" x14ac:dyDescent="0.45">
      <c r="A137" s="7" t="s">
        <v>571</v>
      </c>
      <c r="B137" s="8" t="s">
        <v>523</v>
      </c>
      <c r="C137" s="7" t="s">
        <v>572</v>
      </c>
      <c r="D137" s="8" t="s">
        <v>573</v>
      </c>
      <c r="E137" s="8" t="s">
        <v>574</v>
      </c>
      <c r="F137" s="9">
        <v>46029</v>
      </c>
      <c r="G137" s="9">
        <v>46226</v>
      </c>
      <c r="H137" s="9">
        <v>48750</v>
      </c>
      <c r="I137" s="10">
        <v>102.0549011230469</v>
      </c>
      <c r="J137" s="10">
        <v>85.780899047851563</v>
      </c>
      <c r="K137" s="10">
        <v>77.484999999999999</v>
      </c>
      <c r="L137" s="10">
        <v>77.314999999999998</v>
      </c>
      <c r="M137" s="11">
        <v>137</v>
      </c>
      <c r="N137" s="12">
        <v>24.569901123046879</v>
      </c>
      <c r="O137" s="13">
        <v>-19.634698150634762</v>
      </c>
      <c r="P137" s="13">
        <v>25.533700134277339</v>
      </c>
      <c r="Q137" s="13">
        <v>-3.022018150385279</v>
      </c>
      <c r="R137" s="14">
        <v>97.866209456551829</v>
      </c>
      <c r="S137" s="13">
        <v>8.2958990478515631</v>
      </c>
      <c r="T137" s="13">
        <v>-31.622800109863281</v>
      </c>
      <c r="U137" s="13">
        <v>11.064400817871091</v>
      </c>
      <c r="V137" s="13">
        <v>-16.334901569227231</v>
      </c>
      <c r="W137" s="15">
        <v>93.514445290740994</v>
      </c>
      <c r="X137" s="16" t="str">
        <f>IFERROR(_xll.BDP(E137&amp;" Corp","LAST_PRICE"),"--")</f>
        <v>#N/A Requesting Data...</v>
      </c>
      <c r="Y137" s="17" t="str">
        <f>IFERROR(_xll.BDP(E137&amp;" Corp","YAS_BENCHMARK_BOND_ISIN"),"--")</f>
        <v>#N/A Requesting Data...</v>
      </c>
      <c r="Z137" s="18" t="str">
        <f>IFERROR(_xll.BDP(Y137&amp;" CORP","LAST_PRICE"),"--")</f>
        <v>#N/A Requesting Data... CORP</v>
      </c>
      <c r="AA137" s="19" t="str">
        <f>IFERROR(_xll.BDP(E137&amp;" Corp","YAS_YLD_SPREAD","YAS_BOND_PX="&amp;X137,"YAS_BNCHMRK_BOND_PX="&amp;Z137),"--")</f>
        <v>#N/A Requesting Data...</v>
      </c>
      <c r="AB137" s="19" t="str">
        <f>IFERROR(_xll.BDP(E137&amp;" Corp","BLOOMBERG_MID_G_SPREAD","YAS_BOND_PX="&amp;X137,"YAS_BNCHMRK_BOND_PX="&amp;Z137),"--")</f>
        <v>#N/A Requesting Data...</v>
      </c>
      <c r="AC137" s="19" t="str">
        <f>IFERROR(_xll.BDP(D137,"LAST_PRICE"),"--")</f>
        <v>#N/A Requesting Data...</v>
      </c>
      <c r="AD137" s="20"/>
      <c r="AE137" s="19" t="str">
        <f t="shared" si="8"/>
        <v>#N/A Requesting Data...</v>
      </c>
      <c r="AF137" s="19" t="str">
        <f t="shared" si="9"/>
        <v>--</v>
      </c>
      <c r="AG137" s="21" t="str">
        <f t="shared" si="10"/>
        <v>--</v>
      </c>
      <c r="AH137" s="19" t="str">
        <f t="shared" si="11"/>
        <v>--</v>
      </c>
    </row>
    <row r="138" spans="1:34" x14ac:dyDescent="0.45">
      <c r="A138" s="22" t="s">
        <v>575</v>
      </c>
      <c r="B138" s="23" t="s">
        <v>523</v>
      </c>
      <c r="C138" s="22" t="s">
        <v>576</v>
      </c>
      <c r="D138" s="23" t="s">
        <v>577</v>
      </c>
      <c r="E138" s="23" t="s">
        <v>578</v>
      </c>
      <c r="F138" s="24">
        <v>45659</v>
      </c>
      <c r="G138" s="24">
        <v>46226</v>
      </c>
      <c r="H138" s="24">
        <v>48385</v>
      </c>
      <c r="I138" s="25">
        <v>93.495498657226563</v>
      </c>
      <c r="J138" s="25">
        <v>75.702102661132813</v>
      </c>
      <c r="K138" s="25">
        <v>96.718999999999994</v>
      </c>
      <c r="L138" s="25">
        <v>103.236</v>
      </c>
      <c r="M138" s="26">
        <v>390</v>
      </c>
      <c r="N138" s="27">
        <v>-3.223501342773432</v>
      </c>
      <c r="O138" s="28">
        <v>-66.675799255371089</v>
      </c>
      <c r="P138" s="28">
        <v>-3.223501342773432</v>
      </c>
      <c r="Q138" s="28">
        <v>-28.677726925580931</v>
      </c>
      <c r="R138" s="29">
        <v>100</v>
      </c>
      <c r="S138" s="28">
        <v>-21.016897338867182</v>
      </c>
      <c r="T138" s="28">
        <v>-80.461802368164058</v>
      </c>
      <c r="U138" s="28">
        <v>-21.016897338867182</v>
      </c>
      <c r="V138" s="28">
        <v>-43.312553350986583</v>
      </c>
      <c r="W138" s="30">
        <v>100</v>
      </c>
      <c r="X138" s="16" t="str">
        <f>IFERROR(_xll.BDP(E138&amp;" Corp","LAST_PRICE"),"--")</f>
        <v>#N/A Requesting Data...</v>
      </c>
      <c r="Y138" s="17" t="str">
        <f>IFERROR(_xll.BDP(E138&amp;" Corp","YAS_BENCHMARK_BOND_ISIN"),"--")</f>
        <v>#N/A Requesting Data...</v>
      </c>
      <c r="Z138" s="18" t="str">
        <f>IFERROR(_xll.BDP(Y138&amp;" CORP","LAST_PRICE"),"--")</f>
        <v>#N/A Requesting Data... CORP</v>
      </c>
      <c r="AA138" s="19" t="str">
        <f>IFERROR(_xll.BDP(E138&amp;" Corp","YAS_YLD_SPREAD","YAS_BOND_PX="&amp;X138,"YAS_BNCHMRK_BOND_PX="&amp;Z138),"--")</f>
        <v>#N/A Requesting Data...</v>
      </c>
      <c r="AB138" s="19" t="str">
        <f>IFERROR(_xll.BDP(E138&amp;" Corp","BLOOMBERG_MID_G_SPREAD","YAS_BOND_PX="&amp;X138,"YAS_BNCHMRK_BOND_PX="&amp;Z138),"--")</f>
        <v>#N/A Requesting Data...</v>
      </c>
      <c r="AC138" s="19" t="str">
        <f>IFERROR(_xll.BDP(D138,"LAST_PRICE"),"--")</f>
        <v>#N/A Requesting Data...</v>
      </c>
      <c r="AD138" s="20"/>
      <c r="AE138" s="19" t="str">
        <f t="shared" si="8"/>
        <v>#N/A Requesting Data...</v>
      </c>
      <c r="AF138" s="19" t="str">
        <f t="shared" si="9"/>
        <v>--</v>
      </c>
      <c r="AG138" s="21" t="str">
        <f t="shared" si="10"/>
        <v>--</v>
      </c>
      <c r="AH138" s="19" t="str">
        <f t="shared" si="11"/>
        <v>--</v>
      </c>
    </row>
    <row r="139" spans="1:34" x14ac:dyDescent="0.45">
      <c r="A139" s="7" t="s">
        <v>579</v>
      </c>
      <c r="B139" s="8" t="s">
        <v>523</v>
      </c>
      <c r="C139" s="7" t="s">
        <v>580</v>
      </c>
      <c r="D139" s="8" t="s">
        <v>581</v>
      </c>
      <c r="E139" s="8" t="s">
        <v>582</v>
      </c>
      <c r="F139" s="9">
        <v>45659</v>
      </c>
      <c r="G139" s="9">
        <v>46226</v>
      </c>
      <c r="H139" s="9">
        <v>48933</v>
      </c>
      <c r="I139" s="10">
        <v>45.41619873046875</v>
      </c>
      <c r="J139" s="10">
        <v>31.170700073242191</v>
      </c>
      <c r="K139" s="10">
        <v>69.203999999999994</v>
      </c>
      <c r="L139" s="10">
        <v>77.305999999999997</v>
      </c>
      <c r="M139" s="11">
        <v>389</v>
      </c>
      <c r="N139" s="12">
        <v>-23.78780126953124</v>
      </c>
      <c r="O139" s="13">
        <v>-55.968798675537123</v>
      </c>
      <c r="P139" s="13">
        <v>-11.79770190429687</v>
      </c>
      <c r="Q139" s="13">
        <v>-22.706453266133991</v>
      </c>
      <c r="R139" s="14">
        <v>72.855327936884933</v>
      </c>
      <c r="S139" s="13">
        <v>-38.033299926757813</v>
      </c>
      <c r="T139" s="13">
        <v>-67.741198577880866</v>
      </c>
      <c r="U139" s="13">
        <v>-26.138001190185548</v>
      </c>
      <c r="V139" s="13">
        <v>-34.957336118923102</v>
      </c>
      <c r="W139" s="15">
        <v>71.407729493189279</v>
      </c>
      <c r="X139" s="16" t="str">
        <f>IFERROR(_xll.BDP(E139&amp;" Corp","LAST_PRICE"),"--")</f>
        <v>#N/A Requesting Data...</v>
      </c>
      <c r="Y139" s="17" t="str">
        <f>IFERROR(_xll.BDP(E139&amp;" Corp","YAS_BENCHMARK_BOND_ISIN"),"--")</f>
        <v>#N/A Requesting Data...</v>
      </c>
      <c r="Z139" s="18" t="str">
        <f>IFERROR(_xll.BDP(Y139&amp;" CORP","LAST_PRICE"),"--")</f>
        <v>#N/A Requesting Data... CORP</v>
      </c>
      <c r="AA139" s="19" t="str">
        <f>IFERROR(_xll.BDP(E139&amp;" Corp","YAS_YLD_SPREAD","YAS_BOND_PX="&amp;X139,"YAS_BNCHMRK_BOND_PX="&amp;Z139),"--")</f>
        <v>#N/A Requesting Data...</v>
      </c>
      <c r="AB139" s="19" t="str">
        <f>IFERROR(_xll.BDP(E139&amp;" Corp","BLOOMBERG_MID_G_SPREAD","YAS_BOND_PX="&amp;X139,"YAS_BNCHMRK_BOND_PX="&amp;Z139),"--")</f>
        <v>#N/A Requesting Data...</v>
      </c>
      <c r="AC139" s="19" t="str">
        <f>IFERROR(_xll.BDP(D139,"LAST_PRICE"),"--")</f>
        <v>#N/A Requesting Data...</v>
      </c>
      <c r="AD139" s="20"/>
      <c r="AE139" s="19" t="str">
        <f t="shared" si="8"/>
        <v>#N/A Requesting Data...</v>
      </c>
      <c r="AF139" s="19" t="str">
        <f t="shared" si="9"/>
        <v>--</v>
      </c>
      <c r="AG139" s="21" t="str">
        <f t="shared" si="10"/>
        <v>--</v>
      </c>
      <c r="AH139" s="19" t="str">
        <f t="shared" si="11"/>
        <v>--</v>
      </c>
    </row>
    <row r="140" spans="1:34" x14ac:dyDescent="0.45">
      <c r="A140" s="22" t="s">
        <v>583</v>
      </c>
      <c r="B140" s="23" t="s">
        <v>523</v>
      </c>
      <c r="C140" s="22" t="s">
        <v>584</v>
      </c>
      <c r="D140" s="23" t="s">
        <v>585</v>
      </c>
      <c r="E140" s="23" t="s">
        <v>586</v>
      </c>
      <c r="F140" s="24">
        <v>45659</v>
      </c>
      <c r="G140" s="24">
        <v>46226</v>
      </c>
      <c r="H140" s="24">
        <v>49298</v>
      </c>
      <c r="I140" s="25">
        <v>51.222801208496087</v>
      </c>
      <c r="J140" s="25">
        <v>31.25200080871582</v>
      </c>
      <c r="K140" s="25">
        <v>83.394999999999996</v>
      </c>
      <c r="L140" s="25">
        <v>76.62</v>
      </c>
      <c r="M140" s="26">
        <v>390</v>
      </c>
      <c r="N140" s="27">
        <v>-32.172198791503902</v>
      </c>
      <c r="O140" s="28">
        <v>-57.782897399902339</v>
      </c>
      <c r="P140" s="28">
        <v>-18.4372026977539</v>
      </c>
      <c r="Q140" s="28">
        <v>-32.131839517524917</v>
      </c>
      <c r="R140" s="29">
        <v>65.091489176324004</v>
      </c>
      <c r="S140" s="28">
        <v>-52.142999191284183</v>
      </c>
      <c r="T140" s="28">
        <v>-78.998401092529292</v>
      </c>
      <c r="U140" s="28">
        <v>-39.913800140380857</v>
      </c>
      <c r="V140" s="28">
        <v>-51.121089524567438</v>
      </c>
      <c r="W140" s="30">
        <v>68.710953283428395</v>
      </c>
      <c r="X140" s="16" t="str">
        <f>IFERROR(_xll.BDP(E140&amp;" Corp","LAST_PRICE"),"--")</f>
        <v>#N/A Requesting Data...</v>
      </c>
      <c r="Y140" s="17" t="str">
        <f>IFERROR(_xll.BDP(E140&amp;" Corp","YAS_BENCHMARK_BOND_ISIN"),"--")</f>
        <v>#N/A Requesting Data...</v>
      </c>
      <c r="Z140" s="18" t="str">
        <f>IFERROR(_xll.BDP(Y140&amp;" CORP","LAST_PRICE"),"--")</f>
        <v>#N/A Requesting Data... CORP</v>
      </c>
      <c r="AA140" s="19" t="str">
        <f>IFERROR(_xll.BDP(E140&amp;" Corp","YAS_YLD_SPREAD","YAS_BOND_PX="&amp;X140,"YAS_BNCHMRK_BOND_PX="&amp;Z140),"--")</f>
        <v>#N/A Requesting Data...</v>
      </c>
      <c r="AB140" s="19" t="str">
        <f>IFERROR(_xll.BDP(E140&amp;" Corp","BLOOMBERG_MID_G_SPREAD","YAS_BOND_PX="&amp;X140,"YAS_BNCHMRK_BOND_PX="&amp;Z140),"--")</f>
        <v>#N/A Requesting Data...</v>
      </c>
      <c r="AC140" s="19" t="str">
        <f>IFERROR(_xll.BDP(D140,"LAST_PRICE"),"--")</f>
        <v>#N/A Requesting Data...</v>
      </c>
      <c r="AD140" s="20"/>
      <c r="AE140" s="19" t="str">
        <f t="shared" si="8"/>
        <v>#N/A Requesting Data...</v>
      </c>
      <c r="AF140" s="19" t="str">
        <f t="shared" si="9"/>
        <v>--</v>
      </c>
      <c r="AG140" s="21" t="str">
        <f t="shared" si="10"/>
        <v>--</v>
      </c>
      <c r="AH140" s="19" t="str">
        <f t="shared" si="11"/>
        <v>--</v>
      </c>
    </row>
    <row r="141" spans="1:34" x14ac:dyDescent="0.45">
      <c r="A141" s="7" t="s">
        <v>587</v>
      </c>
      <c r="B141" s="8" t="s">
        <v>523</v>
      </c>
      <c r="C141" s="7" t="s">
        <v>588</v>
      </c>
      <c r="D141" s="8" t="s">
        <v>589</v>
      </c>
      <c r="E141" s="8" t="s">
        <v>590</v>
      </c>
      <c r="F141" s="9">
        <v>45859</v>
      </c>
      <c r="G141" s="9">
        <v>46226</v>
      </c>
      <c r="H141" s="9">
        <v>49115</v>
      </c>
      <c r="I141" s="10">
        <v>87.122001647949219</v>
      </c>
      <c r="J141" s="10">
        <v>60.923900604248047</v>
      </c>
      <c r="K141" s="10">
        <v>77.781999999999996</v>
      </c>
      <c r="L141" s="10">
        <v>69.36</v>
      </c>
      <c r="M141" s="11">
        <v>254</v>
      </c>
      <c r="N141" s="12">
        <v>9.3400016479492223</v>
      </c>
      <c r="O141" s="13">
        <v>-10.10900030517578</v>
      </c>
      <c r="P141" s="13">
        <v>17.79829656982422</v>
      </c>
      <c r="Q141" s="13">
        <v>4.3419844612662226</v>
      </c>
      <c r="R141" s="14">
        <v>69.691457543306072</v>
      </c>
      <c r="S141" s="13">
        <v>-16.85809939575195</v>
      </c>
      <c r="T141" s="13">
        <v>-28.655898193359381</v>
      </c>
      <c r="U141" s="13">
        <v>-8.8396962890625019</v>
      </c>
      <c r="V141" s="13">
        <v>-17.787250768826709</v>
      </c>
      <c r="W141" s="15">
        <v>59.536125310921641</v>
      </c>
      <c r="X141" s="16" t="str">
        <f>IFERROR(_xll.BDP(E141&amp;" Corp","LAST_PRICE"),"--")</f>
        <v>#N/A Requesting Data...</v>
      </c>
      <c r="Y141" s="17" t="str">
        <f>IFERROR(_xll.BDP(E141&amp;" Corp","YAS_BENCHMARK_BOND_ISIN"),"--")</f>
        <v>#N/A Requesting Data...</v>
      </c>
      <c r="Z141" s="18" t="str">
        <f>IFERROR(_xll.BDP(Y141&amp;" CORP","LAST_PRICE"),"--")</f>
        <v>#N/A Requesting Data... CORP</v>
      </c>
      <c r="AA141" s="19" t="str">
        <f>IFERROR(_xll.BDP(E141&amp;" Corp","YAS_YLD_SPREAD","YAS_BOND_PX="&amp;X141,"YAS_BNCHMRK_BOND_PX="&amp;Z141),"--")</f>
        <v>#N/A Requesting Data...</v>
      </c>
      <c r="AB141" s="19" t="str">
        <f>IFERROR(_xll.BDP(E141&amp;" Corp","BLOOMBERG_MID_G_SPREAD","YAS_BOND_PX="&amp;X141,"YAS_BNCHMRK_BOND_PX="&amp;Z141),"--")</f>
        <v>#N/A Requesting Data...</v>
      </c>
      <c r="AC141" s="19" t="str">
        <f>IFERROR(_xll.BDP(D141,"LAST_PRICE"),"--")</f>
        <v>#N/A Requesting Data...</v>
      </c>
      <c r="AD141" s="20"/>
      <c r="AE141" s="19" t="str">
        <f t="shared" si="8"/>
        <v>#N/A Requesting Data...</v>
      </c>
      <c r="AF141" s="19" t="str">
        <f t="shared" si="9"/>
        <v>--</v>
      </c>
      <c r="AG141" s="21" t="str">
        <f t="shared" si="10"/>
        <v>--</v>
      </c>
      <c r="AH141" s="19" t="str">
        <f t="shared" si="11"/>
        <v>--</v>
      </c>
    </row>
    <row r="142" spans="1:34" x14ac:dyDescent="0.45">
      <c r="A142" s="22" t="s">
        <v>591</v>
      </c>
      <c r="B142" s="23" t="s">
        <v>523</v>
      </c>
      <c r="C142" s="22" t="s">
        <v>592</v>
      </c>
      <c r="D142" s="23" t="s">
        <v>593</v>
      </c>
      <c r="E142" s="23" t="s">
        <v>594</v>
      </c>
      <c r="F142" s="24">
        <v>45659</v>
      </c>
      <c r="G142" s="24">
        <v>46226</v>
      </c>
      <c r="H142" s="24">
        <v>48385</v>
      </c>
      <c r="I142" s="25">
        <v>100.3299026489258</v>
      </c>
      <c r="J142" s="25">
        <v>86.110198974609375</v>
      </c>
      <c r="K142" s="25">
        <v>125.02</v>
      </c>
      <c r="L142" s="25">
        <v>129.905</v>
      </c>
      <c r="M142" s="26">
        <v>390</v>
      </c>
      <c r="N142" s="27">
        <v>-24.690097351074211</v>
      </c>
      <c r="O142" s="28">
        <v>-45.343899047851551</v>
      </c>
      <c r="P142" s="28">
        <v>4.7986022338867258</v>
      </c>
      <c r="Q142" s="28">
        <v>-15.330973360188811</v>
      </c>
      <c r="R142" s="29">
        <v>41.190210238473639</v>
      </c>
      <c r="S142" s="28">
        <v>-38.909801025390621</v>
      </c>
      <c r="T142" s="28">
        <v>-56.336101806640613</v>
      </c>
      <c r="U142" s="28">
        <v>-6.4048023681640558</v>
      </c>
      <c r="V142" s="28">
        <v>-25.34473115390875</v>
      </c>
      <c r="W142" s="30">
        <v>34.900555317455769</v>
      </c>
      <c r="X142" s="16" t="str">
        <f>IFERROR(_xll.BDP(E142&amp;" Corp","LAST_PRICE"),"--")</f>
        <v>#N/A Requesting Data...</v>
      </c>
      <c r="Y142" s="17" t="str">
        <f>IFERROR(_xll.BDP(E142&amp;" Corp","YAS_BENCHMARK_BOND_ISIN"),"--")</f>
        <v>#N/A Requesting Data...</v>
      </c>
      <c r="Z142" s="18" t="str">
        <f>IFERROR(_xll.BDP(Y142&amp;" CORP","LAST_PRICE"),"--")</f>
        <v>#N/A Requesting Data... CORP</v>
      </c>
      <c r="AA142" s="19" t="str">
        <f>IFERROR(_xll.BDP(E142&amp;" Corp","YAS_YLD_SPREAD","YAS_BOND_PX="&amp;X142,"YAS_BNCHMRK_BOND_PX="&amp;Z142),"--")</f>
        <v>#N/A Requesting Data...</v>
      </c>
      <c r="AB142" s="19" t="str">
        <f>IFERROR(_xll.BDP(E142&amp;" Corp","BLOOMBERG_MID_G_SPREAD","YAS_BOND_PX="&amp;X142,"YAS_BNCHMRK_BOND_PX="&amp;Z142),"--")</f>
        <v>#N/A Requesting Data...</v>
      </c>
      <c r="AC142" s="19" t="str">
        <f>IFERROR(_xll.BDP(D142,"LAST_PRICE"),"--")</f>
        <v>#N/A Requesting Data...</v>
      </c>
      <c r="AD142" s="20"/>
      <c r="AE142" s="19" t="str">
        <f t="shared" si="8"/>
        <v>#N/A Requesting Data...</v>
      </c>
      <c r="AF142" s="19" t="str">
        <f t="shared" si="9"/>
        <v>--</v>
      </c>
      <c r="AG142" s="21" t="str">
        <f t="shared" si="10"/>
        <v>--</v>
      </c>
      <c r="AH142" s="19" t="str">
        <f t="shared" si="11"/>
        <v>--</v>
      </c>
    </row>
    <row r="143" spans="1:34" x14ac:dyDescent="0.45">
      <c r="A143" s="7" t="s">
        <v>595</v>
      </c>
      <c r="B143" s="8" t="s">
        <v>523</v>
      </c>
      <c r="C143" s="7" t="s">
        <v>596</v>
      </c>
      <c r="D143" s="8" t="s">
        <v>597</v>
      </c>
      <c r="E143" s="8" t="s">
        <v>598</v>
      </c>
      <c r="F143" s="9">
        <v>45659</v>
      </c>
      <c r="G143" s="9">
        <v>46226</v>
      </c>
      <c r="H143" s="9">
        <v>47837</v>
      </c>
      <c r="I143" s="10">
        <v>51.181098937988281</v>
      </c>
      <c r="J143" s="10">
        <v>57.539501190185547</v>
      </c>
      <c r="K143" s="10">
        <v>60.399000000000001</v>
      </c>
      <c r="L143" s="10">
        <v>60.223999999999997</v>
      </c>
      <c r="M143" s="11">
        <v>391</v>
      </c>
      <c r="N143" s="12">
        <v>-9.2179010620117197</v>
      </c>
      <c r="O143" s="13">
        <v>-58.233502807617192</v>
      </c>
      <c r="P143" s="13">
        <v>2.6552010192871118</v>
      </c>
      <c r="Q143" s="13">
        <v>-12.866772367979859</v>
      </c>
      <c r="R143" s="14">
        <v>80.500320527347839</v>
      </c>
      <c r="S143" s="13">
        <v>-2.859498809814454</v>
      </c>
      <c r="T143" s="13">
        <v>-51.68220275878906</v>
      </c>
      <c r="U143" s="13">
        <v>8.9970017089843779</v>
      </c>
      <c r="V143" s="13">
        <v>-6.748254377672434</v>
      </c>
      <c r="W143" s="15">
        <v>80.460356026757424</v>
      </c>
      <c r="X143" s="16" t="str">
        <f>IFERROR(_xll.BDP(E143&amp;" Corp","LAST_PRICE"),"--")</f>
        <v>#N/A Requesting Data...</v>
      </c>
      <c r="Y143" s="17" t="str">
        <f>IFERROR(_xll.BDP(E143&amp;" Corp","YAS_BENCHMARK_BOND_ISIN"),"--")</f>
        <v>#N/A Requesting Data...</v>
      </c>
      <c r="Z143" s="18" t="str">
        <f>IFERROR(_xll.BDP(Y143&amp;" CORP","LAST_PRICE"),"--")</f>
        <v>#N/A Requesting Data... CORP</v>
      </c>
      <c r="AA143" s="19" t="str">
        <f>IFERROR(_xll.BDP(E143&amp;" Corp","YAS_YLD_SPREAD","YAS_BOND_PX="&amp;X143,"YAS_BNCHMRK_BOND_PX="&amp;Z143),"--")</f>
        <v>#N/A Requesting Data...</v>
      </c>
      <c r="AB143" s="19" t="str">
        <f>IFERROR(_xll.BDP(E143&amp;" Corp","BLOOMBERG_MID_G_SPREAD","YAS_BOND_PX="&amp;X143,"YAS_BNCHMRK_BOND_PX="&amp;Z143),"--")</f>
        <v>#N/A Requesting Data...</v>
      </c>
      <c r="AC143" s="19" t="str">
        <f>IFERROR(_xll.BDP(D143,"LAST_PRICE"),"--")</f>
        <v>#N/A Requesting Data...</v>
      </c>
      <c r="AD143" s="20"/>
      <c r="AE143" s="19" t="str">
        <f t="shared" si="8"/>
        <v>#N/A Requesting Data...</v>
      </c>
      <c r="AF143" s="19" t="str">
        <f t="shared" si="9"/>
        <v>--</v>
      </c>
      <c r="AG143" s="21" t="str">
        <f t="shared" si="10"/>
        <v>--</v>
      </c>
      <c r="AH143" s="19" t="str">
        <f t="shared" si="11"/>
        <v>--</v>
      </c>
    </row>
    <row r="144" spans="1:34" x14ac:dyDescent="0.45">
      <c r="A144" s="22" t="s">
        <v>599</v>
      </c>
      <c r="B144" s="23" t="s">
        <v>523</v>
      </c>
      <c r="C144" s="22" t="s">
        <v>600</v>
      </c>
      <c r="D144" s="23" t="s">
        <v>601</v>
      </c>
      <c r="E144" s="23" t="s">
        <v>602</v>
      </c>
      <c r="F144" s="24">
        <v>45659</v>
      </c>
      <c r="G144" s="24">
        <v>46226</v>
      </c>
      <c r="H144" s="24">
        <v>48933</v>
      </c>
      <c r="I144" s="25">
        <v>42.095001220703118</v>
      </c>
      <c r="J144" s="25">
        <v>28.439899444580082</v>
      </c>
      <c r="K144" s="25">
        <v>55.527999999999999</v>
      </c>
      <c r="L144" s="25">
        <v>44.48</v>
      </c>
      <c r="M144" s="26">
        <v>390</v>
      </c>
      <c r="N144" s="27">
        <v>-13.43299877929687</v>
      </c>
      <c r="O144" s="28">
        <v>-25.431000732421879</v>
      </c>
      <c r="P144" s="28">
        <v>9.660901336669923</v>
      </c>
      <c r="Q144" s="28">
        <v>-6.6416577353453023</v>
      </c>
      <c r="R144" s="29">
        <v>34.190229784359822</v>
      </c>
      <c r="S144" s="28">
        <v>-27.088100555419921</v>
      </c>
      <c r="T144" s="28">
        <v>-38.187199615478519</v>
      </c>
      <c r="U144" s="28">
        <v>-2.6466014099121078</v>
      </c>
      <c r="V144" s="28">
        <v>-19.745593603046121</v>
      </c>
      <c r="W144" s="30">
        <v>31.229353529339988</v>
      </c>
      <c r="X144" s="16" t="str">
        <f>IFERROR(_xll.BDP(E144&amp;" Corp","LAST_PRICE"),"--")</f>
        <v>#N/A Requesting Data...</v>
      </c>
      <c r="Y144" s="17" t="str">
        <f>IFERROR(_xll.BDP(E144&amp;" Corp","YAS_BENCHMARK_BOND_ISIN"),"--")</f>
        <v>#N/A Requesting Data...</v>
      </c>
      <c r="Z144" s="18" t="str">
        <f>IFERROR(_xll.BDP(Y144&amp;" CORP","LAST_PRICE"),"--")</f>
        <v>#N/A Requesting Data... CORP</v>
      </c>
      <c r="AA144" s="19" t="str">
        <f>IFERROR(_xll.BDP(E144&amp;" Corp","YAS_YLD_SPREAD","YAS_BOND_PX="&amp;X144,"YAS_BNCHMRK_BOND_PX="&amp;Z144),"--")</f>
        <v>#N/A Requesting Data...</v>
      </c>
      <c r="AB144" s="19" t="str">
        <f>IFERROR(_xll.BDP(E144&amp;" Corp","BLOOMBERG_MID_G_SPREAD","YAS_BOND_PX="&amp;X144,"YAS_BNCHMRK_BOND_PX="&amp;Z144),"--")</f>
        <v>#N/A Requesting Data...</v>
      </c>
      <c r="AC144" s="19" t="str">
        <f>IFERROR(_xll.BDP(D144,"LAST_PRICE"),"--")</f>
        <v>#N/A Requesting Data...</v>
      </c>
      <c r="AD144" s="20"/>
      <c r="AE144" s="19" t="str">
        <f t="shared" si="8"/>
        <v>#N/A Requesting Data...</v>
      </c>
      <c r="AF144" s="19" t="str">
        <f t="shared" si="9"/>
        <v>--</v>
      </c>
      <c r="AG144" s="21" t="str">
        <f t="shared" si="10"/>
        <v>--</v>
      </c>
      <c r="AH144" s="19" t="str">
        <f t="shared" si="11"/>
        <v>--</v>
      </c>
    </row>
    <row r="145" spans="1:34" x14ac:dyDescent="0.45">
      <c r="A145" s="7" t="s">
        <v>603</v>
      </c>
      <c r="B145" s="8" t="s">
        <v>523</v>
      </c>
      <c r="C145" s="7" t="s">
        <v>604</v>
      </c>
      <c r="D145" s="8" t="s">
        <v>605</v>
      </c>
      <c r="E145" s="8" t="s">
        <v>606</v>
      </c>
      <c r="F145" s="9">
        <v>45922</v>
      </c>
      <c r="G145" s="9">
        <v>46226</v>
      </c>
      <c r="H145" s="9">
        <v>49663</v>
      </c>
      <c r="I145" s="10">
        <v>53.995201110839837</v>
      </c>
      <c r="J145" s="10">
        <v>31.408199310302731</v>
      </c>
      <c r="K145" s="10">
        <v>60.959000000000003</v>
      </c>
      <c r="L145" s="10">
        <v>59.332000000000001</v>
      </c>
      <c r="M145" s="11">
        <v>210</v>
      </c>
      <c r="N145" s="12">
        <v>-6.9637988891601594</v>
      </c>
      <c r="O145" s="13">
        <v>-15.30739920043945</v>
      </c>
      <c r="P145" s="13">
        <v>6.4521005249023418</v>
      </c>
      <c r="Q145" s="13">
        <v>-2.493454224940709</v>
      </c>
      <c r="R145" s="14">
        <v>38.344632995224941</v>
      </c>
      <c r="S145" s="13">
        <v>-29.550800689697269</v>
      </c>
      <c r="T145" s="13">
        <v>-43.300501190185543</v>
      </c>
      <c r="U145" s="13">
        <v>-1.446299133300784</v>
      </c>
      <c r="V145" s="13">
        <v>-21.600706939697261</v>
      </c>
      <c r="W145" s="15">
        <v>32.851421899767253</v>
      </c>
      <c r="X145" s="16" t="str">
        <f>IFERROR(_xll.BDP(E145&amp;" Corp","LAST_PRICE"),"--")</f>
        <v>#N/A Requesting Data...</v>
      </c>
      <c r="Y145" s="17" t="str">
        <f>IFERROR(_xll.BDP(E145&amp;" Corp","YAS_BENCHMARK_BOND_ISIN"),"--")</f>
        <v>#N/A Requesting Data...</v>
      </c>
      <c r="Z145" s="18" t="str">
        <f>IFERROR(_xll.BDP(Y145&amp;" CORP","LAST_PRICE"),"--")</f>
        <v>#N/A Requesting Data... CORP</v>
      </c>
      <c r="AA145" s="19" t="str">
        <f>IFERROR(_xll.BDP(E145&amp;" Corp","YAS_YLD_SPREAD","YAS_BOND_PX="&amp;X145,"YAS_BNCHMRK_BOND_PX="&amp;Z145),"--")</f>
        <v>#N/A Requesting Data...</v>
      </c>
      <c r="AB145" s="19" t="str">
        <f>IFERROR(_xll.BDP(E145&amp;" Corp","BLOOMBERG_MID_G_SPREAD","YAS_BOND_PX="&amp;X145,"YAS_BNCHMRK_BOND_PX="&amp;Z145),"--")</f>
        <v>#N/A Requesting Data...</v>
      </c>
      <c r="AC145" s="19" t="str">
        <f>IFERROR(_xll.BDP(D145,"LAST_PRICE"),"--")</f>
        <v>#N/A Requesting Data...</v>
      </c>
      <c r="AD145" s="20"/>
      <c r="AE145" s="19" t="str">
        <f t="shared" si="8"/>
        <v>#N/A Requesting Data...</v>
      </c>
      <c r="AF145" s="19" t="str">
        <f t="shared" si="9"/>
        <v>--</v>
      </c>
      <c r="AG145" s="21" t="str">
        <f t="shared" si="10"/>
        <v>--</v>
      </c>
      <c r="AH145" s="19" t="str">
        <f t="shared" si="11"/>
        <v>--</v>
      </c>
    </row>
    <row r="146" spans="1:34" x14ac:dyDescent="0.45">
      <c r="A146" s="22" t="s">
        <v>607</v>
      </c>
      <c r="B146" s="23" t="s">
        <v>523</v>
      </c>
      <c r="C146" s="22" t="s">
        <v>608</v>
      </c>
      <c r="D146" s="23" t="s">
        <v>609</v>
      </c>
      <c r="E146" s="23" t="s">
        <v>610</v>
      </c>
      <c r="F146" s="24">
        <v>45659</v>
      </c>
      <c r="G146" s="24">
        <v>46226</v>
      </c>
      <c r="H146" s="24">
        <v>49298</v>
      </c>
      <c r="I146" s="25">
        <v>75.840400695800781</v>
      </c>
      <c r="J146" s="25">
        <v>47.852298736572273</v>
      </c>
      <c r="K146" s="25">
        <v>77.8</v>
      </c>
      <c r="L146" s="25">
        <v>72.337000000000003</v>
      </c>
      <c r="M146" s="26">
        <v>390</v>
      </c>
      <c r="N146" s="27">
        <v>-1.9595993041992159</v>
      </c>
      <c r="O146" s="28">
        <v>-22.434901489257811</v>
      </c>
      <c r="P146" s="28">
        <v>4.7030025634765593</v>
      </c>
      <c r="Q146" s="28">
        <v>-7.6139475330841844</v>
      </c>
      <c r="R146" s="29">
        <v>75.449091961085102</v>
      </c>
      <c r="S146" s="28">
        <v>-29.947701263427732</v>
      </c>
      <c r="T146" s="28">
        <v>-46.775500549316398</v>
      </c>
      <c r="U146" s="28">
        <v>-17.289701965332029</v>
      </c>
      <c r="V146" s="28">
        <v>-31.44993148435935</v>
      </c>
      <c r="W146" s="30">
        <v>57.070861546985299</v>
      </c>
      <c r="X146" s="16" t="str">
        <f>IFERROR(_xll.BDP(E146&amp;" Corp","LAST_PRICE"),"--")</f>
        <v>#N/A Requesting Data...</v>
      </c>
      <c r="Y146" s="17" t="str">
        <f>IFERROR(_xll.BDP(E146&amp;" Corp","YAS_BENCHMARK_BOND_ISIN"),"--")</f>
        <v>#N/A Requesting Data...</v>
      </c>
      <c r="Z146" s="18" t="str">
        <f>IFERROR(_xll.BDP(Y146&amp;" CORP","LAST_PRICE"),"--")</f>
        <v>#N/A Requesting Data... CORP</v>
      </c>
      <c r="AA146" s="19" t="str">
        <f>IFERROR(_xll.BDP(E146&amp;" Corp","YAS_YLD_SPREAD","YAS_BOND_PX="&amp;X146,"YAS_BNCHMRK_BOND_PX="&amp;Z146),"--")</f>
        <v>#N/A Requesting Data...</v>
      </c>
      <c r="AB146" s="19" t="str">
        <f>IFERROR(_xll.BDP(E146&amp;" Corp","BLOOMBERG_MID_G_SPREAD","YAS_BOND_PX="&amp;X146,"YAS_BNCHMRK_BOND_PX="&amp;Z146),"--")</f>
        <v>#N/A Requesting Data...</v>
      </c>
      <c r="AC146" s="19" t="str">
        <f>IFERROR(_xll.BDP(D146,"LAST_PRICE"),"--")</f>
        <v>#N/A Requesting Data...</v>
      </c>
      <c r="AD146" s="20"/>
      <c r="AE146" s="19" t="str">
        <f t="shared" si="8"/>
        <v>#N/A Requesting Data...</v>
      </c>
      <c r="AF146" s="19" t="str">
        <f t="shared" si="9"/>
        <v>--</v>
      </c>
      <c r="AG146" s="21" t="str">
        <f t="shared" si="10"/>
        <v>--</v>
      </c>
      <c r="AH146" s="19" t="str">
        <f t="shared" si="11"/>
        <v>--</v>
      </c>
    </row>
    <row r="147" spans="1:34" x14ac:dyDescent="0.45">
      <c r="A147" s="7" t="s">
        <v>611</v>
      </c>
      <c r="B147" s="8" t="s">
        <v>523</v>
      </c>
      <c r="C147" s="7" t="s">
        <v>612</v>
      </c>
      <c r="D147" s="8" t="s">
        <v>613</v>
      </c>
      <c r="E147" s="8" t="s">
        <v>614</v>
      </c>
      <c r="F147" s="9">
        <v>45922</v>
      </c>
      <c r="G147" s="9">
        <v>46226</v>
      </c>
      <c r="H147" s="9">
        <v>49663</v>
      </c>
      <c r="I147" s="10">
        <v>137.785400390625</v>
      </c>
      <c r="J147" s="10">
        <v>93.015800476074219</v>
      </c>
      <c r="K147" s="10">
        <v>125.85</v>
      </c>
      <c r="L147" s="10">
        <v>123.88500000000001</v>
      </c>
      <c r="M147" s="11">
        <v>210</v>
      </c>
      <c r="N147" s="12">
        <v>11.935400390625009</v>
      </c>
      <c r="O147" s="13">
        <v>-26.35930120849611</v>
      </c>
      <c r="P147" s="13">
        <v>24.2478017578125</v>
      </c>
      <c r="Q147" s="13">
        <v>-2.8060868661063059</v>
      </c>
      <c r="R147" s="14">
        <v>75.670606208412281</v>
      </c>
      <c r="S147" s="13">
        <v>-32.834199523925783</v>
      </c>
      <c r="T147" s="13">
        <v>-67.271596984863294</v>
      </c>
      <c r="U147" s="13">
        <v>-19.20420172119141</v>
      </c>
      <c r="V147" s="13">
        <v>-43.518907918294268</v>
      </c>
      <c r="W147" s="15">
        <v>71.643985017354225</v>
      </c>
      <c r="X147" s="16" t="str">
        <f>IFERROR(_xll.BDP(E147&amp;" Corp","LAST_PRICE"),"--")</f>
        <v>#N/A Requesting Data...</v>
      </c>
      <c r="Y147" s="17" t="str">
        <f>IFERROR(_xll.BDP(E147&amp;" Corp","YAS_BENCHMARK_BOND_ISIN"),"--")</f>
        <v>#N/A Requesting Data...</v>
      </c>
      <c r="Z147" s="18" t="str">
        <f>IFERROR(_xll.BDP(Y147&amp;" CORP","LAST_PRICE"),"--")</f>
        <v>#N/A Requesting Data... CORP</v>
      </c>
      <c r="AA147" s="19" t="str">
        <f>IFERROR(_xll.BDP(E147&amp;" Corp","YAS_YLD_SPREAD","YAS_BOND_PX="&amp;X147,"YAS_BNCHMRK_BOND_PX="&amp;Z147),"--")</f>
        <v>#N/A Requesting Data...</v>
      </c>
      <c r="AB147" s="19" t="str">
        <f>IFERROR(_xll.BDP(E147&amp;" Corp","BLOOMBERG_MID_G_SPREAD","YAS_BOND_PX="&amp;X147,"YAS_BNCHMRK_BOND_PX="&amp;Z147),"--")</f>
        <v>#N/A Requesting Data...</v>
      </c>
      <c r="AC147" s="19" t="str">
        <f>IFERROR(_xll.BDP(D147,"LAST_PRICE"),"--")</f>
        <v>#N/A Requesting Data...</v>
      </c>
      <c r="AD147" s="20"/>
      <c r="AE147" s="19" t="str">
        <f t="shared" si="8"/>
        <v>#N/A Requesting Data...</v>
      </c>
      <c r="AF147" s="19" t="str">
        <f t="shared" si="9"/>
        <v>--</v>
      </c>
      <c r="AG147" s="21" t="str">
        <f t="shared" si="10"/>
        <v>--</v>
      </c>
      <c r="AH147" s="19" t="str">
        <f t="shared" si="11"/>
        <v>--</v>
      </c>
    </row>
    <row r="148" spans="1:34" x14ac:dyDescent="0.45">
      <c r="A148" s="22" t="s">
        <v>615</v>
      </c>
      <c r="B148" s="23" t="s">
        <v>523</v>
      </c>
      <c r="C148" s="22" t="s">
        <v>616</v>
      </c>
      <c r="D148" s="23" t="s">
        <v>617</v>
      </c>
      <c r="E148" s="23" t="s">
        <v>618</v>
      </c>
      <c r="F148" s="24">
        <v>45659</v>
      </c>
      <c r="G148" s="24">
        <v>46226</v>
      </c>
      <c r="H148" s="24">
        <v>49298</v>
      </c>
      <c r="I148" s="25">
        <v>50.525299072265618</v>
      </c>
      <c r="J148" s="25">
        <v>27.138700485229489</v>
      </c>
      <c r="K148" s="25">
        <v>80.308000000000007</v>
      </c>
      <c r="L148" s="25">
        <v>74.584999999999994</v>
      </c>
      <c r="M148" s="26">
        <v>390</v>
      </c>
      <c r="N148" s="27">
        <v>-29.782700927734378</v>
      </c>
      <c r="O148" s="28">
        <v>-53.549001770019537</v>
      </c>
      <c r="P148" s="28">
        <v>-15.156697509765619</v>
      </c>
      <c r="Q148" s="28">
        <v>-30.45762985448593</v>
      </c>
      <c r="R148" s="29">
        <v>61.903814580073281</v>
      </c>
      <c r="S148" s="28">
        <v>-53.169299514770508</v>
      </c>
      <c r="T148" s="28">
        <v>-75.397199707031263</v>
      </c>
      <c r="U148" s="28">
        <v>-39.758099792480458</v>
      </c>
      <c r="V148" s="28">
        <v>-51.418245154395471</v>
      </c>
      <c r="W148" s="30">
        <v>62.369420792205531</v>
      </c>
      <c r="X148" s="16" t="str">
        <f>IFERROR(_xll.BDP(E148&amp;" Corp","LAST_PRICE"),"--")</f>
        <v>#N/A Requesting Data...</v>
      </c>
      <c r="Y148" s="17" t="str">
        <f>IFERROR(_xll.BDP(E148&amp;" Corp","YAS_BENCHMARK_BOND_ISIN"),"--")</f>
        <v>#N/A Requesting Data...</v>
      </c>
      <c r="Z148" s="18" t="str">
        <f>IFERROR(_xll.BDP(Y148&amp;" CORP","LAST_PRICE"),"--")</f>
        <v>#N/A Requesting Data... CORP</v>
      </c>
      <c r="AA148" s="19" t="str">
        <f>IFERROR(_xll.BDP(E148&amp;" Corp","YAS_YLD_SPREAD","YAS_BOND_PX="&amp;X148,"YAS_BNCHMRK_BOND_PX="&amp;Z148),"--")</f>
        <v>#N/A Requesting Data...</v>
      </c>
      <c r="AB148" s="19" t="str">
        <f>IFERROR(_xll.BDP(E148&amp;" Corp","BLOOMBERG_MID_G_SPREAD","YAS_BOND_PX="&amp;X148,"YAS_BNCHMRK_BOND_PX="&amp;Z148),"--")</f>
        <v>#N/A Requesting Data...</v>
      </c>
      <c r="AC148" s="19" t="str">
        <f>IFERROR(_xll.BDP(D148,"LAST_PRICE"),"--")</f>
        <v>#N/A Requesting Data...</v>
      </c>
      <c r="AD148" s="20"/>
      <c r="AE148" s="19" t="str">
        <f t="shared" si="8"/>
        <v>#N/A Requesting Data...</v>
      </c>
      <c r="AF148" s="19" t="str">
        <f t="shared" si="9"/>
        <v>--</v>
      </c>
      <c r="AG148" s="21" t="str">
        <f t="shared" si="10"/>
        <v>--</v>
      </c>
      <c r="AH148" s="19" t="str">
        <f t="shared" si="11"/>
        <v>--</v>
      </c>
    </row>
    <row r="149" spans="1:34" x14ac:dyDescent="0.45">
      <c r="A149" s="7" t="s">
        <v>619</v>
      </c>
      <c r="B149" s="8" t="s">
        <v>523</v>
      </c>
      <c r="C149" s="7" t="s">
        <v>620</v>
      </c>
      <c r="D149" s="8" t="s">
        <v>621</v>
      </c>
      <c r="E149" s="8" t="s">
        <v>622</v>
      </c>
      <c r="F149" s="9">
        <v>46044</v>
      </c>
      <c r="G149" s="9">
        <v>46226</v>
      </c>
      <c r="H149" s="9">
        <v>47654</v>
      </c>
      <c r="I149" s="10">
        <v>16.079299926757809</v>
      </c>
      <c r="J149" s="10">
        <v>20.707099914550781</v>
      </c>
      <c r="K149" s="10">
        <v>29.850999999999999</v>
      </c>
      <c r="L149" s="10">
        <v>27.303999999999998</v>
      </c>
      <c r="M149" s="11">
        <v>127</v>
      </c>
      <c r="N149" s="12">
        <v>-13.77170007324219</v>
      </c>
      <c r="O149" s="13">
        <v>-23.035099822998049</v>
      </c>
      <c r="P149" s="13">
        <v>-5.316200408935547</v>
      </c>
      <c r="Q149" s="13">
        <v>-12.28286376033993</v>
      </c>
      <c r="R149" s="14">
        <v>52.279769376669179</v>
      </c>
      <c r="S149" s="13">
        <v>-9.1439000854492178</v>
      </c>
      <c r="T149" s="13">
        <v>-17.071299392700201</v>
      </c>
      <c r="U149" s="13">
        <v>1.466699447631836</v>
      </c>
      <c r="V149" s="13">
        <v>-6.8617338653324156</v>
      </c>
      <c r="W149" s="15">
        <v>42.762972290211842</v>
      </c>
      <c r="X149" s="16" t="str">
        <f>IFERROR(_xll.BDP(E149&amp;" Corp","LAST_PRICE"),"--")</f>
        <v>#N/A Requesting Data...</v>
      </c>
      <c r="Y149" s="17" t="str">
        <f>IFERROR(_xll.BDP(E149&amp;" Corp","YAS_BENCHMARK_BOND_ISIN"),"--")</f>
        <v>#N/A Requesting Data...</v>
      </c>
      <c r="Z149" s="18" t="str">
        <f>IFERROR(_xll.BDP(Y149&amp;" CORP","LAST_PRICE"),"--")</f>
        <v>#N/A Requesting Data... CORP</v>
      </c>
      <c r="AA149" s="19" t="str">
        <f>IFERROR(_xll.BDP(E149&amp;" Corp","YAS_YLD_SPREAD","YAS_BOND_PX="&amp;X149,"YAS_BNCHMRK_BOND_PX="&amp;Z149),"--")</f>
        <v>#N/A Requesting Data...</v>
      </c>
      <c r="AB149" s="19" t="str">
        <f>IFERROR(_xll.BDP(E149&amp;" Corp","BLOOMBERG_MID_G_SPREAD","YAS_BOND_PX="&amp;X149,"YAS_BNCHMRK_BOND_PX="&amp;Z149),"--")</f>
        <v>#N/A Requesting Data...</v>
      </c>
      <c r="AC149" s="19" t="str">
        <f>IFERROR(_xll.BDP(D149,"LAST_PRICE"),"--")</f>
        <v>#N/A Requesting Data...</v>
      </c>
      <c r="AD149" s="20"/>
      <c r="AE149" s="19" t="str">
        <f t="shared" si="8"/>
        <v>#N/A Requesting Data...</v>
      </c>
      <c r="AF149" s="19" t="str">
        <f t="shared" si="9"/>
        <v>--</v>
      </c>
      <c r="AG149" s="21" t="str">
        <f t="shared" si="10"/>
        <v>--</v>
      </c>
      <c r="AH149" s="19" t="str">
        <f t="shared" si="11"/>
        <v>--</v>
      </c>
    </row>
    <row r="150" spans="1:34" x14ac:dyDescent="0.45">
      <c r="A150" s="22" t="s">
        <v>623</v>
      </c>
      <c r="B150" s="23" t="s">
        <v>523</v>
      </c>
      <c r="C150" s="22" t="s">
        <v>624</v>
      </c>
      <c r="D150" s="23" t="s">
        <v>625</v>
      </c>
      <c r="E150" s="23" t="s">
        <v>626</v>
      </c>
      <c r="F150" s="24">
        <v>45659</v>
      </c>
      <c r="G150" s="24">
        <v>46226</v>
      </c>
      <c r="H150" s="24">
        <v>48019</v>
      </c>
      <c r="I150" s="25">
        <v>42.524101257324219</v>
      </c>
      <c r="J150" s="25">
        <v>42.524101257324219</v>
      </c>
      <c r="K150" s="25">
        <v>54.317</v>
      </c>
      <c r="L150" s="25">
        <v>54.058</v>
      </c>
      <c r="M150" s="26">
        <v>390</v>
      </c>
      <c r="N150" s="27">
        <v>-11.79289874267578</v>
      </c>
      <c r="O150" s="28">
        <v>-40.479603271484379</v>
      </c>
      <c r="P150" s="28">
        <v>5.4207023315429694</v>
      </c>
      <c r="Q150" s="28">
        <v>-8.4197631170028302</v>
      </c>
      <c r="R150" s="29">
        <v>62.497850835478033</v>
      </c>
      <c r="S150" s="28">
        <v>-11.79289874267578</v>
      </c>
      <c r="T150" s="28">
        <v>-40.479603271484379</v>
      </c>
      <c r="U150" s="28">
        <v>5.4207023315429694</v>
      </c>
      <c r="V150" s="28">
        <v>-8.4197631170028302</v>
      </c>
      <c r="W150" s="30">
        <v>62.497850835478033</v>
      </c>
      <c r="X150" s="16" t="str">
        <f>IFERROR(_xll.BDP(E150&amp;" Corp","LAST_PRICE"),"--")</f>
        <v>#N/A Requesting Data...</v>
      </c>
      <c r="Y150" s="17" t="str">
        <f>IFERROR(_xll.BDP(E150&amp;" Corp","YAS_BENCHMARK_BOND_ISIN"),"--")</f>
        <v>#N/A Requesting Data...</v>
      </c>
      <c r="Z150" s="18" t="str">
        <f>IFERROR(_xll.BDP(Y150&amp;" CORP","LAST_PRICE"),"--")</f>
        <v>#N/A Requesting Data... CORP</v>
      </c>
      <c r="AA150" s="19" t="str">
        <f>IFERROR(_xll.BDP(E150&amp;" Corp","YAS_YLD_SPREAD","YAS_BOND_PX="&amp;X150,"YAS_BNCHMRK_BOND_PX="&amp;Z150),"--")</f>
        <v>#N/A Requesting Data...</v>
      </c>
      <c r="AB150" s="19" t="str">
        <f>IFERROR(_xll.BDP(E150&amp;" Corp","BLOOMBERG_MID_G_SPREAD","YAS_BOND_PX="&amp;X150,"YAS_BNCHMRK_BOND_PX="&amp;Z150),"--")</f>
        <v>#N/A Requesting Data...</v>
      </c>
      <c r="AC150" s="19" t="str">
        <f>IFERROR(_xll.BDP(D150,"LAST_PRICE"),"--")</f>
        <v>#N/A Requesting Data...</v>
      </c>
      <c r="AD150" s="20"/>
      <c r="AE150" s="19" t="str">
        <f t="shared" si="8"/>
        <v>#N/A Requesting Data...</v>
      </c>
      <c r="AF150" s="19" t="str">
        <f t="shared" si="9"/>
        <v>--</v>
      </c>
      <c r="AG150" s="21" t="str">
        <f t="shared" si="10"/>
        <v>--</v>
      </c>
      <c r="AH150" s="19" t="str">
        <f t="shared" si="11"/>
        <v>--</v>
      </c>
    </row>
    <row r="151" spans="1:34" x14ac:dyDescent="0.45">
      <c r="A151" s="7" t="s">
        <v>627</v>
      </c>
      <c r="B151" s="8" t="s">
        <v>523</v>
      </c>
      <c r="C151" s="7" t="s">
        <v>628</v>
      </c>
      <c r="D151" s="8" t="s">
        <v>629</v>
      </c>
      <c r="E151" s="8" t="s">
        <v>630</v>
      </c>
      <c r="F151" s="9">
        <v>45659</v>
      </c>
      <c r="G151" s="9">
        <v>46226</v>
      </c>
      <c r="H151" s="9">
        <v>49115</v>
      </c>
      <c r="I151" s="10">
        <v>90.904800415039063</v>
      </c>
      <c r="J151" s="10">
        <v>69.634002685546875</v>
      </c>
      <c r="K151" s="10">
        <v>95.971000000000004</v>
      </c>
      <c r="L151" s="10">
        <v>91.593000000000004</v>
      </c>
      <c r="M151" s="11">
        <v>390</v>
      </c>
      <c r="N151" s="12">
        <v>-5.0661995849609411</v>
      </c>
      <c r="O151" s="13">
        <v>-18.301699584960939</v>
      </c>
      <c r="P151" s="13">
        <v>12.349700683593751</v>
      </c>
      <c r="Q151" s="13">
        <v>-2.9530611653645829</v>
      </c>
      <c r="R151" s="14">
        <v>43.180735248752462</v>
      </c>
      <c r="S151" s="13">
        <v>-26.336997314453129</v>
      </c>
      <c r="T151" s="13">
        <v>-39.744097656250013</v>
      </c>
      <c r="U151" s="13">
        <v>-6.4026987609863264</v>
      </c>
      <c r="V151" s="13">
        <v>-21.511099309598482</v>
      </c>
      <c r="W151" s="15">
        <v>40.211571157865919</v>
      </c>
      <c r="X151" s="16" t="str">
        <f>IFERROR(_xll.BDP(E151&amp;" Corp","LAST_PRICE"),"--")</f>
        <v>#N/A Requesting Data...</v>
      </c>
      <c r="Y151" s="17" t="str">
        <f>IFERROR(_xll.BDP(E151&amp;" Corp","YAS_BENCHMARK_BOND_ISIN"),"--")</f>
        <v>#N/A Requesting Data...</v>
      </c>
      <c r="Z151" s="18" t="str">
        <f>IFERROR(_xll.BDP(Y151&amp;" CORP","LAST_PRICE"),"--")</f>
        <v>#N/A Requesting Data... CORP</v>
      </c>
      <c r="AA151" s="19" t="str">
        <f>IFERROR(_xll.BDP(E151&amp;" Corp","YAS_YLD_SPREAD","YAS_BOND_PX="&amp;X151,"YAS_BNCHMRK_BOND_PX="&amp;Z151),"--")</f>
        <v>#N/A Requesting Data...</v>
      </c>
      <c r="AB151" s="19" t="str">
        <f>IFERROR(_xll.BDP(E151&amp;" Corp","BLOOMBERG_MID_G_SPREAD","YAS_BOND_PX="&amp;X151,"YAS_BNCHMRK_BOND_PX="&amp;Z151),"--")</f>
        <v>#N/A Requesting Data...</v>
      </c>
      <c r="AC151" s="19" t="str">
        <f>IFERROR(_xll.BDP(D151,"LAST_PRICE"),"--")</f>
        <v>#N/A Requesting Data...</v>
      </c>
      <c r="AD151" s="20"/>
      <c r="AE151" s="19" t="str">
        <f t="shared" si="8"/>
        <v>#N/A Requesting Data...</v>
      </c>
      <c r="AF151" s="19" t="str">
        <f t="shared" si="9"/>
        <v>--</v>
      </c>
      <c r="AG151" s="21" t="str">
        <f t="shared" si="10"/>
        <v>--</v>
      </c>
      <c r="AH151" s="19" t="str">
        <f t="shared" si="11"/>
        <v>--</v>
      </c>
    </row>
    <row r="152" spans="1:34" x14ac:dyDescent="0.45">
      <c r="A152" s="22" t="s">
        <v>631</v>
      </c>
      <c r="B152" s="23" t="s">
        <v>523</v>
      </c>
      <c r="C152" s="22" t="s">
        <v>632</v>
      </c>
      <c r="D152" s="23" t="s">
        <v>633</v>
      </c>
      <c r="E152" s="23" t="s">
        <v>634</v>
      </c>
      <c r="F152" s="24">
        <v>45968</v>
      </c>
      <c r="G152" s="24">
        <v>46226</v>
      </c>
      <c r="H152" s="24">
        <v>49298</v>
      </c>
      <c r="I152" s="25">
        <v>91.69580078125</v>
      </c>
      <c r="J152" s="25">
        <v>51.748401641845703</v>
      </c>
      <c r="K152" s="25">
        <v>83.013999999999996</v>
      </c>
      <c r="L152" s="25">
        <v>78.730999999999995</v>
      </c>
      <c r="M152" s="26">
        <v>177</v>
      </c>
      <c r="N152" s="27">
        <v>8.6818007812500042</v>
      </c>
      <c r="O152" s="28">
        <v>-20.512200927734369</v>
      </c>
      <c r="P152" s="28">
        <v>9.3859014282226525</v>
      </c>
      <c r="Q152" s="28">
        <v>-0.71103102172161903</v>
      </c>
      <c r="R152" s="29">
        <v>97.644998874544413</v>
      </c>
      <c r="S152" s="28">
        <v>-31.265598358154289</v>
      </c>
      <c r="T152" s="28">
        <v>-54.300000762939447</v>
      </c>
      <c r="U152" s="28">
        <v>-28.5209984741211</v>
      </c>
      <c r="V152" s="28">
        <v>-38.098007339218917</v>
      </c>
      <c r="W152" s="30">
        <v>89.353351020789262</v>
      </c>
      <c r="X152" s="16" t="str">
        <f>IFERROR(_xll.BDP(E152&amp;" Corp","LAST_PRICE"),"--")</f>
        <v>#N/A Requesting Data...</v>
      </c>
      <c r="Y152" s="17" t="str">
        <f>IFERROR(_xll.BDP(E152&amp;" Corp","YAS_BENCHMARK_BOND_ISIN"),"--")</f>
        <v>#N/A Requesting Data...</v>
      </c>
      <c r="Z152" s="18" t="str">
        <f>IFERROR(_xll.BDP(Y152&amp;" CORP","LAST_PRICE"),"--")</f>
        <v>#N/A Requesting Data... CORP</v>
      </c>
      <c r="AA152" s="19" t="str">
        <f>IFERROR(_xll.BDP(E152&amp;" Corp","YAS_YLD_SPREAD","YAS_BOND_PX="&amp;X152,"YAS_BNCHMRK_BOND_PX="&amp;Z152),"--")</f>
        <v>#N/A Requesting Data...</v>
      </c>
      <c r="AB152" s="19" t="str">
        <f>IFERROR(_xll.BDP(E152&amp;" Corp","BLOOMBERG_MID_G_SPREAD","YAS_BOND_PX="&amp;X152,"YAS_BNCHMRK_BOND_PX="&amp;Z152),"--")</f>
        <v>#N/A Requesting Data...</v>
      </c>
      <c r="AC152" s="19" t="str">
        <f>IFERROR(_xll.BDP(D152,"LAST_PRICE"),"--")</f>
        <v>#N/A Requesting Data...</v>
      </c>
      <c r="AD152" s="20"/>
      <c r="AE152" s="19" t="str">
        <f t="shared" si="8"/>
        <v>#N/A Requesting Data...</v>
      </c>
      <c r="AF152" s="19" t="str">
        <f t="shared" si="9"/>
        <v>--</v>
      </c>
      <c r="AG152" s="21" t="str">
        <f t="shared" si="10"/>
        <v>--</v>
      </c>
      <c r="AH152" s="19" t="str">
        <f t="shared" si="11"/>
        <v>--</v>
      </c>
    </row>
    <row r="153" spans="1:34" x14ac:dyDescent="0.45">
      <c r="A153" s="7" t="s">
        <v>635</v>
      </c>
      <c r="B153" s="8" t="s">
        <v>523</v>
      </c>
      <c r="C153" s="7" t="s">
        <v>636</v>
      </c>
      <c r="D153" s="8" t="s">
        <v>637</v>
      </c>
      <c r="E153" s="8" t="s">
        <v>638</v>
      </c>
      <c r="F153" s="9">
        <v>45659</v>
      </c>
      <c r="G153" s="9">
        <v>46226</v>
      </c>
      <c r="H153" s="9">
        <v>48568</v>
      </c>
      <c r="I153" s="10">
        <v>84.875</v>
      </c>
      <c r="J153" s="10">
        <v>66.397499084472656</v>
      </c>
      <c r="K153" s="10">
        <v>81.826999999999998</v>
      </c>
      <c r="L153" s="10">
        <v>90.254000000000005</v>
      </c>
      <c r="M153" s="11">
        <v>391</v>
      </c>
      <c r="N153" s="12">
        <v>3.0480000000000018</v>
      </c>
      <c r="O153" s="13">
        <v>-57.55300378417968</v>
      </c>
      <c r="P153" s="13">
        <v>26.62400207519531</v>
      </c>
      <c r="Q153" s="13">
        <v>-4.5330340825932121</v>
      </c>
      <c r="R153" s="14">
        <v>71.992348938401221</v>
      </c>
      <c r="S153" s="13">
        <v>-15.42950091552734</v>
      </c>
      <c r="T153" s="13">
        <v>-69.959696289062492</v>
      </c>
      <c r="U153" s="13">
        <v>7.5638977050781193</v>
      </c>
      <c r="V153" s="13">
        <v>-18.838136848000921</v>
      </c>
      <c r="W153" s="15">
        <v>70.340128164925702</v>
      </c>
      <c r="X153" s="16" t="str">
        <f>IFERROR(_xll.BDP(E153&amp;" Corp","LAST_PRICE"),"--")</f>
        <v>#N/A Requesting Data...</v>
      </c>
      <c r="Y153" s="17" t="str">
        <f>IFERROR(_xll.BDP(E153&amp;" Corp","YAS_BENCHMARK_BOND_ISIN"),"--")</f>
        <v>#N/A Requesting Data...</v>
      </c>
      <c r="Z153" s="18" t="str">
        <f>IFERROR(_xll.BDP(Y153&amp;" CORP","LAST_PRICE"),"--")</f>
        <v>#N/A Requesting Data... CORP</v>
      </c>
      <c r="AA153" s="19" t="str">
        <f>IFERROR(_xll.BDP(E153&amp;" Corp","YAS_YLD_SPREAD","YAS_BOND_PX="&amp;X153,"YAS_BNCHMRK_BOND_PX="&amp;Z153),"--")</f>
        <v>#N/A Requesting Data...</v>
      </c>
      <c r="AB153" s="19" t="str">
        <f>IFERROR(_xll.BDP(E153&amp;" Corp","BLOOMBERG_MID_G_SPREAD","YAS_BOND_PX="&amp;X153,"YAS_BNCHMRK_BOND_PX="&amp;Z153),"--")</f>
        <v>#N/A Requesting Data...</v>
      </c>
      <c r="AC153" s="19" t="str">
        <f>IFERROR(_xll.BDP(D153,"LAST_PRICE"),"--")</f>
        <v>#N/A Requesting Data...</v>
      </c>
      <c r="AD153" s="20"/>
      <c r="AE153" s="19" t="str">
        <f t="shared" si="8"/>
        <v>#N/A Requesting Data...</v>
      </c>
      <c r="AF153" s="19" t="str">
        <f t="shared" si="9"/>
        <v>--</v>
      </c>
      <c r="AG153" s="21" t="str">
        <f t="shared" si="10"/>
        <v>--</v>
      </c>
      <c r="AH153" s="19" t="str">
        <f t="shared" si="11"/>
        <v>--</v>
      </c>
    </row>
    <row r="154" spans="1:34" x14ac:dyDescent="0.45">
      <c r="A154" s="22" t="s">
        <v>639</v>
      </c>
      <c r="B154" s="23" t="s">
        <v>523</v>
      </c>
      <c r="C154" s="22" t="s">
        <v>640</v>
      </c>
      <c r="D154" s="23" t="s">
        <v>641</v>
      </c>
      <c r="E154" s="23" t="s">
        <v>642</v>
      </c>
      <c r="F154" s="24">
        <v>46044</v>
      </c>
      <c r="G154" s="24">
        <v>46226</v>
      </c>
      <c r="H154" s="24">
        <v>48385</v>
      </c>
      <c r="I154" s="25">
        <v>41.533599853515618</v>
      </c>
      <c r="J154" s="25">
        <v>31.5</v>
      </c>
      <c r="K154" s="25">
        <v>46.570999999999998</v>
      </c>
      <c r="L154" s="25">
        <v>50.537999999999997</v>
      </c>
      <c r="M154" s="26">
        <v>127</v>
      </c>
      <c r="N154" s="27">
        <v>-5.037400146484373</v>
      </c>
      <c r="O154" s="28">
        <v>-15.212300964355469</v>
      </c>
      <c r="P154" s="28">
        <v>3.058100311279297</v>
      </c>
      <c r="Q154" s="28">
        <v>-3.5494062754713638</v>
      </c>
      <c r="R154" s="29">
        <v>55.690625861842712</v>
      </c>
      <c r="S154" s="28">
        <v>-15.071</v>
      </c>
      <c r="T154" s="28">
        <v>-22.47500009155274</v>
      </c>
      <c r="U154" s="28">
        <v>-5.43710040283203</v>
      </c>
      <c r="V154" s="28">
        <v>-12.561006184134889</v>
      </c>
      <c r="W154" s="30">
        <v>43.456061056952201</v>
      </c>
      <c r="X154" s="16" t="str">
        <f>IFERROR(_xll.BDP(E154&amp;" Corp","LAST_PRICE"),"--")</f>
        <v>#N/A Requesting Data...</v>
      </c>
      <c r="Y154" s="17" t="str">
        <f>IFERROR(_xll.BDP(E154&amp;" Corp","YAS_BENCHMARK_BOND_ISIN"),"--")</f>
        <v>#N/A Requesting Data...</v>
      </c>
      <c r="Z154" s="18" t="str">
        <f>IFERROR(_xll.BDP(Y154&amp;" CORP","LAST_PRICE"),"--")</f>
        <v>#N/A Requesting Data... CORP</v>
      </c>
      <c r="AA154" s="19" t="str">
        <f>IFERROR(_xll.BDP(E154&amp;" Corp","YAS_YLD_SPREAD","YAS_BOND_PX="&amp;X154,"YAS_BNCHMRK_BOND_PX="&amp;Z154),"--")</f>
        <v>#N/A Requesting Data...</v>
      </c>
      <c r="AB154" s="19" t="str">
        <f>IFERROR(_xll.BDP(E154&amp;" Corp","BLOOMBERG_MID_G_SPREAD","YAS_BOND_PX="&amp;X154,"YAS_BNCHMRK_BOND_PX="&amp;Z154),"--")</f>
        <v>#N/A Requesting Data...</v>
      </c>
      <c r="AC154" s="19" t="str">
        <f>IFERROR(_xll.BDP(D154,"LAST_PRICE"),"--")</f>
        <v>#N/A Requesting Data...</v>
      </c>
      <c r="AD154" s="20"/>
      <c r="AE154" s="19" t="str">
        <f t="shared" si="8"/>
        <v>#N/A Requesting Data...</v>
      </c>
      <c r="AF154" s="19" t="str">
        <f t="shared" si="9"/>
        <v>--</v>
      </c>
      <c r="AG154" s="21" t="str">
        <f t="shared" si="10"/>
        <v>--</v>
      </c>
      <c r="AH154" s="19" t="str">
        <f t="shared" si="11"/>
        <v>--</v>
      </c>
    </row>
    <row r="155" spans="1:34" x14ac:dyDescent="0.45">
      <c r="A155" s="7" t="s">
        <v>643</v>
      </c>
      <c r="B155" s="8" t="s">
        <v>523</v>
      </c>
      <c r="C155" s="7" t="s">
        <v>644</v>
      </c>
      <c r="D155" s="8" t="s">
        <v>645</v>
      </c>
      <c r="E155" s="8" t="s">
        <v>646</v>
      </c>
      <c r="F155" s="9">
        <v>45659</v>
      </c>
      <c r="G155" s="9">
        <v>46226</v>
      </c>
      <c r="H155" s="9">
        <v>48019</v>
      </c>
      <c r="I155" s="10">
        <v>86.841796875</v>
      </c>
      <c r="J155" s="10">
        <v>86.841796875</v>
      </c>
      <c r="K155" s="10">
        <v>123.661</v>
      </c>
      <c r="L155" s="10">
        <v>124.625</v>
      </c>
      <c r="M155" s="11">
        <v>390</v>
      </c>
      <c r="N155" s="12">
        <v>-36.819203125000001</v>
      </c>
      <c r="O155" s="13">
        <v>-84.970601898193365</v>
      </c>
      <c r="P155" s="13">
        <v>-28.02920227050781</v>
      </c>
      <c r="Q155" s="13">
        <v>-51.334900043194118</v>
      </c>
      <c r="R155" s="14">
        <v>84.563075526829181</v>
      </c>
      <c r="S155" s="13">
        <v>-36.819203125000001</v>
      </c>
      <c r="T155" s="13">
        <v>-84.970601898193365</v>
      </c>
      <c r="U155" s="13">
        <v>-28.02920227050781</v>
      </c>
      <c r="V155" s="13">
        <v>-51.334900043194118</v>
      </c>
      <c r="W155" s="15">
        <v>84.563075526829181</v>
      </c>
      <c r="X155" s="16" t="str">
        <f>IFERROR(_xll.BDP(E155&amp;" Corp","LAST_PRICE"),"--")</f>
        <v>#N/A Requesting Data...</v>
      </c>
      <c r="Y155" s="17" t="str">
        <f>IFERROR(_xll.BDP(E155&amp;" Corp","YAS_BENCHMARK_BOND_ISIN"),"--")</f>
        <v>#N/A Requesting Data...</v>
      </c>
      <c r="Z155" s="18" t="str">
        <f>IFERROR(_xll.BDP(Y155&amp;" CORP","LAST_PRICE"),"--")</f>
        <v>#N/A Requesting Data... CORP</v>
      </c>
      <c r="AA155" s="19" t="str">
        <f>IFERROR(_xll.BDP(E155&amp;" Corp","YAS_YLD_SPREAD","YAS_BOND_PX="&amp;X155,"YAS_BNCHMRK_BOND_PX="&amp;Z155),"--")</f>
        <v>#N/A Requesting Data...</v>
      </c>
      <c r="AB155" s="19" t="str">
        <f>IFERROR(_xll.BDP(E155&amp;" Corp","BLOOMBERG_MID_G_SPREAD","YAS_BOND_PX="&amp;X155,"YAS_BNCHMRK_BOND_PX="&amp;Z155),"--")</f>
        <v>#N/A Requesting Data...</v>
      </c>
      <c r="AC155" s="19" t="str">
        <f>IFERROR(_xll.BDP(D155,"LAST_PRICE"),"--")</f>
        <v>#N/A Requesting Data...</v>
      </c>
      <c r="AD155" s="20"/>
      <c r="AE155" s="19" t="str">
        <f t="shared" si="8"/>
        <v>#N/A Requesting Data...</v>
      </c>
      <c r="AF155" s="19" t="str">
        <f t="shared" si="9"/>
        <v>--</v>
      </c>
      <c r="AG155" s="21" t="str">
        <f t="shared" si="10"/>
        <v>--</v>
      </c>
      <c r="AH155" s="19" t="str">
        <f t="shared" si="11"/>
        <v>--</v>
      </c>
    </row>
    <row r="156" spans="1:34" x14ac:dyDescent="0.45">
      <c r="A156" s="22" t="s">
        <v>647</v>
      </c>
      <c r="B156" s="23" t="s">
        <v>523</v>
      </c>
      <c r="C156" s="22" t="s">
        <v>648</v>
      </c>
      <c r="D156" s="23" t="s">
        <v>649</v>
      </c>
      <c r="E156" s="23" t="s">
        <v>650</v>
      </c>
      <c r="F156" s="24">
        <v>46003</v>
      </c>
      <c r="G156" s="24">
        <v>46226</v>
      </c>
      <c r="H156" s="24">
        <v>48019</v>
      </c>
      <c r="I156" s="25">
        <v>91.701301574707031</v>
      </c>
      <c r="J156" s="25">
        <v>91.701301574707031</v>
      </c>
      <c r="K156" s="25">
        <v>96.259</v>
      </c>
      <c r="L156" s="25">
        <v>96.935000000000002</v>
      </c>
      <c r="M156" s="26">
        <v>154</v>
      </c>
      <c r="N156" s="27">
        <v>-4.5576984252929691</v>
      </c>
      <c r="O156" s="28">
        <v>-47.205402038574221</v>
      </c>
      <c r="P156" s="28">
        <v>-4.5576984252929691</v>
      </c>
      <c r="Q156" s="28">
        <v>-20.2635575833011</v>
      </c>
      <c r="R156" s="29">
        <v>100</v>
      </c>
      <c r="S156" s="28">
        <v>-4.5576984252929691</v>
      </c>
      <c r="T156" s="28">
        <v>-47.205402038574221</v>
      </c>
      <c r="U156" s="28">
        <v>-4.5576984252929691</v>
      </c>
      <c r="V156" s="28">
        <v>-20.2635575833011</v>
      </c>
      <c r="W156" s="30">
        <v>100</v>
      </c>
      <c r="X156" s="16" t="str">
        <f>IFERROR(_xll.BDP(E156&amp;" Corp","LAST_PRICE"),"--")</f>
        <v>#N/A Requesting Data...</v>
      </c>
      <c r="Y156" s="17" t="str">
        <f>IFERROR(_xll.BDP(E156&amp;" Corp","YAS_BENCHMARK_BOND_ISIN"),"--")</f>
        <v>#N/A Requesting Data...</v>
      </c>
      <c r="Z156" s="18" t="str">
        <f>IFERROR(_xll.BDP(Y156&amp;" CORP","LAST_PRICE"),"--")</f>
        <v>#N/A Requesting Data... CORP</v>
      </c>
      <c r="AA156" s="19" t="str">
        <f>IFERROR(_xll.BDP(E156&amp;" Corp","YAS_YLD_SPREAD","YAS_BOND_PX="&amp;X156,"YAS_BNCHMRK_BOND_PX="&amp;Z156),"--")</f>
        <v>#N/A Requesting Data...</v>
      </c>
      <c r="AB156" s="19" t="str">
        <f>IFERROR(_xll.BDP(E156&amp;" Corp","BLOOMBERG_MID_G_SPREAD","YAS_BOND_PX="&amp;X156,"YAS_BNCHMRK_BOND_PX="&amp;Z156),"--")</f>
        <v>#N/A Requesting Data...</v>
      </c>
      <c r="AC156" s="19" t="str">
        <f>IFERROR(_xll.BDP(D156,"LAST_PRICE"),"--")</f>
        <v>#N/A Requesting Data...</v>
      </c>
      <c r="AD156" s="20"/>
      <c r="AE156" s="19" t="str">
        <f t="shared" si="8"/>
        <v>#N/A Requesting Data...</v>
      </c>
      <c r="AF156" s="19" t="str">
        <f t="shared" si="9"/>
        <v>--</v>
      </c>
      <c r="AG156" s="21" t="str">
        <f t="shared" si="10"/>
        <v>--</v>
      </c>
      <c r="AH156" s="19" t="str">
        <f t="shared" si="11"/>
        <v>--</v>
      </c>
    </row>
    <row r="157" spans="1:34" x14ac:dyDescent="0.45">
      <c r="A157" s="7" t="s">
        <v>651</v>
      </c>
      <c r="B157" s="8" t="s">
        <v>523</v>
      </c>
      <c r="C157" s="7" t="s">
        <v>652</v>
      </c>
      <c r="D157" s="8" t="s">
        <v>653</v>
      </c>
      <c r="E157" s="8" t="s">
        <v>654</v>
      </c>
      <c r="F157" s="9">
        <v>45708</v>
      </c>
      <c r="G157" s="9">
        <v>46226</v>
      </c>
      <c r="H157" s="9">
        <v>48385</v>
      </c>
      <c r="I157" s="10">
        <v>38.43280029296875</v>
      </c>
      <c r="J157" s="10">
        <v>33</v>
      </c>
      <c r="K157" s="10">
        <v>46.667000000000002</v>
      </c>
      <c r="L157" s="10">
        <v>52.344999999999999</v>
      </c>
      <c r="M157" s="11">
        <v>357</v>
      </c>
      <c r="N157" s="12">
        <v>-8.2341997070312516</v>
      </c>
      <c r="O157" s="13">
        <v>-34.988601135253901</v>
      </c>
      <c r="P157" s="13">
        <v>-4.4396006164550812</v>
      </c>
      <c r="Q157" s="13">
        <v>-12.812540465539239</v>
      </c>
      <c r="R157" s="14">
        <v>87.578647333351867</v>
      </c>
      <c r="S157" s="13">
        <v>-13.667</v>
      </c>
      <c r="T157" s="13">
        <v>-38.392798828125002</v>
      </c>
      <c r="U157" s="13">
        <v>-9.0133005676269562</v>
      </c>
      <c r="V157" s="13">
        <v>-17.267764425240308</v>
      </c>
      <c r="W157" s="15">
        <v>84.160044561992606</v>
      </c>
      <c r="X157" s="16" t="str">
        <f>IFERROR(_xll.BDP(E157&amp;" Corp","LAST_PRICE"),"--")</f>
        <v>#N/A Requesting Data...</v>
      </c>
      <c r="Y157" s="17" t="str">
        <f>IFERROR(_xll.BDP(E157&amp;" Corp","YAS_BENCHMARK_BOND_ISIN"),"--")</f>
        <v>#N/A Requesting Data...</v>
      </c>
      <c r="Z157" s="18" t="str">
        <f>IFERROR(_xll.BDP(Y157&amp;" CORP","LAST_PRICE"),"--")</f>
        <v>#N/A Requesting Data... CORP</v>
      </c>
      <c r="AA157" s="19" t="str">
        <f>IFERROR(_xll.BDP(E157&amp;" Corp","YAS_YLD_SPREAD","YAS_BOND_PX="&amp;X157,"YAS_BNCHMRK_BOND_PX="&amp;Z157),"--")</f>
        <v>#N/A Requesting Data...</v>
      </c>
      <c r="AB157" s="19" t="str">
        <f>IFERROR(_xll.BDP(E157&amp;" Corp","BLOOMBERG_MID_G_SPREAD","YAS_BOND_PX="&amp;X157,"YAS_BNCHMRK_BOND_PX="&amp;Z157),"--")</f>
        <v>#N/A Requesting Data...</v>
      </c>
      <c r="AC157" s="19" t="str">
        <f>IFERROR(_xll.BDP(D157,"LAST_PRICE"),"--")</f>
        <v>#N/A Requesting Data...</v>
      </c>
      <c r="AD157" s="20"/>
      <c r="AE157" s="19" t="str">
        <f t="shared" si="8"/>
        <v>#N/A Requesting Data...</v>
      </c>
      <c r="AF157" s="19" t="str">
        <f t="shared" si="9"/>
        <v>--</v>
      </c>
      <c r="AG157" s="21" t="str">
        <f t="shared" si="10"/>
        <v>--</v>
      </c>
      <c r="AH157" s="19" t="str">
        <f t="shared" si="11"/>
        <v>--</v>
      </c>
    </row>
    <row r="158" spans="1:34" x14ac:dyDescent="0.45">
      <c r="A158" s="22" t="s">
        <v>655</v>
      </c>
      <c r="B158" s="23" t="s">
        <v>523</v>
      </c>
      <c r="C158" s="22" t="s">
        <v>656</v>
      </c>
      <c r="D158" s="23" t="s">
        <v>657</v>
      </c>
      <c r="E158" s="23" t="s">
        <v>658</v>
      </c>
      <c r="F158" s="24">
        <v>45659</v>
      </c>
      <c r="G158" s="24">
        <v>46226</v>
      </c>
      <c r="H158" s="24">
        <v>48933</v>
      </c>
      <c r="I158" s="25">
        <v>28.63129997253418</v>
      </c>
      <c r="J158" s="25">
        <v>17.464599609375</v>
      </c>
      <c r="K158" s="25">
        <v>51.359000000000002</v>
      </c>
      <c r="L158" s="25">
        <v>41.018999999999998</v>
      </c>
      <c r="M158" s="26">
        <v>389</v>
      </c>
      <c r="N158" s="27">
        <v>-22.727700027465819</v>
      </c>
      <c r="O158" s="28">
        <v>-48.499299926757807</v>
      </c>
      <c r="P158" s="28">
        <v>-12.765600616455069</v>
      </c>
      <c r="Q158" s="28">
        <v>-23.430347171342159</v>
      </c>
      <c r="R158" s="29">
        <v>72.121275985163749</v>
      </c>
      <c r="S158" s="28">
        <v>-33.894400390625002</v>
      </c>
      <c r="T158" s="28">
        <v>-59.940599365234377</v>
      </c>
      <c r="U158" s="28">
        <v>-23.89359944152832</v>
      </c>
      <c r="V158" s="28">
        <v>-33.870039789248743</v>
      </c>
      <c r="W158" s="30">
        <v>72.256218353084847</v>
      </c>
      <c r="X158" s="16" t="str">
        <f>IFERROR(_xll.BDP(E158&amp;" Corp","LAST_PRICE"),"--")</f>
        <v>#N/A Requesting Data...</v>
      </c>
      <c r="Y158" s="17" t="str">
        <f>IFERROR(_xll.BDP(E158&amp;" Corp","YAS_BENCHMARK_BOND_ISIN"),"--")</f>
        <v>#N/A Requesting Data...</v>
      </c>
      <c r="Z158" s="18" t="str">
        <f>IFERROR(_xll.BDP(Y158&amp;" CORP","LAST_PRICE"),"--")</f>
        <v>#N/A Requesting Data... CORP</v>
      </c>
      <c r="AA158" s="19" t="str">
        <f>IFERROR(_xll.BDP(E158&amp;" Corp","YAS_YLD_SPREAD","YAS_BOND_PX="&amp;X158,"YAS_BNCHMRK_BOND_PX="&amp;Z158),"--")</f>
        <v>#N/A Requesting Data...</v>
      </c>
      <c r="AB158" s="19" t="str">
        <f>IFERROR(_xll.BDP(E158&amp;" Corp","BLOOMBERG_MID_G_SPREAD","YAS_BOND_PX="&amp;X158,"YAS_BNCHMRK_BOND_PX="&amp;Z158),"--")</f>
        <v>#N/A Requesting Data...</v>
      </c>
      <c r="AC158" s="19" t="str">
        <f>IFERROR(_xll.BDP(D158,"LAST_PRICE"),"--")</f>
        <v>#N/A Requesting Data...</v>
      </c>
      <c r="AD158" s="20"/>
      <c r="AE158" s="19" t="str">
        <f t="shared" si="8"/>
        <v>#N/A Requesting Data...</v>
      </c>
      <c r="AF158" s="19" t="str">
        <f t="shared" si="9"/>
        <v>--</v>
      </c>
      <c r="AG158" s="21" t="str">
        <f t="shared" si="10"/>
        <v>--</v>
      </c>
      <c r="AH158" s="19" t="str">
        <f t="shared" si="11"/>
        <v>--</v>
      </c>
    </row>
    <row r="159" spans="1:34" x14ac:dyDescent="0.45">
      <c r="A159" s="7" t="s">
        <v>659</v>
      </c>
      <c r="B159" s="8" t="s">
        <v>523</v>
      </c>
      <c r="C159" s="7" t="s">
        <v>660</v>
      </c>
      <c r="D159" s="8" t="s">
        <v>661</v>
      </c>
      <c r="E159" s="8" t="s">
        <v>662</v>
      </c>
      <c r="F159" s="9">
        <v>45880</v>
      </c>
      <c r="G159" s="9">
        <v>46226</v>
      </c>
      <c r="H159" s="9">
        <v>48568</v>
      </c>
      <c r="I159" s="10">
        <v>66.861801147460938</v>
      </c>
      <c r="J159" s="10">
        <v>49.680301666259773</v>
      </c>
      <c r="K159" s="10">
        <v>69.146000000000001</v>
      </c>
      <c r="L159" s="10">
        <v>76.853999999999999</v>
      </c>
      <c r="M159" s="11">
        <v>239</v>
      </c>
      <c r="N159" s="12">
        <v>-2.2841988525390629</v>
      </c>
      <c r="O159" s="13">
        <v>-20.820702331542979</v>
      </c>
      <c r="P159" s="13">
        <v>5.3791018066406204</v>
      </c>
      <c r="Q159" s="13">
        <v>-5.6111423194278736</v>
      </c>
      <c r="R159" s="14">
        <v>70.750542184354771</v>
      </c>
      <c r="S159" s="13">
        <v>-19.465698333740239</v>
      </c>
      <c r="T159" s="13">
        <v>-32.250099914550788</v>
      </c>
      <c r="U159" s="13">
        <v>-10.0842008972168</v>
      </c>
      <c r="V159" s="13">
        <v>-20.586008268731401</v>
      </c>
      <c r="W159" s="15">
        <v>57.67598945936281</v>
      </c>
      <c r="X159" s="16" t="str">
        <f>IFERROR(_xll.BDP(E159&amp;" Corp","LAST_PRICE"),"--")</f>
        <v>#N/A Requesting Data...</v>
      </c>
      <c r="Y159" s="17" t="str">
        <f>IFERROR(_xll.BDP(E159&amp;" Corp","YAS_BENCHMARK_BOND_ISIN"),"--")</f>
        <v>#N/A Requesting Data...</v>
      </c>
      <c r="Z159" s="18" t="str">
        <f>IFERROR(_xll.BDP(Y159&amp;" CORP","LAST_PRICE"),"--")</f>
        <v>#N/A Requesting Data... CORP</v>
      </c>
      <c r="AA159" s="19" t="str">
        <f>IFERROR(_xll.BDP(E159&amp;" Corp","YAS_YLD_SPREAD","YAS_BOND_PX="&amp;X159,"YAS_BNCHMRK_BOND_PX="&amp;Z159),"--")</f>
        <v>#N/A Requesting Data...</v>
      </c>
      <c r="AB159" s="19" t="str">
        <f>IFERROR(_xll.BDP(E159&amp;" Corp","BLOOMBERG_MID_G_SPREAD","YAS_BOND_PX="&amp;X159,"YAS_BNCHMRK_BOND_PX="&amp;Z159),"--")</f>
        <v>#N/A Requesting Data...</v>
      </c>
      <c r="AC159" s="19" t="str">
        <f>IFERROR(_xll.BDP(D159,"LAST_PRICE"),"--")</f>
        <v>#N/A Requesting Data...</v>
      </c>
      <c r="AD159" s="20"/>
      <c r="AE159" s="19" t="str">
        <f t="shared" si="8"/>
        <v>#N/A Requesting Data...</v>
      </c>
      <c r="AF159" s="19" t="str">
        <f t="shared" si="9"/>
        <v>--</v>
      </c>
      <c r="AG159" s="21" t="str">
        <f t="shared" si="10"/>
        <v>--</v>
      </c>
      <c r="AH159" s="19" t="str">
        <f t="shared" si="11"/>
        <v>--</v>
      </c>
    </row>
    <row r="160" spans="1:34" x14ac:dyDescent="0.45">
      <c r="A160" s="22" t="s">
        <v>663</v>
      </c>
      <c r="B160" s="23" t="s">
        <v>523</v>
      </c>
      <c r="C160" s="22" t="s">
        <v>664</v>
      </c>
      <c r="D160" s="23" t="s">
        <v>665</v>
      </c>
      <c r="E160" s="23" t="s">
        <v>666</v>
      </c>
      <c r="F160" s="24">
        <v>45659</v>
      </c>
      <c r="G160" s="24">
        <v>46226</v>
      </c>
      <c r="H160" s="24">
        <v>48568</v>
      </c>
      <c r="I160" s="25">
        <v>45.381999969482422</v>
      </c>
      <c r="J160" s="25">
        <v>33.669998168945313</v>
      </c>
      <c r="K160" s="25">
        <v>73.22</v>
      </c>
      <c r="L160" s="25">
        <v>80.635000000000005</v>
      </c>
      <c r="M160" s="26">
        <v>390</v>
      </c>
      <c r="N160" s="27">
        <v>-27.838000030517581</v>
      </c>
      <c r="O160" s="28">
        <v>-61.844901245117192</v>
      </c>
      <c r="P160" s="28">
        <v>-14.36940188598633</v>
      </c>
      <c r="Q160" s="28">
        <v>-30.839124175712389</v>
      </c>
      <c r="R160" s="29">
        <v>71.630423426097451</v>
      </c>
      <c r="S160" s="28">
        <v>-39.550001831054693</v>
      </c>
      <c r="T160" s="28">
        <v>-69.838999908447263</v>
      </c>
      <c r="U160" s="28">
        <v>-24.23810189819336</v>
      </c>
      <c r="V160" s="28">
        <v>-40.109823143670503</v>
      </c>
      <c r="W160" s="30">
        <v>66.421933336886781</v>
      </c>
      <c r="X160" s="16" t="str">
        <f>IFERROR(_xll.BDP(E160&amp;" Corp","LAST_PRICE"),"--")</f>
        <v>#N/A Requesting Data...</v>
      </c>
      <c r="Y160" s="17" t="str">
        <f>IFERROR(_xll.BDP(E160&amp;" Corp","YAS_BENCHMARK_BOND_ISIN"),"--")</f>
        <v>#N/A Requesting Data...</v>
      </c>
      <c r="Z160" s="18" t="str">
        <f>IFERROR(_xll.BDP(Y160&amp;" CORP","LAST_PRICE"),"--")</f>
        <v>#N/A Requesting Data... CORP</v>
      </c>
      <c r="AA160" s="19" t="str">
        <f>IFERROR(_xll.BDP(E160&amp;" Corp","YAS_YLD_SPREAD","YAS_BOND_PX="&amp;X160,"YAS_BNCHMRK_BOND_PX="&amp;Z160),"--")</f>
        <v>#N/A Requesting Data...</v>
      </c>
      <c r="AB160" s="19" t="str">
        <f>IFERROR(_xll.BDP(E160&amp;" Corp","BLOOMBERG_MID_G_SPREAD","YAS_BOND_PX="&amp;X160,"YAS_BNCHMRK_BOND_PX="&amp;Z160),"--")</f>
        <v>#N/A Requesting Data...</v>
      </c>
      <c r="AC160" s="19" t="str">
        <f>IFERROR(_xll.BDP(D160,"LAST_PRICE"),"--")</f>
        <v>#N/A Requesting Data...</v>
      </c>
      <c r="AD160" s="20"/>
      <c r="AE160" s="19" t="str">
        <f t="shared" si="8"/>
        <v>#N/A Requesting Data...</v>
      </c>
      <c r="AF160" s="19" t="str">
        <f t="shared" si="9"/>
        <v>--</v>
      </c>
      <c r="AG160" s="21" t="str">
        <f t="shared" si="10"/>
        <v>--</v>
      </c>
      <c r="AH160" s="19" t="str">
        <f t="shared" si="11"/>
        <v>--</v>
      </c>
    </row>
    <row r="161" spans="1:34" x14ac:dyDescent="0.45">
      <c r="A161" s="7" t="s">
        <v>667</v>
      </c>
      <c r="B161" s="8" t="s">
        <v>523</v>
      </c>
      <c r="C161" s="7" t="s">
        <v>668</v>
      </c>
      <c r="D161" s="8" t="s">
        <v>669</v>
      </c>
      <c r="E161" s="8" t="s">
        <v>670</v>
      </c>
      <c r="F161" s="9">
        <v>45814</v>
      </c>
      <c r="G161" s="9">
        <v>46226</v>
      </c>
      <c r="H161" s="9">
        <v>47837</v>
      </c>
      <c r="I161" s="10">
        <v>95.390098571777344</v>
      </c>
      <c r="J161" s="10">
        <v>104.3711013793945</v>
      </c>
      <c r="K161" s="10">
        <v>76.007999999999996</v>
      </c>
      <c r="L161" s="10">
        <v>74.361999999999995</v>
      </c>
      <c r="M161" s="11">
        <v>283</v>
      </c>
      <c r="N161" s="12">
        <v>19.382098571777352</v>
      </c>
      <c r="O161" s="13">
        <v>-7.1247980957031274</v>
      </c>
      <c r="P161" s="13">
        <v>27.568395996093759</v>
      </c>
      <c r="Q161" s="13">
        <v>8.7956144228015258</v>
      </c>
      <c r="R161" s="14">
        <v>76.403736702202238</v>
      </c>
      <c r="S161" s="13">
        <v>28.363101379394539</v>
      </c>
      <c r="T161" s="13">
        <v>0.73350115966796636</v>
      </c>
      <c r="U161" s="13">
        <v>37.957907104492193</v>
      </c>
      <c r="V161" s="13">
        <v>18.59675514399121</v>
      </c>
      <c r="W161" s="15">
        <v>74.224422172594146</v>
      </c>
      <c r="X161" s="16" t="str">
        <f>IFERROR(_xll.BDP(E161&amp;" Corp","LAST_PRICE"),"--")</f>
        <v>#N/A Requesting Data...</v>
      </c>
      <c r="Y161" s="17" t="str">
        <f>IFERROR(_xll.BDP(E161&amp;" Corp","YAS_BENCHMARK_BOND_ISIN"),"--")</f>
        <v>#N/A Requesting Data...</v>
      </c>
      <c r="Z161" s="18" t="str">
        <f>IFERROR(_xll.BDP(Y161&amp;" CORP","LAST_PRICE"),"--")</f>
        <v>#N/A Requesting Data... CORP</v>
      </c>
      <c r="AA161" s="19" t="str">
        <f>IFERROR(_xll.BDP(E161&amp;" Corp","YAS_YLD_SPREAD","YAS_BOND_PX="&amp;X161,"YAS_BNCHMRK_BOND_PX="&amp;Z161),"--")</f>
        <v>#N/A Requesting Data...</v>
      </c>
      <c r="AB161" s="19" t="str">
        <f>IFERROR(_xll.BDP(E161&amp;" Corp","BLOOMBERG_MID_G_SPREAD","YAS_BOND_PX="&amp;X161,"YAS_BNCHMRK_BOND_PX="&amp;Z161),"--")</f>
        <v>#N/A Requesting Data...</v>
      </c>
      <c r="AC161" s="19" t="str">
        <f>IFERROR(_xll.BDP(D161,"LAST_PRICE"),"--")</f>
        <v>#N/A Requesting Data...</v>
      </c>
      <c r="AD161" s="20"/>
      <c r="AE161" s="19" t="str">
        <f t="shared" si="8"/>
        <v>#N/A Requesting Data...</v>
      </c>
      <c r="AF161" s="19" t="str">
        <f t="shared" si="9"/>
        <v>--</v>
      </c>
      <c r="AG161" s="21" t="str">
        <f t="shared" si="10"/>
        <v>--</v>
      </c>
      <c r="AH161" s="19" t="str">
        <f t="shared" si="11"/>
        <v>--</v>
      </c>
    </row>
    <row r="162" spans="1:34" x14ac:dyDescent="0.45">
      <c r="A162" s="22" t="s">
        <v>671</v>
      </c>
      <c r="B162" s="23" t="s">
        <v>523</v>
      </c>
      <c r="C162" s="22" t="s">
        <v>672</v>
      </c>
      <c r="D162" s="23" t="s">
        <v>673</v>
      </c>
      <c r="E162" s="23" t="s">
        <v>674</v>
      </c>
      <c r="F162" s="24">
        <v>45736</v>
      </c>
      <c r="G162" s="24">
        <v>46226</v>
      </c>
      <c r="H162" s="24">
        <v>49480</v>
      </c>
      <c r="I162" s="25">
        <v>45.486900329589837</v>
      </c>
      <c r="J162" s="25">
        <v>25.0181999206543</v>
      </c>
      <c r="K162" s="25">
        <v>57.249000000000002</v>
      </c>
      <c r="L162" s="25">
        <v>51.875</v>
      </c>
      <c r="M162" s="26">
        <v>336</v>
      </c>
      <c r="N162" s="27">
        <v>-11.76209967041016</v>
      </c>
      <c r="O162" s="28">
        <v>-15.284299133300779</v>
      </c>
      <c r="P162" s="28">
        <v>3.1372023315429658</v>
      </c>
      <c r="Q162" s="28">
        <v>-6.051021385828653</v>
      </c>
      <c r="R162" s="29">
        <v>19.120045505587679</v>
      </c>
      <c r="S162" s="28">
        <v>-32.230800079345713</v>
      </c>
      <c r="T162" s="28">
        <v>-39.317698272705073</v>
      </c>
      <c r="U162" s="28">
        <v>-15.502898529052731</v>
      </c>
      <c r="V162" s="28">
        <v>-26.344394773358779</v>
      </c>
      <c r="W162" s="30">
        <v>29.758378275880009</v>
      </c>
      <c r="X162" s="16" t="str">
        <f>IFERROR(_xll.BDP(E162&amp;" Corp","LAST_PRICE"),"--")</f>
        <v>#N/A Requesting Data...</v>
      </c>
      <c r="Y162" s="17" t="str">
        <f>IFERROR(_xll.BDP(E162&amp;" Corp","YAS_BENCHMARK_BOND_ISIN"),"--")</f>
        <v>#N/A Requesting Data...</v>
      </c>
      <c r="Z162" s="18" t="str">
        <f>IFERROR(_xll.BDP(Y162&amp;" CORP","LAST_PRICE"),"--")</f>
        <v>#N/A Requesting Data... CORP</v>
      </c>
      <c r="AA162" s="19" t="str">
        <f>IFERROR(_xll.BDP(E162&amp;" Corp","YAS_YLD_SPREAD","YAS_BOND_PX="&amp;X162,"YAS_BNCHMRK_BOND_PX="&amp;Z162),"--")</f>
        <v>#N/A Requesting Data...</v>
      </c>
      <c r="AB162" s="19" t="str">
        <f>IFERROR(_xll.BDP(E162&amp;" Corp","BLOOMBERG_MID_G_SPREAD","YAS_BOND_PX="&amp;X162,"YAS_BNCHMRK_BOND_PX="&amp;Z162),"--")</f>
        <v>#N/A Requesting Data...</v>
      </c>
      <c r="AC162" s="19" t="str">
        <f>IFERROR(_xll.BDP(D162,"LAST_PRICE"),"--")</f>
        <v>#N/A Requesting Data...</v>
      </c>
      <c r="AD162" s="20"/>
      <c r="AE162" s="19" t="str">
        <f t="shared" si="8"/>
        <v>#N/A Requesting Data...</v>
      </c>
      <c r="AF162" s="19" t="str">
        <f t="shared" si="9"/>
        <v>--</v>
      </c>
      <c r="AG162" s="21" t="str">
        <f t="shared" si="10"/>
        <v>--</v>
      </c>
      <c r="AH162" s="19" t="str">
        <f t="shared" si="11"/>
        <v>--</v>
      </c>
    </row>
    <row r="163" spans="1:34" x14ac:dyDescent="0.45">
      <c r="A163" s="7" t="s">
        <v>675</v>
      </c>
      <c r="B163" s="8" t="s">
        <v>523</v>
      </c>
      <c r="C163" s="7" t="s">
        <v>676</v>
      </c>
      <c r="D163" s="8" t="s">
        <v>677</v>
      </c>
      <c r="E163" s="8" t="s">
        <v>678</v>
      </c>
      <c r="F163" s="9">
        <v>45922</v>
      </c>
      <c r="G163" s="9">
        <v>46226</v>
      </c>
      <c r="H163" s="9">
        <v>48568</v>
      </c>
      <c r="I163" s="10">
        <v>89.087997436523438</v>
      </c>
      <c r="J163" s="10">
        <v>68.782997131347656</v>
      </c>
      <c r="K163" s="10">
        <v>75.412999999999997</v>
      </c>
      <c r="L163" s="10">
        <v>84.564999999999998</v>
      </c>
      <c r="M163" s="11">
        <v>210</v>
      </c>
      <c r="N163" s="12">
        <v>13.674997436523441</v>
      </c>
      <c r="O163" s="13">
        <v>-16.30960272216797</v>
      </c>
      <c r="P163" s="13">
        <v>15.701697631835939</v>
      </c>
      <c r="Q163" s="13">
        <v>2.0894165890648249</v>
      </c>
      <c r="R163" s="14">
        <v>93.6687976655125</v>
      </c>
      <c r="S163" s="13">
        <v>-6.6300028686523396</v>
      </c>
      <c r="T163" s="13">
        <v>-31.357896789550779</v>
      </c>
      <c r="U163" s="13">
        <v>0.8490020141601633</v>
      </c>
      <c r="V163" s="13">
        <v>-15.16918678850446</v>
      </c>
      <c r="W163" s="15">
        <v>76.778251987581129</v>
      </c>
      <c r="X163" s="16" t="str">
        <f>IFERROR(_xll.BDP(E163&amp;" Corp","LAST_PRICE"),"--")</f>
        <v>#N/A Requesting Data...</v>
      </c>
      <c r="Y163" s="17" t="str">
        <f>IFERROR(_xll.BDP(E163&amp;" Corp","YAS_BENCHMARK_BOND_ISIN"),"--")</f>
        <v>#N/A Requesting Data...</v>
      </c>
      <c r="Z163" s="18" t="str">
        <f>IFERROR(_xll.BDP(Y163&amp;" CORP","LAST_PRICE"),"--")</f>
        <v>#N/A Requesting Data... CORP</v>
      </c>
      <c r="AA163" s="19" t="str">
        <f>IFERROR(_xll.BDP(E163&amp;" Corp","YAS_YLD_SPREAD","YAS_BOND_PX="&amp;X163,"YAS_BNCHMRK_BOND_PX="&amp;Z163),"--")</f>
        <v>#N/A Requesting Data...</v>
      </c>
      <c r="AB163" s="19" t="str">
        <f>IFERROR(_xll.BDP(E163&amp;" Corp","BLOOMBERG_MID_G_SPREAD","YAS_BOND_PX="&amp;X163,"YAS_BNCHMRK_BOND_PX="&amp;Z163),"--")</f>
        <v>#N/A Requesting Data...</v>
      </c>
      <c r="AC163" s="19" t="str">
        <f>IFERROR(_xll.BDP(D163,"LAST_PRICE"),"--")</f>
        <v>#N/A Requesting Data...</v>
      </c>
      <c r="AD163" s="20"/>
      <c r="AE163" s="19" t="str">
        <f t="shared" si="8"/>
        <v>#N/A Requesting Data...</v>
      </c>
      <c r="AF163" s="19" t="str">
        <f t="shared" si="9"/>
        <v>--</v>
      </c>
      <c r="AG163" s="21" t="str">
        <f t="shared" si="10"/>
        <v>--</v>
      </c>
      <c r="AH163" s="19" t="str">
        <f t="shared" si="11"/>
        <v>--</v>
      </c>
    </row>
    <row r="164" spans="1:34" x14ac:dyDescent="0.45">
      <c r="A164" s="22" t="s">
        <v>679</v>
      </c>
      <c r="B164" s="23" t="s">
        <v>523</v>
      </c>
      <c r="C164" s="22" t="s">
        <v>680</v>
      </c>
      <c r="D164" s="23" t="s">
        <v>681</v>
      </c>
      <c r="E164" s="23" t="s">
        <v>682</v>
      </c>
      <c r="F164" s="24">
        <v>45659</v>
      </c>
      <c r="G164" s="24">
        <v>46226</v>
      </c>
      <c r="H164" s="24">
        <v>48933</v>
      </c>
      <c r="I164" s="25">
        <v>32.533199310302727</v>
      </c>
      <c r="J164" s="25">
        <v>20.181999206542969</v>
      </c>
      <c r="K164" s="25">
        <v>69.885000000000005</v>
      </c>
      <c r="L164" s="25">
        <v>58.680999999999997</v>
      </c>
      <c r="M164" s="26">
        <v>390</v>
      </c>
      <c r="N164" s="27">
        <v>-37.351800689697271</v>
      </c>
      <c r="O164" s="28">
        <v>-61.701500732421877</v>
      </c>
      <c r="P164" s="28">
        <v>-20.656799652099611</v>
      </c>
      <c r="Q164" s="28">
        <v>-33.14560230208177</v>
      </c>
      <c r="R164" s="29">
        <v>59.324832199590283</v>
      </c>
      <c r="S164" s="28">
        <v>-49.703000793457043</v>
      </c>
      <c r="T164" s="28">
        <v>-75.243698913574221</v>
      </c>
      <c r="U164" s="28">
        <v>-34.161300994873052</v>
      </c>
      <c r="V164" s="28">
        <v>-46.672489290990583</v>
      </c>
      <c r="W164" s="30">
        <v>62.16944339680515</v>
      </c>
      <c r="X164" s="16" t="str">
        <f>IFERROR(_xll.BDP(E164&amp;" Corp","LAST_PRICE"),"--")</f>
        <v>#N/A Requesting Data...</v>
      </c>
      <c r="Y164" s="17" t="str">
        <f>IFERROR(_xll.BDP(E164&amp;" Corp","YAS_BENCHMARK_BOND_ISIN"),"--")</f>
        <v>#N/A Requesting Data...</v>
      </c>
      <c r="Z164" s="18" t="str">
        <f>IFERROR(_xll.BDP(Y164&amp;" CORP","LAST_PRICE"),"--")</f>
        <v>#N/A Requesting Data... CORP</v>
      </c>
      <c r="AA164" s="19" t="str">
        <f>IFERROR(_xll.BDP(E164&amp;" Corp","YAS_YLD_SPREAD","YAS_BOND_PX="&amp;X164,"YAS_BNCHMRK_BOND_PX="&amp;Z164),"--")</f>
        <v>#N/A Requesting Data...</v>
      </c>
      <c r="AB164" s="19" t="str">
        <f>IFERROR(_xll.BDP(E164&amp;" Corp","BLOOMBERG_MID_G_SPREAD","YAS_BOND_PX="&amp;X164,"YAS_BNCHMRK_BOND_PX="&amp;Z164),"--")</f>
        <v>#N/A Requesting Data...</v>
      </c>
      <c r="AC164" s="19" t="str">
        <f>IFERROR(_xll.BDP(D164,"LAST_PRICE"),"--")</f>
        <v>#N/A Requesting Data...</v>
      </c>
      <c r="AD164" s="20"/>
      <c r="AE164" s="19" t="str">
        <f t="shared" si="8"/>
        <v>#N/A Requesting Data...</v>
      </c>
      <c r="AF164" s="19" t="str">
        <f t="shared" si="9"/>
        <v>--</v>
      </c>
      <c r="AG164" s="21" t="str">
        <f t="shared" si="10"/>
        <v>--</v>
      </c>
      <c r="AH164" s="19" t="str">
        <f t="shared" si="11"/>
        <v>--</v>
      </c>
    </row>
    <row r="165" spans="1:34" x14ac:dyDescent="0.45">
      <c r="A165" s="7" t="s">
        <v>683</v>
      </c>
      <c r="B165" s="8" t="s">
        <v>523</v>
      </c>
      <c r="C165" s="7" t="s">
        <v>684</v>
      </c>
      <c r="D165" s="8" t="s">
        <v>685</v>
      </c>
      <c r="E165" s="8" t="s">
        <v>686</v>
      </c>
      <c r="F165" s="9">
        <v>45659</v>
      </c>
      <c r="G165" s="9">
        <v>46226</v>
      </c>
      <c r="H165" s="9">
        <v>49298</v>
      </c>
      <c r="I165" s="10">
        <v>69.87860107421875</v>
      </c>
      <c r="J165" s="10">
        <v>45.421398162841797</v>
      </c>
      <c r="K165" s="10">
        <v>80.891999999999996</v>
      </c>
      <c r="L165" s="10">
        <v>75.977999999999994</v>
      </c>
      <c r="M165" s="11">
        <v>390</v>
      </c>
      <c r="N165" s="12">
        <v>-11.013398925781249</v>
      </c>
      <c r="O165" s="13">
        <v>-26.437097412109381</v>
      </c>
      <c r="P165" s="13">
        <v>9.4756988525390682</v>
      </c>
      <c r="Q165" s="13">
        <v>-3.7569793158115479</v>
      </c>
      <c r="R165" s="14">
        <v>42.947640090924338</v>
      </c>
      <c r="S165" s="13">
        <v>-35.470601837158199</v>
      </c>
      <c r="T165" s="13">
        <v>-47.896600585937513</v>
      </c>
      <c r="U165" s="13">
        <v>-14.032201385498039</v>
      </c>
      <c r="V165" s="13">
        <v>-25.59800168989133</v>
      </c>
      <c r="W165" s="15">
        <v>36.693397910978007</v>
      </c>
      <c r="X165" s="16" t="str">
        <f>IFERROR(_xll.BDP(E165&amp;" Corp","LAST_PRICE"),"--")</f>
        <v>#N/A Requesting Data...</v>
      </c>
      <c r="Y165" s="17" t="str">
        <f>IFERROR(_xll.BDP(E165&amp;" Corp","YAS_BENCHMARK_BOND_ISIN"),"--")</f>
        <v>#N/A Requesting Data...</v>
      </c>
      <c r="Z165" s="18" t="str">
        <f>IFERROR(_xll.BDP(Y165&amp;" CORP","LAST_PRICE"),"--")</f>
        <v>#N/A Requesting Data... CORP</v>
      </c>
      <c r="AA165" s="19" t="str">
        <f>IFERROR(_xll.BDP(E165&amp;" Corp","YAS_YLD_SPREAD","YAS_BOND_PX="&amp;X165,"YAS_BNCHMRK_BOND_PX="&amp;Z165),"--")</f>
        <v>#N/A Requesting Data...</v>
      </c>
      <c r="AB165" s="19" t="str">
        <f>IFERROR(_xll.BDP(E165&amp;" Corp","BLOOMBERG_MID_G_SPREAD","YAS_BOND_PX="&amp;X165,"YAS_BNCHMRK_BOND_PX="&amp;Z165),"--")</f>
        <v>#N/A Requesting Data...</v>
      </c>
      <c r="AC165" s="19" t="str">
        <f>IFERROR(_xll.BDP(D165,"LAST_PRICE"),"--")</f>
        <v>#N/A Requesting Data...</v>
      </c>
      <c r="AD165" s="20"/>
      <c r="AE165" s="19" t="str">
        <f t="shared" si="8"/>
        <v>#N/A Requesting Data...</v>
      </c>
      <c r="AF165" s="19" t="str">
        <f t="shared" si="9"/>
        <v>--</v>
      </c>
      <c r="AG165" s="21" t="str">
        <f t="shared" si="10"/>
        <v>--</v>
      </c>
      <c r="AH165" s="19" t="str">
        <f t="shared" si="11"/>
        <v>--</v>
      </c>
    </row>
    <row r="166" spans="1:34" x14ac:dyDescent="0.45">
      <c r="A166" s="22" t="s">
        <v>687</v>
      </c>
      <c r="B166" s="23" t="s">
        <v>523</v>
      </c>
      <c r="C166" s="22" t="s">
        <v>688</v>
      </c>
      <c r="D166" s="23" t="s">
        <v>689</v>
      </c>
      <c r="E166" s="23" t="s">
        <v>690</v>
      </c>
      <c r="F166" s="24">
        <v>46135</v>
      </c>
      <c r="G166" s="24">
        <v>46226</v>
      </c>
      <c r="H166" s="24">
        <v>49115</v>
      </c>
      <c r="I166" s="25">
        <v>38.318000793457031</v>
      </c>
      <c r="J166" s="25">
        <v>22.075899124145511</v>
      </c>
      <c r="K166" s="25">
        <v>73.254999999999995</v>
      </c>
      <c r="L166" s="25">
        <v>75.837000000000003</v>
      </c>
      <c r="M166" s="26">
        <v>65</v>
      </c>
      <c r="N166" s="27">
        <v>-34.936999206542957</v>
      </c>
      <c r="O166" s="28">
        <v>-41.703799987792962</v>
      </c>
      <c r="P166" s="28">
        <v>-29.194398406982419</v>
      </c>
      <c r="Q166" s="28">
        <v>-36.087806272536064</v>
      </c>
      <c r="R166" s="29">
        <v>54.093720930905967</v>
      </c>
      <c r="S166" s="28">
        <v>-51.179100875854488</v>
      </c>
      <c r="T166" s="28">
        <v>-56.883000320434583</v>
      </c>
      <c r="U166" s="28">
        <v>-46.004500457763669</v>
      </c>
      <c r="V166" s="28">
        <v>-50.805607674701392</v>
      </c>
      <c r="W166" s="30">
        <v>52.432775810870467</v>
      </c>
      <c r="X166" s="16" t="str">
        <f>IFERROR(_xll.BDP(E166&amp;" Corp","LAST_PRICE"),"--")</f>
        <v>#N/A Requesting Data...</v>
      </c>
      <c r="Y166" s="17" t="str">
        <f>IFERROR(_xll.BDP(E166&amp;" Corp","YAS_BENCHMARK_BOND_ISIN"),"--")</f>
        <v>#N/A Requesting Data...</v>
      </c>
      <c r="Z166" s="18" t="str">
        <f>IFERROR(_xll.BDP(Y166&amp;" CORP","LAST_PRICE"),"--")</f>
        <v>#N/A Requesting Data... CORP</v>
      </c>
      <c r="AA166" s="19" t="str">
        <f>IFERROR(_xll.BDP(E166&amp;" Corp","YAS_YLD_SPREAD","YAS_BOND_PX="&amp;X166,"YAS_BNCHMRK_BOND_PX="&amp;Z166),"--")</f>
        <v>#N/A Requesting Data...</v>
      </c>
      <c r="AB166" s="19" t="str">
        <f>IFERROR(_xll.BDP(E166&amp;" Corp","BLOOMBERG_MID_G_SPREAD","YAS_BOND_PX="&amp;X166,"YAS_BNCHMRK_BOND_PX="&amp;Z166),"--")</f>
        <v>#N/A Requesting Data...</v>
      </c>
      <c r="AC166" s="19" t="str">
        <f>IFERROR(_xll.BDP(D166,"LAST_PRICE"),"--")</f>
        <v>#N/A Requesting Data...</v>
      </c>
      <c r="AD166" s="20"/>
      <c r="AE166" s="19" t="str">
        <f t="shared" si="8"/>
        <v>#N/A Requesting Data...</v>
      </c>
      <c r="AF166" s="19" t="str">
        <f t="shared" si="9"/>
        <v>--</v>
      </c>
      <c r="AG166" s="21" t="str">
        <f t="shared" si="10"/>
        <v>--</v>
      </c>
      <c r="AH166" s="19" t="str">
        <f t="shared" si="11"/>
        <v>--</v>
      </c>
    </row>
    <row r="167" spans="1:34" x14ac:dyDescent="0.45">
      <c r="A167" s="7" t="s">
        <v>691</v>
      </c>
      <c r="B167" s="8" t="s">
        <v>523</v>
      </c>
      <c r="C167" s="7" t="s">
        <v>692</v>
      </c>
      <c r="D167" s="8" t="s">
        <v>693</v>
      </c>
      <c r="E167" s="8" t="s">
        <v>694</v>
      </c>
      <c r="F167" s="9">
        <v>46063</v>
      </c>
      <c r="G167" s="9">
        <v>46226</v>
      </c>
      <c r="H167" s="9">
        <v>48019</v>
      </c>
      <c r="I167" s="10">
        <v>33.875701904296882</v>
      </c>
      <c r="J167" s="10">
        <v>33.875701904296882</v>
      </c>
      <c r="K167" s="10">
        <v>37.549999999999997</v>
      </c>
      <c r="L167" s="10">
        <v>38.343000000000004</v>
      </c>
      <c r="M167" s="11">
        <v>114</v>
      </c>
      <c r="N167" s="12">
        <v>-3.6742980957031222</v>
      </c>
      <c r="O167" s="13">
        <v>-9.1997994384765605</v>
      </c>
      <c r="P167" s="13">
        <v>3.9204013671875022</v>
      </c>
      <c r="Q167" s="13">
        <v>-0.27882726475230418</v>
      </c>
      <c r="R167" s="14">
        <v>42.114457123156598</v>
      </c>
      <c r="S167" s="13">
        <v>-3.6742980957031222</v>
      </c>
      <c r="T167" s="13">
        <v>-9.1997994384765605</v>
      </c>
      <c r="U167" s="13">
        <v>3.9204013671875022</v>
      </c>
      <c r="V167" s="13">
        <v>-0.27882726475230418</v>
      </c>
      <c r="W167" s="15">
        <v>42.114457123156598</v>
      </c>
      <c r="X167" s="16" t="str">
        <f>IFERROR(_xll.BDP(E167&amp;" Corp","LAST_PRICE"),"--")</f>
        <v>#N/A Requesting Data...</v>
      </c>
      <c r="Y167" s="17" t="str">
        <f>IFERROR(_xll.BDP(E167&amp;" Corp","YAS_BENCHMARK_BOND_ISIN"),"--")</f>
        <v>#N/A Requesting Data...</v>
      </c>
      <c r="Z167" s="18" t="str">
        <f>IFERROR(_xll.BDP(Y167&amp;" CORP","LAST_PRICE"),"--")</f>
        <v>#N/A Requesting Data... CORP</v>
      </c>
      <c r="AA167" s="19" t="str">
        <f>IFERROR(_xll.BDP(E167&amp;" Corp","YAS_YLD_SPREAD","YAS_BOND_PX="&amp;X167,"YAS_BNCHMRK_BOND_PX="&amp;Z167),"--")</f>
        <v>#N/A Requesting Data...</v>
      </c>
      <c r="AB167" s="19" t="str">
        <f>IFERROR(_xll.BDP(E167&amp;" Corp","BLOOMBERG_MID_G_SPREAD","YAS_BOND_PX="&amp;X167,"YAS_BNCHMRK_BOND_PX="&amp;Z167),"--")</f>
        <v>#N/A Requesting Data...</v>
      </c>
      <c r="AC167" s="19" t="str">
        <f>IFERROR(_xll.BDP(D167,"LAST_PRICE"),"--")</f>
        <v>#N/A Requesting Data...</v>
      </c>
      <c r="AD167" s="20"/>
      <c r="AE167" s="19" t="str">
        <f t="shared" si="8"/>
        <v>#N/A Requesting Data...</v>
      </c>
      <c r="AF167" s="19" t="str">
        <f t="shared" si="9"/>
        <v>--</v>
      </c>
      <c r="AG167" s="21" t="str">
        <f t="shared" si="10"/>
        <v>--</v>
      </c>
      <c r="AH167" s="19" t="str">
        <f t="shared" si="11"/>
        <v>--</v>
      </c>
    </row>
    <row r="168" spans="1:34" x14ac:dyDescent="0.45">
      <c r="A168" s="22" t="s">
        <v>695</v>
      </c>
      <c r="B168" s="23" t="s">
        <v>523</v>
      </c>
      <c r="C168" s="22" t="s">
        <v>696</v>
      </c>
      <c r="D168" s="23" t="s">
        <v>697</v>
      </c>
      <c r="E168" s="23" t="s">
        <v>698</v>
      </c>
      <c r="F168" s="24">
        <v>45903</v>
      </c>
      <c r="G168" s="24">
        <v>46226</v>
      </c>
      <c r="H168" s="24">
        <v>48019</v>
      </c>
      <c r="I168" s="25">
        <v>84.592399597167969</v>
      </c>
      <c r="J168" s="25">
        <v>84.592399597167969</v>
      </c>
      <c r="K168" s="25">
        <v>87.441999999999993</v>
      </c>
      <c r="L168" s="25">
        <v>87.549000000000007</v>
      </c>
      <c r="M168" s="26">
        <v>223</v>
      </c>
      <c r="N168" s="27">
        <v>-2.8496004028320239</v>
      </c>
      <c r="O168" s="28">
        <v>-22.642200012207031</v>
      </c>
      <c r="P168" s="28">
        <v>0.84709777832031818</v>
      </c>
      <c r="Q168" s="28">
        <v>-11.550813592337709</v>
      </c>
      <c r="R168" s="29">
        <v>84.262202241553894</v>
      </c>
      <c r="S168" s="28">
        <v>-2.8496004028320239</v>
      </c>
      <c r="T168" s="28">
        <v>-22.642200012207031</v>
      </c>
      <c r="U168" s="28">
        <v>0.84709777832031818</v>
      </c>
      <c r="V168" s="28">
        <v>-11.550813592337709</v>
      </c>
      <c r="W168" s="30">
        <v>84.262202241553894</v>
      </c>
      <c r="X168" s="16" t="str">
        <f>IFERROR(_xll.BDP(E168&amp;" Corp","LAST_PRICE"),"--")</f>
        <v>#N/A Requesting Data...</v>
      </c>
      <c r="Y168" s="17" t="str">
        <f>IFERROR(_xll.BDP(E168&amp;" Corp","YAS_BENCHMARK_BOND_ISIN"),"--")</f>
        <v>#N/A Requesting Data...</v>
      </c>
      <c r="Z168" s="18" t="str">
        <f>IFERROR(_xll.BDP(Y168&amp;" CORP","LAST_PRICE"),"--")</f>
        <v>#N/A Requesting Data... CORP</v>
      </c>
      <c r="AA168" s="19" t="str">
        <f>IFERROR(_xll.BDP(E168&amp;" Corp","YAS_YLD_SPREAD","YAS_BOND_PX="&amp;X168,"YAS_BNCHMRK_BOND_PX="&amp;Z168),"--")</f>
        <v>#N/A Requesting Data...</v>
      </c>
      <c r="AB168" s="19" t="str">
        <f>IFERROR(_xll.BDP(E168&amp;" Corp","BLOOMBERG_MID_G_SPREAD","YAS_BOND_PX="&amp;X168,"YAS_BNCHMRK_BOND_PX="&amp;Z168),"--")</f>
        <v>#N/A Requesting Data...</v>
      </c>
      <c r="AC168" s="19" t="str">
        <f>IFERROR(_xll.BDP(D168,"LAST_PRICE"),"--")</f>
        <v>#N/A Requesting Data...</v>
      </c>
      <c r="AD168" s="20"/>
      <c r="AE168" s="19" t="str">
        <f t="shared" si="8"/>
        <v>#N/A Requesting Data...</v>
      </c>
      <c r="AF168" s="19" t="str">
        <f t="shared" si="9"/>
        <v>--</v>
      </c>
      <c r="AG168" s="21" t="str">
        <f t="shared" si="10"/>
        <v>--</v>
      </c>
      <c r="AH168" s="19" t="str">
        <f t="shared" si="11"/>
        <v>--</v>
      </c>
    </row>
    <row r="169" spans="1:34" x14ac:dyDescent="0.45">
      <c r="A169" s="7" t="s">
        <v>699</v>
      </c>
      <c r="B169" s="8" t="s">
        <v>523</v>
      </c>
      <c r="C169" s="7" t="s">
        <v>700</v>
      </c>
      <c r="D169" s="8" t="s">
        <v>701</v>
      </c>
      <c r="E169" s="8" t="s">
        <v>702</v>
      </c>
      <c r="F169" s="9">
        <v>45659</v>
      </c>
      <c r="G169" s="9">
        <v>46226</v>
      </c>
      <c r="H169" s="9">
        <v>48933</v>
      </c>
      <c r="I169" s="10">
        <v>57.0447998046875</v>
      </c>
      <c r="J169" s="10">
        <v>38.0635986328125</v>
      </c>
      <c r="K169" s="10">
        <v>88.564999999999998</v>
      </c>
      <c r="L169" s="10">
        <v>75.707999999999998</v>
      </c>
      <c r="M169" s="11">
        <v>389</v>
      </c>
      <c r="N169" s="12">
        <v>-31.520200195312501</v>
      </c>
      <c r="O169" s="13">
        <v>-69.268802368164074</v>
      </c>
      <c r="P169" s="13">
        <v>-12.742996643066411</v>
      </c>
      <c r="Q169" s="13">
        <v>-34.030001229960391</v>
      </c>
      <c r="R169" s="14">
        <v>66.781183724181844</v>
      </c>
      <c r="S169" s="13">
        <v>-50.501401367187498</v>
      </c>
      <c r="T169" s="13">
        <v>-86.203201019287121</v>
      </c>
      <c r="U169" s="13">
        <v>-30.142799804687499</v>
      </c>
      <c r="V169" s="13">
        <v>-51.160034555053713</v>
      </c>
      <c r="W169" s="15">
        <v>63.684523975190402</v>
      </c>
      <c r="X169" s="16" t="str">
        <f>IFERROR(_xll.BDP(E169&amp;" Corp","LAST_PRICE"),"--")</f>
        <v>#N/A Requesting Data...</v>
      </c>
      <c r="Y169" s="17" t="str">
        <f>IFERROR(_xll.BDP(E169&amp;" Corp","YAS_BENCHMARK_BOND_ISIN"),"--")</f>
        <v>#N/A Requesting Data...</v>
      </c>
      <c r="Z169" s="18" t="str">
        <f>IFERROR(_xll.BDP(Y169&amp;" CORP","LAST_PRICE"),"--")</f>
        <v>#N/A Requesting Data... CORP</v>
      </c>
      <c r="AA169" s="19" t="str">
        <f>IFERROR(_xll.BDP(E169&amp;" Corp","YAS_YLD_SPREAD","YAS_BOND_PX="&amp;X169,"YAS_BNCHMRK_BOND_PX="&amp;Z169),"--")</f>
        <v>#N/A Requesting Data...</v>
      </c>
      <c r="AB169" s="19" t="str">
        <f>IFERROR(_xll.BDP(E169&amp;" Corp","BLOOMBERG_MID_G_SPREAD","YAS_BOND_PX="&amp;X169,"YAS_BNCHMRK_BOND_PX="&amp;Z169),"--")</f>
        <v>#N/A Requesting Data...</v>
      </c>
      <c r="AC169" s="19" t="str">
        <f>IFERROR(_xll.BDP(D169,"LAST_PRICE"),"--")</f>
        <v>#N/A Requesting Data...</v>
      </c>
      <c r="AD169" s="20"/>
      <c r="AE169" s="19" t="str">
        <f t="shared" si="8"/>
        <v>#N/A Requesting Data...</v>
      </c>
      <c r="AF169" s="19" t="str">
        <f t="shared" si="9"/>
        <v>--</v>
      </c>
      <c r="AG169" s="21" t="str">
        <f t="shared" si="10"/>
        <v>--</v>
      </c>
      <c r="AH169" s="19" t="str">
        <f t="shared" si="11"/>
        <v>--</v>
      </c>
    </row>
    <row r="170" spans="1:34" x14ac:dyDescent="0.45">
      <c r="A170" s="22" t="s">
        <v>703</v>
      </c>
      <c r="B170" s="23" t="s">
        <v>523</v>
      </c>
      <c r="C170" s="22" t="s">
        <v>704</v>
      </c>
      <c r="D170" s="23" t="s">
        <v>705</v>
      </c>
      <c r="E170" s="23" t="s">
        <v>706</v>
      </c>
      <c r="F170" s="24">
        <v>45659</v>
      </c>
      <c r="G170" s="24">
        <v>46226</v>
      </c>
      <c r="H170" s="24">
        <v>49298</v>
      </c>
      <c r="I170" s="25">
        <v>93.68499755859375</v>
      </c>
      <c r="J170" s="25">
        <v>52.95159912109375</v>
      </c>
      <c r="K170" s="25">
        <v>80.033000000000001</v>
      </c>
      <c r="L170" s="25">
        <v>73.998000000000005</v>
      </c>
      <c r="M170" s="26">
        <v>390</v>
      </c>
      <c r="N170" s="27">
        <v>13.651997558593751</v>
      </c>
      <c r="O170" s="28">
        <v>-41.871894165039073</v>
      </c>
      <c r="P170" s="28">
        <v>36.657996704101549</v>
      </c>
      <c r="Q170" s="28">
        <v>13.1174532797789</v>
      </c>
      <c r="R170" s="29">
        <v>70.704149858244207</v>
      </c>
      <c r="S170" s="28">
        <v>-27.081400878906251</v>
      </c>
      <c r="T170" s="28">
        <v>-76.137000366210941</v>
      </c>
      <c r="U170" s="28">
        <v>-2.1994063720703139</v>
      </c>
      <c r="V170" s="28">
        <v>-23.02255464892265</v>
      </c>
      <c r="W170" s="30">
        <v>66.347302958211259</v>
      </c>
      <c r="X170" s="16" t="str">
        <f>IFERROR(_xll.BDP(E170&amp;" Corp","LAST_PRICE"),"--")</f>
        <v>#N/A Requesting Data...</v>
      </c>
      <c r="Y170" s="17" t="str">
        <f>IFERROR(_xll.BDP(E170&amp;" Corp","YAS_BENCHMARK_BOND_ISIN"),"--")</f>
        <v>#N/A Requesting Data...</v>
      </c>
      <c r="Z170" s="18" t="str">
        <f>IFERROR(_xll.BDP(Y170&amp;" CORP","LAST_PRICE"),"--")</f>
        <v>#N/A Requesting Data... CORP</v>
      </c>
      <c r="AA170" s="19" t="str">
        <f>IFERROR(_xll.BDP(E170&amp;" Corp","YAS_YLD_SPREAD","YAS_BOND_PX="&amp;X170,"YAS_BNCHMRK_BOND_PX="&amp;Z170),"--")</f>
        <v>#N/A Requesting Data...</v>
      </c>
      <c r="AB170" s="19" t="str">
        <f>IFERROR(_xll.BDP(E170&amp;" Corp","BLOOMBERG_MID_G_SPREAD","YAS_BOND_PX="&amp;X170,"YAS_BNCHMRK_BOND_PX="&amp;Z170),"--")</f>
        <v>#N/A Requesting Data...</v>
      </c>
      <c r="AC170" s="19" t="str">
        <f>IFERROR(_xll.BDP(D170,"LAST_PRICE"),"--")</f>
        <v>#N/A Requesting Data...</v>
      </c>
      <c r="AD170" s="20"/>
      <c r="AE170" s="19" t="str">
        <f t="shared" si="8"/>
        <v>#N/A Requesting Data...</v>
      </c>
      <c r="AF170" s="19" t="str">
        <f t="shared" si="9"/>
        <v>--</v>
      </c>
      <c r="AG170" s="21" t="str">
        <f t="shared" si="10"/>
        <v>--</v>
      </c>
      <c r="AH170" s="19" t="str">
        <f t="shared" si="11"/>
        <v>--</v>
      </c>
    </row>
    <row r="171" spans="1:34" x14ac:dyDescent="0.45">
      <c r="A171" s="7" t="s">
        <v>707</v>
      </c>
      <c r="B171" s="8" t="s">
        <v>523</v>
      </c>
      <c r="C171" s="7" t="s">
        <v>708</v>
      </c>
      <c r="D171" s="8" t="s">
        <v>709</v>
      </c>
      <c r="E171" s="8" t="s">
        <v>710</v>
      </c>
      <c r="F171" s="9">
        <v>45995</v>
      </c>
      <c r="G171" s="9">
        <v>46226</v>
      </c>
      <c r="H171" s="9">
        <v>47837</v>
      </c>
      <c r="I171" s="10">
        <v>245.5606994628906</v>
      </c>
      <c r="J171" s="10">
        <v>280.67239379882813</v>
      </c>
      <c r="K171" s="10">
        <v>197.09</v>
      </c>
      <c r="L171" s="10">
        <v>198.93899999999999</v>
      </c>
      <c r="M171" s="11">
        <v>160</v>
      </c>
      <c r="N171" s="12">
        <v>48.470699462890622</v>
      </c>
      <c r="O171" s="13">
        <v>-47.480307373046877</v>
      </c>
      <c r="P171" s="13">
        <v>61.181103271484368</v>
      </c>
      <c r="Q171" s="13">
        <v>-4.9322412422180149</v>
      </c>
      <c r="R171" s="14">
        <v>88.302743602166316</v>
      </c>
      <c r="S171" s="13">
        <v>83.582393798828122</v>
      </c>
      <c r="T171" s="13">
        <v>-31.770806884765619</v>
      </c>
      <c r="U171" s="13">
        <v>96.006298583984375</v>
      </c>
      <c r="V171" s="13">
        <v>18.333095843505859</v>
      </c>
      <c r="W171" s="15">
        <v>90.276892922578583</v>
      </c>
      <c r="X171" s="16" t="str">
        <f>IFERROR(_xll.BDP(E171&amp;" Corp","LAST_PRICE"),"--")</f>
        <v>#N/A Requesting Data...</v>
      </c>
      <c r="Y171" s="17" t="str">
        <f>IFERROR(_xll.BDP(E171&amp;" Corp","YAS_BENCHMARK_BOND_ISIN"),"--")</f>
        <v>#N/A Requesting Data...</v>
      </c>
      <c r="Z171" s="18" t="str">
        <f>IFERROR(_xll.BDP(Y171&amp;" CORP","LAST_PRICE"),"--")</f>
        <v>#N/A Requesting Data... CORP</v>
      </c>
      <c r="AA171" s="19" t="str">
        <f>IFERROR(_xll.BDP(E171&amp;" Corp","YAS_YLD_SPREAD","YAS_BOND_PX="&amp;X171,"YAS_BNCHMRK_BOND_PX="&amp;Z171),"--")</f>
        <v>#N/A Requesting Data...</v>
      </c>
      <c r="AB171" s="19" t="str">
        <f>IFERROR(_xll.BDP(E171&amp;" Corp","BLOOMBERG_MID_G_SPREAD","YAS_BOND_PX="&amp;X171,"YAS_BNCHMRK_BOND_PX="&amp;Z171),"--")</f>
        <v>#N/A Requesting Data...</v>
      </c>
      <c r="AC171" s="19" t="str">
        <f>IFERROR(_xll.BDP(D171,"LAST_PRICE"),"--")</f>
        <v>#N/A Requesting Data...</v>
      </c>
      <c r="AD171" s="20"/>
      <c r="AE171" s="19" t="str">
        <f t="shared" si="8"/>
        <v>#N/A Requesting Data...</v>
      </c>
      <c r="AF171" s="19" t="str">
        <f t="shared" si="9"/>
        <v>--</v>
      </c>
      <c r="AG171" s="21" t="str">
        <f t="shared" si="10"/>
        <v>--</v>
      </c>
      <c r="AH171" s="19" t="str">
        <f t="shared" si="11"/>
        <v>--</v>
      </c>
    </row>
    <row r="172" spans="1:34" x14ac:dyDescent="0.45">
      <c r="A172" s="22" t="s">
        <v>711</v>
      </c>
      <c r="B172" s="23" t="s">
        <v>523</v>
      </c>
      <c r="C172" s="22" t="s">
        <v>712</v>
      </c>
      <c r="D172" s="23" t="s">
        <v>713</v>
      </c>
      <c r="E172" s="23" t="s">
        <v>714</v>
      </c>
      <c r="F172" s="24">
        <v>46099</v>
      </c>
      <c r="G172" s="24">
        <v>46226</v>
      </c>
      <c r="H172" s="24">
        <v>48202</v>
      </c>
      <c r="I172" s="25">
        <v>54.035499572753913</v>
      </c>
      <c r="J172" s="25">
        <v>46.919700622558587</v>
      </c>
      <c r="K172" s="25">
        <v>64.494</v>
      </c>
      <c r="L172" s="25">
        <v>67.673000000000002</v>
      </c>
      <c r="M172" s="26">
        <v>89</v>
      </c>
      <c r="N172" s="27">
        <v>-10.45850042724609</v>
      </c>
      <c r="O172" s="28">
        <v>-16.587701416015619</v>
      </c>
      <c r="P172" s="28">
        <v>-1.3718997192382789</v>
      </c>
      <c r="Q172" s="28">
        <v>-9.4615259666871498</v>
      </c>
      <c r="R172" s="29">
        <v>40.281814332975117</v>
      </c>
      <c r="S172" s="28">
        <v>-17.57429937744141</v>
      </c>
      <c r="T172" s="28">
        <v>-23.36219940185546</v>
      </c>
      <c r="U172" s="28">
        <v>-7.9909983825683568</v>
      </c>
      <c r="V172" s="28">
        <v>-16.044477415963499</v>
      </c>
      <c r="W172" s="30">
        <v>37.654182110764509</v>
      </c>
      <c r="X172" s="16" t="str">
        <f>IFERROR(_xll.BDP(E172&amp;" Corp","LAST_PRICE"),"--")</f>
        <v>#N/A Requesting Data...</v>
      </c>
      <c r="Y172" s="17" t="str">
        <f>IFERROR(_xll.BDP(E172&amp;" Corp","YAS_BENCHMARK_BOND_ISIN"),"--")</f>
        <v>#N/A Requesting Data...</v>
      </c>
      <c r="Z172" s="18" t="str">
        <f>IFERROR(_xll.BDP(Y172&amp;" CORP","LAST_PRICE"),"--")</f>
        <v>#N/A Requesting Data... CORP</v>
      </c>
      <c r="AA172" s="19" t="str">
        <f>IFERROR(_xll.BDP(E172&amp;" Corp","YAS_YLD_SPREAD","YAS_BOND_PX="&amp;X172,"YAS_BNCHMRK_BOND_PX="&amp;Z172),"--")</f>
        <v>#N/A Requesting Data...</v>
      </c>
      <c r="AB172" s="19" t="str">
        <f>IFERROR(_xll.BDP(E172&amp;" Corp","BLOOMBERG_MID_G_SPREAD","YAS_BOND_PX="&amp;X172,"YAS_BNCHMRK_BOND_PX="&amp;Z172),"--")</f>
        <v>#N/A Requesting Data...</v>
      </c>
      <c r="AC172" s="19" t="str">
        <f>IFERROR(_xll.BDP(D172,"LAST_PRICE"),"--")</f>
        <v>#N/A Requesting Data...</v>
      </c>
      <c r="AD172" s="20"/>
      <c r="AE172" s="19" t="str">
        <f t="shared" si="8"/>
        <v>#N/A Requesting Data...</v>
      </c>
      <c r="AF172" s="19" t="str">
        <f t="shared" si="9"/>
        <v>--</v>
      </c>
      <c r="AG172" s="21" t="str">
        <f t="shared" si="10"/>
        <v>--</v>
      </c>
      <c r="AH172" s="19" t="str">
        <f t="shared" si="11"/>
        <v>--</v>
      </c>
    </row>
    <row r="173" spans="1:34" x14ac:dyDescent="0.45">
      <c r="A173" s="7" t="s">
        <v>715</v>
      </c>
      <c r="B173" s="8" t="s">
        <v>523</v>
      </c>
      <c r="C173" s="7" t="s">
        <v>716</v>
      </c>
      <c r="D173" s="8" t="s">
        <v>717</v>
      </c>
      <c r="E173" s="8" t="s">
        <v>718</v>
      </c>
      <c r="F173" s="9">
        <v>46071</v>
      </c>
      <c r="G173" s="9">
        <v>46226</v>
      </c>
      <c r="H173" s="9">
        <v>48019</v>
      </c>
      <c r="I173" s="10">
        <v>68.68890380859375</v>
      </c>
      <c r="J173" s="10">
        <v>68.68890380859375</v>
      </c>
      <c r="K173" s="10">
        <v>76.677999999999997</v>
      </c>
      <c r="L173" s="10">
        <v>78.391999999999996</v>
      </c>
      <c r="M173" s="11">
        <v>109</v>
      </c>
      <c r="N173" s="12">
        <v>-7.9890961914062473</v>
      </c>
      <c r="O173" s="13">
        <v>-20.17419769287109</v>
      </c>
      <c r="P173" s="13">
        <v>26.776502319335929</v>
      </c>
      <c r="Q173" s="13">
        <v>-10.590091503458289</v>
      </c>
      <c r="R173" s="14">
        <v>25.95297087859554</v>
      </c>
      <c r="S173" s="13">
        <v>-7.9890961914062473</v>
      </c>
      <c r="T173" s="13">
        <v>-20.17419769287109</v>
      </c>
      <c r="U173" s="13">
        <v>26.776502319335929</v>
      </c>
      <c r="V173" s="13">
        <v>-10.590091503458289</v>
      </c>
      <c r="W173" s="15">
        <v>25.95297087859554</v>
      </c>
      <c r="X173" s="16" t="str">
        <f>IFERROR(_xll.BDP(E173&amp;" Corp","LAST_PRICE"),"--")</f>
        <v>#N/A Requesting Data...</v>
      </c>
      <c r="Y173" s="17" t="str">
        <f>IFERROR(_xll.BDP(E173&amp;" Corp","YAS_BENCHMARK_BOND_ISIN"),"--")</f>
        <v>#N/A Requesting Data...</v>
      </c>
      <c r="Z173" s="18" t="str">
        <f>IFERROR(_xll.BDP(Y173&amp;" CORP","LAST_PRICE"),"--")</f>
        <v>#N/A Requesting Data... CORP</v>
      </c>
      <c r="AA173" s="19" t="str">
        <f>IFERROR(_xll.BDP(E173&amp;" Corp","YAS_YLD_SPREAD","YAS_BOND_PX="&amp;X173,"YAS_BNCHMRK_BOND_PX="&amp;Z173),"--")</f>
        <v>#N/A Requesting Data...</v>
      </c>
      <c r="AB173" s="19" t="str">
        <f>IFERROR(_xll.BDP(E173&amp;" Corp","BLOOMBERG_MID_G_SPREAD","YAS_BOND_PX="&amp;X173,"YAS_BNCHMRK_BOND_PX="&amp;Z173),"--")</f>
        <v>#N/A Requesting Data...</v>
      </c>
      <c r="AC173" s="19" t="str">
        <f>IFERROR(_xll.BDP(D173,"LAST_PRICE"),"--")</f>
        <v>#N/A Requesting Data...</v>
      </c>
      <c r="AD173" s="20"/>
      <c r="AE173" s="19" t="str">
        <f t="shared" si="8"/>
        <v>#N/A Requesting Data...</v>
      </c>
      <c r="AF173" s="19" t="str">
        <f t="shared" si="9"/>
        <v>--</v>
      </c>
      <c r="AG173" s="21" t="str">
        <f t="shared" si="10"/>
        <v>--</v>
      </c>
      <c r="AH173" s="19" t="str">
        <f t="shared" si="11"/>
        <v>--</v>
      </c>
    </row>
    <row r="174" spans="1:34" x14ac:dyDescent="0.45">
      <c r="A174" s="22" t="s">
        <v>719</v>
      </c>
      <c r="B174" s="23" t="s">
        <v>523</v>
      </c>
      <c r="C174" s="22" t="s">
        <v>720</v>
      </c>
      <c r="D174" s="23" t="s">
        <v>721</v>
      </c>
      <c r="E174" s="23" t="s">
        <v>722</v>
      </c>
      <c r="F174" s="24">
        <v>45978</v>
      </c>
      <c r="G174" s="24">
        <v>46226</v>
      </c>
      <c r="H174" s="24">
        <v>48019</v>
      </c>
      <c r="I174" s="25">
        <v>53.609100341796882</v>
      </c>
      <c r="J174" s="25">
        <v>53.609100341796882</v>
      </c>
      <c r="K174" s="25">
        <v>67.882999999999996</v>
      </c>
      <c r="L174" s="25">
        <v>67.605000000000004</v>
      </c>
      <c r="M174" s="26">
        <v>172</v>
      </c>
      <c r="N174" s="27">
        <v>-14.273899658203121</v>
      </c>
      <c r="O174" s="28">
        <v>-20.291100891113292</v>
      </c>
      <c r="P174" s="28">
        <v>-5.118498626708984</v>
      </c>
      <c r="Q174" s="28">
        <v>-11.96372897072726</v>
      </c>
      <c r="R174" s="29">
        <v>39.658333673102518</v>
      </c>
      <c r="S174" s="28">
        <v>-14.273899658203121</v>
      </c>
      <c r="T174" s="28">
        <v>-20.291100891113292</v>
      </c>
      <c r="U174" s="28">
        <v>-5.118498626708984</v>
      </c>
      <c r="V174" s="28">
        <v>-11.96372897072726</v>
      </c>
      <c r="W174" s="30">
        <v>39.658333673102518</v>
      </c>
      <c r="X174" s="16" t="str">
        <f>IFERROR(_xll.BDP(E174&amp;" Corp","LAST_PRICE"),"--")</f>
        <v>#N/A Requesting Data...</v>
      </c>
      <c r="Y174" s="17" t="str">
        <f>IFERROR(_xll.BDP(E174&amp;" Corp","YAS_BENCHMARK_BOND_ISIN"),"--")</f>
        <v>#N/A Requesting Data...</v>
      </c>
      <c r="Z174" s="18" t="str">
        <f>IFERROR(_xll.BDP(Y174&amp;" CORP","LAST_PRICE"),"--")</f>
        <v>#N/A Requesting Data... CORP</v>
      </c>
      <c r="AA174" s="19" t="str">
        <f>IFERROR(_xll.BDP(E174&amp;" Corp","YAS_YLD_SPREAD","YAS_BOND_PX="&amp;X174,"YAS_BNCHMRK_BOND_PX="&amp;Z174),"--")</f>
        <v>#N/A Requesting Data...</v>
      </c>
      <c r="AB174" s="19" t="str">
        <f>IFERROR(_xll.BDP(E174&amp;" Corp","BLOOMBERG_MID_G_SPREAD","YAS_BOND_PX="&amp;X174,"YAS_BNCHMRK_BOND_PX="&amp;Z174),"--")</f>
        <v>#N/A Requesting Data...</v>
      </c>
      <c r="AC174" s="19" t="str">
        <f>IFERROR(_xll.BDP(D174,"LAST_PRICE"),"--")</f>
        <v>#N/A Requesting Data...</v>
      </c>
      <c r="AD174" s="20"/>
      <c r="AE174" s="19" t="str">
        <f t="shared" si="8"/>
        <v>#N/A Requesting Data...</v>
      </c>
      <c r="AF174" s="19" t="str">
        <f t="shared" si="9"/>
        <v>--</v>
      </c>
      <c r="AG174" s="21" t="str">
        <f t="shared" si="10"/>
        <v>--</v>
      </c>
      <c r="AH174" s="19" t="str">
        <f t="shared" si="11"/>
        <v>--</v>
      </c>
    </row>
    <row r="175" spans="1:34" x14ac:dyDescent="0.45">
      <c r="A175" s="7" t="s">
        <v>723</v>
      </c>
      <c r="B175" s="8" t="s">
        <v>523</v>
      </c>
      <c r="C175" s="7" t="s">
        <v>724</v>
      </c>
      <c r="D175" s="8" t="s">
        <v>725</v>
      </c>
      <c r="E175" s="8" t="s">
        <v>726</v>
      </c>
      <c r="F175" s="9">
        <v>45659</v>
      </c>
      <c r="G175" s="9">
        <v>46226</v>
      </c>
      <c r="H175" s="9">
        <v>49298</v>
      </c>
      <c r="I175" s="10">
        <v>90.151603698730469</v>
      </c>
      <c r="J175" s="10">
        <v>54.837898254394531</v>
      </c>
      <c r="K175" s="10">
        <v>92.313000000000002</v>
      </c>
      <c r="L175" s="10">
        <v>85.408000000000001</v>
      </c>
      <c r="M175" s="11">
        <v>390</v>
      </c>
      <c r="N175" s="12">
        <v>-2.1613963012695341</v>
      </c>
      <c r="O175" s="13">
        <v>-37.943892700195313</v>
      </c>
      <c r="P175" s="13">
        <v>4.6131036987304697</v>
      </c>
      <c r="Q175" s="13">
        <v>-10.779963952793221</v>
      </c>
      <c r="R175" s="14">
        <v>84.081348372200893</v>
      </c>
      <c r="S175" s="13">
        <v>-37.475101745605471</v>
      </c>
      <c r="T175" s="13">
        <v>-70.742896301269525</v>
      </c>
      <c r="U175" s="13">
        <v>-26.39720196533203</v>
      </c>
      <c r="V175" s="13">
        <v>-43.959933926235102</v>
      </c>
      <c r="W175" s="15">
        <v>75.019221265646124</v>
      </c>
      <c r="X175" s="16" t="str">
        <f>IFERROR(_xll.BDP(E175&amp;" Corp","LAST_PRICE"),"--")</f>
        <v>#N/A Requesting Data...</v>
      </c>
      <c r="Y175" s="17" t="str">
        <f>IFERROR(_xll.BDP(E175&amp;" Corp","YAS_BENCHMARK_BOND_ISIN"),"--")</f>
        <v>#N/A Requesting Data...</v>
      </c>
      <c r="Z175" s="18" t="str">
        <f>IFERROR(_xll.BDP(Y175&amp;" CORP","LAST_PRICE"),"--")</f>
        <v>#N/A Requesting Data... CORP</v>
      </c>
      <c r="AA175" s="19" t="str">
        <f>IFERROR(_xll.BDP(E175&amp;" Corp","YAS_YLD_SPREAD","YAS_BOND_PX="&amp;X175,"YAS_BNCHMRK_BOND_PX="&amp;Z175),"--")</f>
        <v>#N/A Requesting Data...</v>
      </c>
      <c r="AB175" s="19" t="str">
        <f>IFERROR(_xll.BDP(E175&amp;" Corp","BLOOMBERG_MID_G_SPREAD","YAS_BOND_PX="&amp;X175,"YAS_BNCHMRK_BOND_PX="&amp;Z175),"--")</f>
        <v>#N/A Requesting Data...</v>
      </c>
      <c r="AC175" s="19" t="str">
        <f>IFERROR(_xll.BDP(D175,"LAST_PRICE"),"--")</f>
        <v>#N/A Requesting Data...</v>
      </c>
      <c r="AD175" s="20"/>
      <c r="AE175" s="19" t="str">
        <f t="shared" si="8"/>
        <v>#N/A Requesting Data...</v>
      </c>
      <c r="AF175" s="19" t="str">
        <f t="shared" si="9"/>
        <v>--</v>
      </c>
      <c r="AG175" s="21" t="str">
        <f t="shared" si="10"/>
        <v>--</v>
      </c>
      <c r="AH175" s="19" t="str">
        <f t="shared" si="11"/>
        <v>--</v>
      </c>
    </row>
    <row r="176" spans="1:34" x14ac:dyDescent="0.45">
      <c r="A176" s="22" t="s">
        <v>727</v>
      </c>
      <c r="B176" s="23" t="s">
        <v>523</v>
      </c>
      <c r="C176" s="22" t="s">
        <v>728</v>
      </c>
      <c r="D176" s="23" t="s">
        <v>729</v>
      </c>
      <c r="E176" s="23" t="s">
        <v>730</v>
      </c>
      <c r="F176" s="24">
        <v>45659</v>
      </c>
      <c r="G176" s="24">
        <v>46226</v>
      </c>
      <c r="H176" s="24">
        <v>48750</v>
      </c>
      <c r="I176" s="25">
        <v>41.366100311279297</v>
      </c>
      <c r="J176" s="25">
        <v>30.481399536132809</v>
      </c>
      <c r="K176" s="25">
        <v>72.224999999999994</v>
      </c>
      <c r="L176" s="25">
        <v>59.125999999999998</v>
      </c>
      <c r="M176" s="26">
        <v>390</v>
      </c>
      <c r="N176" s="27">
        <v>-30.858899688720701</v>
      </c>
      <c r="O176" s="28">
        <v>-55.229198425292957</v>
      </c>
      <c r="P176" s="28">
        <v>-16.82619915771485</v>
      </c>
      <c r="Q176" s="28">
        <v>-29.219480535497421</v>
      </c>
      <c r="R176" s="29">
        <v>63.459363074141407</v>
      </c>
      <c r="S176" s="28">
        <v>-41.743600463867182</v>
      </c>
      <c r="T176" s="28">
        <v>-65.532300445556643</v>
      </c>
      <c r="U176" s="28">
        <v>-27.563301666259768</v>
      </c>
      <c r="V176" s="28">
        <v>-39.747998918816982</v>
      </c>
      <c r="W176" s="30">
        <v>62.652955691474752</v>
      </c>
      <c r="X176" s="16" t="str">
        <f>IFERROR(_xll.BDP(E176&amp;" Corp","LAST_PRICE"),"--")</f>
        <v>#N/A Requesting Data...</v>
      </c>
      <c r="Y176" s="17" t="str">
        <f>IFERROR(_xll.BDP(E176&amp;" Corp","YAS_BENCHMARK_BOND_ISIN"),"--")</f>
        <v>#N/A Requesting Data...</v>
      </c>
      <c r="Z176" s="18" t="str">
        <f>IFERROR(_xll.BDP(Y176&amp;" CORP","LAST_PRICE"),"--")</f>
        <v>#N/A Requesting Data... CORP</v>
      </c>
      <c r="AA176" s="19" t="str">
        <f>IFERROR(_xll.BDP(E176&amp;" Corp","YAS_YLD_SPREAD","YAS_BOND_PX="&amp;X176,"YAS_BNCHMRK_BOND_PX="&amp;Z176),"--")</f>
        <v>#N/A Requesting Data...</v>
      </c>
      <c r="AB176" s="19" t="str">
        <f>IFERROR(_xll.BDP(E176&amp;" Corp","BLOOMBERG_MID_G_SPREAD","YAS_BOND_PX="&amp;X176,"YAS_BNCHMRK_BOND_PX="&amp;Z176),"--")</f>
        <v>#N/A Requesting Data...</v>
      </c>
      <c r="AC176" s="19" t="str">
        <f>IFERROR(_xll.BDP(D176,"LAST_PRICE"),"--")</f>
        <v>#N/A Requesting Data...</v>
      </c>
      <c r="AD176" s="20"/>
      <c r="AE176" s="19" t="str">
        <f t="shared" si="8"/>
        <v>#N/A Requesting Data...</v>
      </c>
      <c r="AF176" s="19" t="str">
        <f t="shared" si="9"/>
        <v>--</v>
      </c>
      <c r="AG176" s="21" t="str">
        <f t="shared" si="10"/>
        <v>--</v>
      </c>
      <c r="AH176" s="19" t="str">
        <f t="shared" si="11"/>
        <v>--</v>
      </c>
    </row>
    <row r="177" spans="1:34" x14ac:dyDescent="0.45">
      <c r="A177" s="7" t="s">
        <v>731</v>
      </c>
      <c r="B177" s="8" t="s">
        <v>523</v>
      </c>
      <c r="C177" s="7" t="s">
        <v>732</v>
      </c>
      <c r="D177" s="8" t="s">
        <v>733</v>
      </c>
      <c r="E177" s="8" t="s">
        <v>734</v>
      </c>
      <c r="F177" s="9">
        <v>45659</v>
      </c>
      <c r="G177" s="9">
        <v>46226</v>
      </c>
      <c r="H177" s="9">
        <v>48019</v>
      </c>
      <c r="I177" s="10">
        <v>83.000099182128906</v>
      </c>
      <c r="J177" s="10">
        <v>83.000099182128906</v>
      </c>
      <c r="K177" s="10">
        <v>75.212000000000003</v>
      </c>
      <c r="L177" s="10">
        <v>75.012</v>
      </c>
      <c r="M177" s="11">
        <v>390</v>
      </c>
      <c r="N177" s="12">
        <v>7.788099182128903</v>
      </c>
      <c r="O177" s="13">
        <v>-35.787998840332023</v>
      </c>
      <c r="P177" s="13">
        <v>20.34649719238281</v>
      </c>
      <c r="Q177" s="13">
        <v>-1.401154290067232</v>
      </c>
      <c r="R177" s="14">
        <v>77.628020383517921</v>
      </c>
      <c r="S177" s="13">
        <v>7.788099182128903</v>
      </c>
      <c r="T177" s="13">
        <v>-35.787998840332023</v>
      </c>
      <c r="U177" s="13">
        <v>20.34649719238281</v>
      </c>
      <c r="V177" s="13">
        <v>-1.401154290067232</v>
      </c>
      <c r="W177" s="15">
        <v>77.628020383517921</v>
      </c>
      <c r="X177" s="16" t="str">
        <f>IFERROR(_xll.BDP(E177&amp;" Corp","LAST_PRICE"),"--")</f>
        <v>#N/A Requesting Data...</v>
      </c>
      <c r="Y177" s="17" t="str">
        <f>IFERROR(_xll.BDP(E177&amp;" Corp","YAS_BENCHMARK_BOND_ISIN"),"--")</f>
        <v>#N/A Requesting Data...</v>
      </c>
      <c r="Z177" s="18" t="str">
        <f>IFERROR(_xll.BDP(Y177&amp;" CORP","LAST_PRICE"),"--")</f>
        <v>#N/A Requesting Data... CORP</v>
      </c>
      <c r="AA177" s="19" t="str">
        <f>IFERROR(_xll.BDP(E177&amp;" Corp","YAS_YLD_SPREAD","YAS_BOND_PX="&amp;X177,"YAS_BNCHMRK_BOND_PX="&amp;Z177),"--")</f>
        <v>#N/A Requesting Data...</v>
      </c>
      <c r="AB177" s="19" t="str">
        <f>IFERROR(_xll.BDP(E177&amp;" Corp","BLOOMBERG_MID_G_SPREAD","YAS_BOND_PX="&amp;X177,"YAS_BNCHMRK_BOND_PX="&amp;Z177),"--")</f>
        <v>#N/A Requesting Data...</v>
      </c>
      <c r="AC177" s="19" t="str">
        <f>IFERROR(_xll.BDP(D177,"LAST_PRICE"),"--")</f>
        <v>#N/A Requesting Data...</v>
      </c>
      <c r="AD177" s="20"/>
      <c r="AE177" s="19" t="str">
        <f t="shared" si="8"/>
        <v>#N/A Requesting Data...</v>
      </c>
      <c r="AF177" s="19" t="str">
        <f t="shared" si="9"/>
        <v>--</v>
      </c>
      <c r="AG177" s="21" t="str">
        <f t="shared" si="10"/>
        <v>--</v>
      </c>
      <c r="AH177" s="19" t="str">
        <f t="shared" si="11"/>
        <v>--</v>
      </c>
    </row>
    <row r="178" spans="1:34" x14ac:dyDescent="0.45">
      <c r="A178" s="22" t="s">
        <v>735</v>
      </c>
      <c r="B178" s="23" t="s">
        <v>523</v>
      </c>
      <c r="C178" s="22" t="s">
        <v>736</v>
      </c>
      <c r="D178" s="23" t="s">
        <v>737</v>
      </c>
      <c r="E178" s="23" t="s">
        <v>738</v>
      </c>
      <c r="F178" s="24">
        <v>45659</v>
      </c>
      <c r="G178" s="24">
        <v>46226</v>
      </c>
      <c r="H178" s="24">
        <v>48202</v>
      </c>
      <c r="I178" s="25">
        <v>157.5187072753906</v>
      </c>
      <c r="J178" s="25">
        <v>143.77870178222659</v>
      </c>
      <c r="K178" s="25">
        <v>130.02799999999999</v>
      </c>
      <c r="L178" s="25">
        <v>131.035</v>
      </c>
      <c r="M178" s="26">
        <v>390</v>
      </c>
      <c r="N178" s="27">
        <v>27.49070727539063</v>
      </c>
      <c r="O178" s="28">
        <v>8.0846070556640655</v>
      </c>
      <c r="P178" s="28">
        <v>54.672095947265632</v>
      </c>
      <c r="Q178" s="28">
        <v>29.735340775553389</v>
      </c>
      <c r="R178" s="29">
        <v>41.655175416043832</v>
      </c>
      <c r="S178" s="28">
        <v>13.750701782226569</v>
      </c>
      <c r="T178" s="28">
        <v>-0.89769274902343454</v>
      </c>
      <c r="U178" s="28">
        <v>43.693092041015632</v>
      </c>
      <c r="V178" s="28">
        <v>19.79850508062901</v>
      </c>
      <c r="W178" s="30">
        <v>32.850721511683837</v>
      </c>
      <c r="X178" s="16" t="str">
        <f>IFERROR(_xll.BDP(E178&amp;" Corp","LAST_PRICE"),"--")</f>
        <v>#N/A Requesting Data...</v>
      </c>
      <c r="Y178" s="17" t="str">
        <f>IFERROR(_xll.BDP(E178&amp;" Corp","YAS_BENCHMARK_BOND_ISIN"),"--")</f>
        <v>#N/A Requesting Data...</v>
      </c>
      <c r="Z178" s="18" t="str">
        <f>IFERROR(_xll.BDP(Y178&amp;" CORP","LAST_PRICE"),"--")</f>
        <v>#N/A Requesting Data... CORP</v>
      </c>
      <c r="AA178" s="19" t="str">
        <f>IFERROR(_xll.BDP(E178&amp;" Corp","YAS_YLD_SPREAD","YAS_BOND_PX="&amp;X178,"YAS_BNCHMRK_BOND_PX="&amp;Z178),"--")</f>
        <v>#N/A Requesting Data...</v>
      </c>
      <c r="AB178" s="19" t="str">
        <f>IFERROR(_xll.BDP(E178&amp;" Corp","BLOOMBERG_MID_G_SPREAD","YAS_BOND_PX="&amp;X178,"YAS_BNCHMRK_BOND_PX="&amp;Z178),"--")</f>
        <v>#N/A Requesting Data...</v>
      </c>
      <c r="AC178" s="19" t="str">
        <f>IFERROR(_xll.BDP(D178,"LAST_PRICE"),"--")</f>
        <v>#N/A Requesting Data...</v>
      </c>
      <c r="AD178" s="20"/>
      <c r="AE178" s="19" t="str">
        <f t="shared" si="8"/>
        <v>#N/A Requesting Data...</v>
      </c>
      <c r="AF178" s="19" t="str">
        <f t="shared" si="9"/>
        <v>--</v>
      </c>
      <c r="AG178" s="21" t="str">
        <f t="shared" si="10"/>
        <v>--</v>
      </c>
      <c r="AH178" s="19" t="str">
        <f t="shared" si="11"/>
        <v>--</v>
      </c>
    </row>
    <row r="179" spans="1:34" x14ac:dyDescent="0.45">
      <c r="A179" s="7" t="s">
        <v>739</v>
      </c>
      <c r="B179" s="8" t="s">
        <v>523</v>
      </c>
      <c r="C179" s="7" t="s">
        <v>740</v>
      </c>
      <c r="D179" s="8" t="s">
        <v>741</v>
      </c>
      <c r="E179" s="8" t="s">
        <v>742</v>
      </c>
      <c r="F179" s="9">
        <v>45659</v>
      </c>
      <c r="G179" s="9">
        <v>46226</v>
      </c>
      <c r="H179" s="9">
        <v>49298</v>
      </c>
      <c r="I179" s="10">
        <v>109.1697998046875</v>
      </c>
      <c r="J179" s="10">
        <v>68.741798400878906</v>
      </c>
      <c r="K179" s="10">
        <v>78.066000000000003</v>
      </c>
      <c r="L179" s="10">
        <v>71.492000000000004</v>
      </c>
      <c r="M179" s="11">
        <v>390</v>
      </c>
      <c r="N179" s="12">
        <v>31.103799804687501</v>
      </c>
      <c r="O179" s="13">
        <v>-2.0708043212890739</v>
      </c>
      <c r="P179" s="13">
        <v>39.551893310546873</v>
      </c>
      <c r="Q179" s="13">
        <v>22.698906371131311</v>
      </c>
      <c r="R179" s="14">
        <v>79.703157203828894</v>
      </c>
      <c r="S179" s="13">
        <v>-9.3242015991210963</v>
      </c>
      <c r="T179" s="13">
        <v>-30.634502136230481</v>
      </c>
      <c r="U179" s="13">
        <v>10.6271982421875</v>
      </c>
      <c r="V179" s="13">
        <v>-8.7857942572960468</v>
      </c>
      <c r="W179" s="15">
        <v>51.64668528361419</v>
      </c>
      <c r="X179" s="16" t="str">
        <f>IFERROR(_xll.BDP(E179&amp;" Corp","LAST_PRICE"),"--")</f>
        <v>#N/A Requesting Data...</v>
      </c>
      <c r="Y179" s="17" t="str">
        <f>IFERROR(_xll.BDP(E179&amp;" Corp","YAS_BENCHMARK_BOND_ISIN"),"--")</f>
        <v>#N/A Requesting Data...</v>
      </c>
      <c r="Z179" s="18" t="str">
        <f>IFERROR(_xll.BDP(Y179&amp;" CORP","LAST_PRICE"),"--")</f>
        <v>#N/A Requesting Data... CORP</v>
      </c>
      <c r="AA179" s="19" t="str">
        <f>IFERROR(_xll.BDP(E179&amp;" Corp","YAS_YLD_SPREAD","YAS_BOND_PX="&amp;X179,"YAS_BNCHMRK_BOND_PX="&amp;Z179),"--")</f>
        <v>#N/A Requesting Data...</v>
      </c>
      <c r="AB179" s="19" t="str">
        <f>IFERROR(_xll.BDP(E179&amp;" Corp","BLOOMBERG_MID_G_SPREAD","YAS_BOND_PX="&amp;X179,"YAS_BNCHMRK_BOND_PX="&amp;Z179),"--")</f>
        <v>#N/A Requesting Data...</v>
      </c>
      <c r="AC179" s="19" t="str">
        <f>IFERROR(_xll.BDP(D179,"LAST_PRICE"),"--")</f>
        <v>#N/A Requesting Data...</v>
      </c>
      <c r="AD179" s="20"/>
      <c r="AE179" s="19" t="str">
        <f t="shared" si="8"/>
        <v>#N/A Requesting Data...</v>
      </c>
      <c r="AF179" s="19" t="str">
        <f t="shared" si="9"/>
        <v>--</v>
      </c>
      <c r="AG179" s="21" t="str">
        <f t="shared" si="10"/>
        <v>--</v>
      </c>
      <c r="AH179" s="19" t="str">
        <f t="shared" si="11"/>
        <v>--</v>
      </c>
    </row>
    <row r="180" spans="1:34" x14ac:dyDescent="0.45">
      <c r="A180" s="22" t="s">
        <v>743</v>
      </c>
      <c r="B180" s="23" t="s">
        <v>523</v>
      </c>
      <c r="C180" s="22" t="s">
        <v>744</v>
      </c>
      <c r="D180" s="23" t="s">
        <v>745</v>
      </c>
      <c r="E180" s="23" t="s">
        <v>746</v>
      </c>
      <c r="F180" s="24">
        <v>45863</v>
      </c>
      <c r="G180" s="24">
        <v>46226</v>
      </c>
      <c r="H180" s="24">
        <v>48568</v>
      </c>
      <c r="I180" s="25">
        <v>58.701900482177727</v>
      </c>
      <c r="J180" s="25">
        <v>42.944900512695313</v>
      </c>
      <c r="K180" s="25">
        <v>93.542000000000002</v>
      </c>
      <c r="L180" s="25">
        <v>94.753</v>
      </c>
      <c r="M180" s="26">
        <v>254</v>
      </c>
      <c r="N180" s="27">
        <v>-34.840099517822267</v>
      </c>
      <c r="O180" s="28">
        <v>-44.508900451660153</v>
      </c>
      <c r="P180" s="28">
        <v>-6.5973976440429709</v>
      </c>
      <c r="Q180" s="28">
        <v>-31.757569626094789</v>
      </c>
      <c r="R180" s="29">
        <v>25.503607659402071</v>
      </c>
      <c r="S180" s="28">
        <v>-50.597099487304689</v>
      </c>
      <c r="T180" s="28">
        <v>-56.891398834228511</v>
      </c>
      <c r="U180" s="28">
        <v>-18.918400604248049</v>
      </c>
      <c r="V180" s="28">
        <v>-45.328615704393762</v>
      </c>
      <c r="W180" s="30">
        <v>16.575723909929089</v>
      </c>
      <c r="X180" s="16" t="str">
        <f>IFERROR(_xll.BDP(E180&amp;" Corp","LAST_PRICE"),"--")</f>
        <v>#N/A Requesting Data...</v>
      </c>
      <c r="Y180" s="17" t="str">
        <f>IFERROR(_xll.BDP(E180&amp;" Corp","YAS_BENCHMARK_BOND_ISIN"),"--")</f>
        <v>#N/A Requesting Data...</v>
      </c>
      <c r="Z180" s="18" t="str">
        <f>IFERROR(_xll.BDP(Y180&amp;" CORP","LAST_PRICE"),"--")</f>
        <v>#N/A Requesting Data... CORP</v>
      </c>
      <c r="AA180" s="19" t="str">
        <f>IFERROR(_xll.BDP(E180&amp;" Corp","YAS_YLD_SPREAD","YAS_BOND_PX="&amp;X180,"YAS_BNCHMRK_BOND_PX="&amp;Z180),"--")</f>
        <v>#N/A Requesting Data...</v>
      </c>
      <c r="AB180" s="19" t="str">
        <f>IFERROR(_xll.BDP(E180&amp;" Corp","BLOOMBERG_MID_G_SPREAD","YAS_BOND_PX="&amp;X180,"YAS_BNCHMRK_BOND_PX="&amp;Z180),"--")</f>
        <v>#N/A Requesting Data...</v>
      </c>
      <c r="AC180" s="19" t="str">
        <f>IFERROR(_xll.BDP(D180,"LAST_PRICE"),"--")</f>
        <v>#N/A Requesting Data...</v>
      </c>
      <c r="AD180" s="20"/>
      <c r="AE180" s="19" t="str">
        <f t="shared" si="8"/>
        <v>#N/A Requesting Data...</v>
      </c>
      <c r="AF180" s="19" t="str">
        <f t="shared" si="9"/>
        <v>--</v>
      </c>
      <c r="AG180" s="21" t="str">
        <f t="shared" si="10"/>
        <v>--</v>
      </c>
      <c r="AH180" s="19" t="str">
        <f t="shared" si="11"/>
        <v>--</v>
      </c>
    </row>
    <row r="181" spans="1:34" x14ac:dyDescent="0.45">
      <c r="A181" s="7" t="s">
        <v>747</v>
      </c>
      <c r="B181" s="8" t="s">
        <v>523</v>
      </c>
      <c r="C181" s="7" t="s">
        <v>748</v>
      </c>
      <c r="D181" s="8" t="s">
        <v>749</v>
      </c>
      <c r="E181" s="8" t="s">
        <v>750</v>
      </c>
      <c r="F181" s="9">
        <v>46048</v>
      </c>
      <c r="G181" s="9">
        <v>46226</v>
      </c>
      <c r="H181" s="9">
        <v>48750</v>
      </c>
      <c r="I181" s="10">
        <v>54.770999908447273</v>
      </c>
      <c r="J181" s="10">
        <v>39.501899719238281</v>
      </c>
      <c r="K181" s="10">
        <v>79.347999999999999</v>
      </c>
      <c r="L181" s="10">
        <v>78.153999999999996</v>
      </c>
      <c r="M181" s="11">
        <v>125</v>
      </c>
      <c r="N181" s="12">
        <v>-24.57700009155273</v>
      </c>
      <c r="O181" s="13">
        <v>-32.328800750732427</v>
      </c>
      <c r="P181" s="13">
        <v>-18.113799774169919</v>
      </c>
      <c r="Q181" s="13">
        <v>-25.094259312988289</v>
      </c>
      <c r="R181" s="14">
        <v>54.532536944322082</v>
      </c>
      <c r="S181" s="13">
        <v>-39.846100280761718</v>
      </c>
      <c r="T181" s="13">
        <v>-45.280798797607417</v>
      </c>
      <c r="U181" s="13">
        <v>-30.58179895019531</v>
      </c>
      <c r="V181" s="13">
        <v>-39.559232091308587</v>
      </c>
      <c r="W181" s="15">
        <v>36.973253780953847</v>
      </c>
      <c r="X181" s="16" t="str">
        <f>IFERROR(_xll.BDP(E181&amp;" Corp","LAST_PRICE"),"--")</f>
        <v>#N/A Requesting Data...</v>
      </c>
      <c r="Y181" s="17" t="str">
        <f>IFERROR(_xll.BDP(E181&amp;" Corp","YAS_BENCHMARK_BOND_ISIN"),"--")</f>
        <v>#N/A Requesting Data...</v>
      </c>
      <c r="Z181" s="18" t="str">
        <f>IFERROR(_xll.BDP(Y181&amp;" CORP","LAST_PRICE"),"--")</f>
        <v>#N/A Requesting Data... CORP</v>
      </c>
      <c r="AA181" s="19" t="str">
        <f>IFERROR(_xll.BDP(E181&amp;" Corp","YAS_YLD_SPREAD","YAS_BOND_PX="&amp;X181,"YAS_BNCHMRK_BOND_PX="&amp;Z181),"--")</f>
        <v>#N/A Requesting Data...</v>
      </c>
      <c r="AB181" s="19" t="str">
        <f>IFERROR(_xll.BDP(E181&amp;" Corp","BLOOMBERG_MID_G_SPREAD","YAS_BOND_PX="&amp;X181,"YAS_BNCHMRK_BOND_PX="&amp;Z181),"--")</f>
        <v>#N/A Requesting Data...</v>
      </c>
      <c r="AC181" s="19" t="str">
        <f>IFERROR(_xll.BDP(D181,"LAST_PRICE"),"--")</f>
        <v>#N/A Requesting Data...</v>
      </c>
      <c r="AD181" s="20"/>
      <c r="AE181" s="19" t="str">
        <f t="shared" si="8"/>
        <v>#N/A Requesting Data...</v>
      </c>
      <c r="AF181" s="19" t="str">
        <f t="shared" si="9"/>
        <v>--</v>
      </c>
      <c r="AG181" s="21" t="str">
        <f t="shared" si="10"/>
        <v>--</v>
      </c>
      <c r="AH181" s="19" t="str">
        <f t="shared" si="11"/>
        <v>--</v>
      </c>
    </row>
    <row r="182" spans="1:34" x14ac:dyDescent="0.45">
      <c r="A182" s="22" t="s">
        <v>751</v>
      </c>
      <c r="B182" s="23" t="s">
        <v>523</v>
      </c>
      <c r="C182" s="22" t="s">
        <v>752</v>
      </c>
      <c r="D182" s="23" t="s">
        <v>753</v>
      </c>
      <c r="E182" s="23" t="s">
        <v>754</v>
      </c>
      <c r="F182" s="24">
        <v>45659</v>
      </c>
      <c r="G182" s="24">
        <v>46226</v>
      </c>
      <c r="H182" s="24">
        <v>48385</v>
      </c>
      <c r="I182" s="25">
        <v>28.297800064086911</v>
      </c>
      <c r="J182" s="25">
        <v>20.369600296020511</v>
      </c>
      <c r="K182" s="25">
        <v>42.75</v>
      </c>
      <c r="L182" s="25">
        <v>47.518999999999998</v>
      </c>
      <c r="M182" s="26">
        <v>390</v>
      </c>
      <c r="N182" s="27">
        <v>-14.452199935913089</v>
      </c>
      <c r="O182" s="28">
        <v>-39.461899658203123</v>
      </c>
      <c r="P182" s="28">
        <v>11.586400817871089</v>
      </c>
      <c r="Q182" s="28">
        <v>-8.2760578451694577</v>
      </c>
      <c r="R182" s="29">
        <v>48.992227927375978</v>
      </c>
      <c r="S182" s="28">
        <v>-22.380399703979489</v>
      </c>
      <c r="T182" s="28">
        <v>-45.796799560546873</v>
      </c>
      <c r="U182" s="28">
        <v>4.5114000549316424</v>
      </c>
      <c r="V182" s="28">
        <v>-15.177136651337451</v>
      </c>
      <c r="W182" s="30">
        <v>46.545891197749739</v>
      </c>
      <c r="X182" s="16" t="str">
        <f>IFERROR(_xll.BDP(E182&amp;" Corp","LAST_PRICE"),"--")</f>
        <v>#N/A Requesting Data...</v>
      </c>
      <c r="Y182" s="17" t="str">
        <f>IFERROR(_xll.BDP(E182&amp;" Corp","YAS_BENCHMARK_BOND_ISIN"),"--")</f>
        <v>#N/A Requesting Data...</v>
      </c>
      <c r="Z182" s="18" t="str">
        <f>IFERROR(_xll.BDP(Y182&amp;" CORP","LAST_PRICE"),"--")</f>
        <v>#N/A Requesting Data... CORP</v>
      </c>
      <c r="AA182" s="19" t="str">
        <f>IFERROR(_xll.BDP(E182&amp;" Corp","YAS_YLD_SPREAD","YAS_BOND_PX="&amp;X182,"YAS_BNCHMRK_BOND_PX="&amp;Z182),"--")</f>
        <v>#N/A Requesting Data...</v>
      </c>
      <c r="AB182" s="19" t="str">
        <f>IFERROR(_xll.BDP(E182&amp;" Corp","BLOOMBERG_MID_G_SPREAD","YAS_BOND_PX="&amp;X182,"YAS_BNCHMRK_BOND_PX="&amp;Z182),"--")</f>
        <v>#N/A Requesting Data...</v>
      </c>
      <c r="AC182" s="19" t="str">
        <f>IFERROR(_xll.BDP(D182,"LAST_PRICE"),"--")</f>
        <v>#N/A Requesting Data...</v>
      </c>
      <c r="AD182" s="20"/>
      <c r="AE182" s="19" t="str">
        <f t="shared" si="8"/>
        <v>#N/A Requesting Data...</v>
      </c>
      <c r="AF182" s="19" t="str">
        <f t="shared" si="9"/>
        <v>--</v>
      </c>
      <c r="AG182" s="21" t="str">
        <f t="shared" si="10"/>
        <v>--</v>
      </c>
      <c r="AH182" s="19" t="str">
        <f t="shared" si="11"/>
        <v>--</v>
      </c>
    </row>
    <row r="183" spans="1:34" x14ac:dyDescent="0.45">
      <c r="A183" s="7" t="s">
        <v>755</v>
      </c>
      <c r="B183" s="8" t="s">
        <v>523</v>
      </c>
      <c r="C183" s="7" t="s">
        <v>756</v>
      </c>
      <c r="D183" s="8" t="s">
        <v>757</v>
      </c>
      <c r="E183" s="8" t="s">
        <v>758</v>
      </c>
      <c r="F183" s="9">
        <v>45659</v>
      </c>
      <c r="G183" s="9">
        <v>46226</v>
      </c>
      <c r="H183" s="9">
        <v>48202</v>
      </c>
      <c r="I183" s="10">
        <v>57.506599426269531</v>
      </c>
      <c r="J183" s="10">
        <v>52.793998718261719</v>
      </c>
      <c r="K183" s="10">
        <v>61.476999999999997</v>
      </c>
      <c r="L183" s="10">
        <v>64.183000000000007</v>
      </c>
      <c r="M183" s="11">
        <v>390</v>
      </c>
      <c r="N183" s="12">
        <v>-3.970400573730466</v>
      </c>
      <c r="O183" s="13">
        <v>-41.208696655273442</v>
      </c>
      <c r="P183" s="13">
        <v>6.7958027954101539</v>
      </c>
      <c r="Q183" s="13">
        <v>-14.17003536173503</v>
      </c>
      <c r="R183" s="14">
        <v>77.572511967964488</v>
      </c>
      <c r="S183" s="13">
        <v>-8.683001281738278</v>
      </c>
      <c r="T183" s="13">
        <v>-44.329199127197271</v>
      </c>
      <c r="U183" s="13">
        <v>1.832999908447263</v>
      </c>
      <c r="V183" s="13">
        <v>-17.68721591702975</v>
      </c>
      <c r="W183" s="15">
        <v>77.21945355751896</v>
      </c>
      <c r="X183" s="16" t="str">
        <f>IFERROR(_xll.BDP(E183&amp;" Corp","LAST_PRICE"),"--")</f>
        <v>#N/A Requesting Data...</v>
      </c>
      <c r="Y183" s="17" t="str">
        <f>IFERROR(_xll.BDP(E183&amp;" Corp","YAS_BENCHMARK_BOND_ISIN"),"--")</f>
        <v>#N/A Requesting Data...</v>
      </c>
      <c r="Z183" s="18" t="str">
        <f>IFERROR(_xll.BDP(Y183&amp;" CORP","LAST_PRICE"),"--")</f>
        <v>#N/A Requesting Data... CORP</v>
      </c>
      <c r="AA183" s="19" t="str">
        <f>IFERROR(_xll.BDP(E183&amp;" Corp","YAS_YLD_SPREAD","YAS_BOND_PX="&amp;X183,"YAS_BNCHMRK_BOND_PX="&amp;Z183),"--")</f>
        <v>#N/A Requesting Data...</v>
      </c>
      <c r="AB183" s="19" t="str">
        <f>IFERROR(_xll.BDP(E183&amp;" Corp","BLOOMBERG_MID_G_SPREAD","YAS_BOND_PX="&amp;X183,"YAS_BNCHMRK_BOND_PX="&amp;Z183),"--")</f>
        <v>#N/A Requesting Data...</v>
      </c>
      <c r="AC183" s="19" t="str">
        <f>IFERROR(_xll.BDP(D183,"LAST_PRICE"),"--")</f>
        <v>#N/A Requesting Data...</v>
      </c>
      <c r="AD183" s="20"/>
      <c r="AE183" s="19" t="str">
        <f t="shared" si="8"/>
        <v>#N/A Requesting Data...</v>
      </c>
      <c r="AF183" s="19" t="str">
        <f t="shared" si="9"/>
        <v>--</v>
      </c>
      <c r="AG183" s="21" t="str">
        <f t="shared" si="10"/>
        <v>--</v>
      </c>
      <c r="AH183" s="19" t="str">
        <f t="shared" si="11"/>
        <v>--</v>
      </c>
    </row>
    <row r="184" spans="1:34" x14ac:dyDescent="0.45">
      <c r="A184" s="22" t="s">
        <v>759</v>
      </c>
      <c r="B184" s="23" t="s">
        <v>523</v>
      </c>
      <c r="C184" s="22" t="s">
        <v>760</v>
      </c>
      <c r="D184" s="23" t="s">
        <v>761</v>
      </c>
      <c r="E184" s="23" t="s">
        <v>762</v>
      </c>
      <c r="F184" s="24">
        <v>45659</v>
      </c>
      <c r="G184" s="24">
        <v>46226</v>
      </c>
      <c r="H184" s="24">
        <v>48568</v>
      </c>
      <c r="I184" s="25">
        <v>124.7137985229492</v>
      </c>
      <c r="J184" s="25">
        <v>93.65570068359375</v>
      </c>
      <c r="K184" s="25">
        <v>83.93</v>
      </c>
      <c r="L184" s="25">
        <v>92.218999999999994</v>
      </c>
      <c r="M184" s="26">
        <v>390</v>
      </c>
      <c r="N184" s="27">
        <v>40.783798522949212</v>
      </c>
      <c r="O184" s="28">
        <v>12.513403320312509</v>
      </c>
      <c r="P184" s="28">
        <v>56.190601440429688</v>
      </c>
      <c r="Q184" s="28">
        <v>40.656081437017981</v>
      </c>
      <c r="R184" s="29">
        <v>64.725752610984699</v>
      </c>
      <c r="S184" s="28">
        <v>9.7257006835937432</v>
      </c>
      <c r="T184" s="28">
        <v>-5.5911956787109318</v>
      </c>
      <c r="U184" s="28">
        <v>38.733492919921872</v>
      </c>
      <c r="V184" s="28">
        <v>18.211441321426779</v>
      </c>
      <c r="W184" s="30">
        <v>34.556128529185251</v>
      </c>
      <c r="X184" s="16" t="str">
        <f>IFERROR(_xll.BDP(E184&amp;" Corp","LAST_PRICE"),"--")</f>
        <v>#N/A Requesting Data...</v>
      </c>
      <c r="Y184" s="17" t="str">
        <f>IFERROR(_xll.BDP(E184&amp;" Corp","YAS_BENCHMARK_BOND_ISIN"),"--")</f>
        <v>#N/A Requesting Data...</v>
      </c>
      <c r="Z184" s="18" t="str">
        <f>IFERROR(_xll.BDP(Y184&amp;" CORP","LAST_PRICE"),"--")</f>
        <v>#N/A Requesting Data... CORP</v>
      </c>
      <c r="AA184" s="19" t="str">
        <f>IFERROR(_xll.BDP(E184&amp;" Corp","YAS_YLD_SPREAD","YAS_BOND_PX="&amp;X184,"YAS_BNCHMRK_BOND_PX="&amp;Z184),"--")</f>
        <v>#N/A Requesting Data...</v>
      </c>
      <c r="AB184" s="19" t="str">
        <f>IFERROR(_xll.BDP(E184&amp;" Corp","BLOOMBERG_MID_G_SPREAD","YAS_BOND_PX="&amp;X184,"YAS_BNCHMRK_BOND_PX="&amp;Z184),"--")</f>
        <v>#N/A Requesting Data...</v>
      </c>
      <c r="AC184" s="19" t="str">
        <f>IFERROR(_xll.BDP(D184,"LAST_PRICE"),"--")</f>
        <v>#N/A Requesting Data...</v>
      </c>
      <c r="AD184" s="20"/>
      <c r="AE184" s="19" t="str">
        <f t="shared" si="8"/>
        <v>#N/A Requesting Data...</v>
      </c>
      <c r="AF184" s="19" t="str">
        <f t="shared" si="9"/>
        <v>--</v>
      </c>
      <c r="AG184" s="21" t="str">
        <f t="shared" si="10"/>
        <v>--</v>
      </c>
      <c r="AH184" s="19" t="str">
        <f t="shared" si="11"/>
        <v>--</v>
      </c>
    </row>
    <row r="185" spans="1:34" x14ac:dyDescent="0.45">
      <c r="A185" s="7" t="s">
        <v>763</v>
      </c>
      <c r="B185" s="8" t="s">
        <v>523</v>
      </c>
      <c r="C185" s="7" t="s">
        <v>764</v>
      </c>
      <c r="D185" s="8" t="s">
        <v>765</v>
      </c>
      <c r="E185" s="8" t="s">
        <v>766</v>
      </c>
      <c r="F185" s="9">
        <v>46099</v>
      </c>
      <c r="G185" s="9">
        <v>46226</v>
      </c>
      <c r="H185" s="9">
        <v>48750</v>
      </c>
      <c r="I185" s="10">
        <v>77.009101867675781</v>
      </c>
      <c r="J185" s="10">
        <v>64.430198669433594</v>
      </c>
      <c r="K185" s="10">
        <v>79.268000000000001</v>
      </c>
      <c r="L185" s="10">
        <v>79.733999999999995</v>
      </c>
      <c r="M185" s="11">
        <v>89</v>
      </c>
      <c r="N185" s="12">
        <v>-2.258898132324219</v>
      </c>
      <c r="O185" s="13">
        <v>-14.05640124511719</v>
      </c>
      <c r="P185" s="13">
        <v>12.615201538085939</v>
      </c>
      <c r="Q185" s="13">
        <v>2.8862170598748018</v>
      </c>
      <c r="R185" s="14">
        <v>44.232449053352873</v>
      </c>
      <c r="S185" s="13">
        <v>-14.83780133056641</v>
      </c>
      <c r="T185" s="13">
        <v>-23.44810034179687</v>
      </c>
      <c r="U185" s="13">
        <v>-2.034699371337894</v>
      </c>
      <c r="V185" s="13">
        <v>-8.3652943317541908</v>
      </c>
      <c r="W185" s="15">
        <v>40.209862147114649</v>
      </c>
      <c r="X185" s="16" t="str">
        <f>IFERROR(_xll.BDP(E185&amp;" Corp","LAST_PRICE"),"--")</f>
        <v>#N/A Requesting Data...</v>
      </c>
      <c r="Y185" s="17" t="str">
        <f>IFERROR(_xll.BDP(E185&amp;" Corp","YAS_BENCHMARK_BOND_ISIN"),"--")</f>
        <v>#N/A Requesting Data...</v>
      </c>
      <c r="Z185" s="18" t="str">
        <f>IFERROR(_xll.BDP(Y185&amp;" CORP","LAST_PRICE"),"--")</f>
        <v>#N/A Requesting Data... CORP</v>
      </c>
      <c r="AA185" s="19" t="str">
        <f>IFERROR(_xll.BDP(E185&amp;" Corp","YAS_YLD_SPREAD","YAS_BOND_PX="&amp;X185,"YAS_BNCHMRK_BOND_PX="&amp;Z185),"--")</f>
        <v>#N/A Requesting Data...</v>
      </c>
      <c r="AB185" s="19" t="str">
        <f>IFERROR(_xll.BDP(E185&amp;" Corp","BLOOMBERG_MID_G_SPREAD","YAS_BOND_PX="&amp;X185,"YAS_BNCHMRK_BOND_PX="&amp;Z185),"--")</f>
        <v>#N/A Requesting Data...</v>
      </c>
      <c r="AC185" s="19" t="str">
        <f>IFERROR(_xll.BDP(D185,"LAST_PRICE"),"--")</f>
        <v>#N/A Requesting Data...</v>
      </c>
      <c r="AD185" s="20"/>
      <c r="AE185" s="19" t="str">
        <f t="shared" si="8"/>
        <v>#N/A Requesting Data...</v>
      </c>
      <c r="AF185" s="19" t="str">
        <f t="shared" si="9"/>
        <v>--</v>
      </c>
      <c r="AG185" s="21" t="str">
        <f t="shared" si="10"/>
        <v>--</v>
      </c>
      <c r="AH185" s="19" t="str">
        <f t="shared" si="11"/>
        <v>--</v>
      </c>
    </row>
    <row r="186" spans="1:34" x14ac:dyDescent="0.45">
      <c r="A186" s="22" t="s">
        <v>767</v>
      </c>
      <c r="B186" s="23" t="s">
        <v>523</v>
      </c>
      <c r="C186" s="22" t="s">
        <v>768</v>
      </c>
      <c r="D186" s="23" t="s">
        <v>769</v>
      </c>
      <c r="E186" s="23" t="s">
        <v>770</v>
      </c>
      <c r="F186" s="24">
        <v>45922</v>
      </c>
      <c r="G186" s="24">
        <v>46226</v>
      </c>
      <c r="H186" s="24">
        <v>49663</v>
      </c>
      <c r="I186" s="25">
        <v>81.224296569824219</v>
      </c>
      <c r="J186" s="25">
        <v>48.387599945068359</v>
      </c>
      <c r="K186" s="25">
        <v>84.599000000000004</v>
      </c>
      <c r="L186" s="25">
        <v>83.08</v>
      </c>
      <c r="M186" s="26">
        <v>210</v>
      </c>
      <c r="N186" s="27">
        <v>-3.374703430175785</v>
      </c>
      <c r="O186" s="28">
        <v>-13.283500061035159</v>
      </c>
      <c r="P186" s="28">
        <v>23.11760205078124</v>
      </c>
      <c r="Q186" s="28">
        <v>5.1345621701195139</v>
      </c>
      <c r="R186" s="29">
        <v>27.221144569803592</v>
      </c>
      <c r="S186" s="28">
        <v>-36.211400054931637</v>
      </c>
      <c r="T186" s="28">
        <v>-42.801699981689453</v>
      </c>
      <c r="U186" s="28">
        <v>-7.8311975097656301</v>
      </c>
      <c r="V186" s="28">
        <v>-23.302789522376429</v>
      </c>
      <c r="W186" s="30">
        <v>18.845310936120661</v>
      </c>
      <c r="X186" s="16" t="str">
        <f>IFERROR(_xll.BDP(E186&amp;" Corp","LAST_PRICE"),"--")</f>
        <v>#N/A Requesting Data...</v>
      </c>
      <c r="Y186" s="17" t="str">
        <f>IFERROR(_xll.BDP(E186&amp;" Corp","YAS_BENCHMARK_BOND_ISIN"),"--")</f>
        <v>#N/A Requesting Data...</v>
      </c>
      <c r="Z186" s="18" t="str">
        <f>IFERROR(_xll.BDP(Y186&amp;" CORP","LAST_PRICE"),"--")</f>
        <v>#N/A Requesting Data... CORP</v>
      </c>
      <c r="AA186" s="19" t="str">
        <f>IFERROR(_xll.BDP(E186&amp;" Corp","YAS_YLD_SPREAD","YAS_BOND_PX="&amp;X186,"YAS_BNCHMRK_BOND_PX="&amp;Z186),"--")</f>
        <v>#N/A Requesting Data...</v>
      </c>
      <c r="AB186" s="19" t="str">
        <f>IFERROR(_xll.BDP(E186&amp;" Corp","BLOOMBERG_MID_G_SPREAD","YAS_BOND_PX="&amp;X186,"YAS_BNCHMRK_BOND_PX="&amp;Z186),"--")</f>
        <v>#N/A Requesting Data...</v>
      </c>
      <c r="AC186" s="19" t="str">
        <f>IFERROR(_xll.BDP(D186,"LAST_PRICE"),"--")</f>
        <v>#N/A Requesting Data...</v>
      </c>
      <c r="AD186" s="20"/>
      <c r="AE186" s="19" t="str">
        <f t="shared" si="8"/>
        <v>#N/A Requesting Data...</v>
      </c>
      <c r="AF186" s="19" t="str">
        <f t="shared" si="9"/>
        <v>--</v>
      </c>
      <c r="AG186" s="21" t="str">
        <f t="shared" si="10"/>
        <v>--</v>
      </c>
      <c r="AH186" s="19" t="str">
        <f t="shared" si="11"/>
        <v>--</v>
      </c>
    </row>
    <row r="187" spans="1:34" x14ac:dyDescent="0.45">
      <c r="A187" s="7" t="s">
        <v>771</v>
      </c>
      <c r="B187" s="8" t="s">
        <v>523</v>
      </c>
      <c r="C187" s="7" t="s">
        <v>772</v>
      </c>
      <c r="D187" s="8" t="s">
        <v>773</v>
      </c>
      <c r="E187" s="8" t="s">
        <v>774</v>
      </c>
      <c r="F187" s="9">
        <v>45957</v>
      </c>
      <c r="G187" s="9">
        <v>46226</v>
      </c>
      <c r="H187" s="9">
        <v>48568</v>
      </c>
      <c r="I187" s="10">
        <v>73.361198425292969</v>
      </c>
      <c r="J187" s="10">
        <v>56.147701263427727</v>
      </c>
      <c r="K187" s="10">
        <v>83.635000000000005</v>
      </c>
      <c r="L187" s="10">
        <v>92.753</v>
      </c>
      <c r="M187" s="11">
        <v>185</v>
      </c>
      <c r="N187" s="12">
        <v>-10.27380157470704</v>
      </c>
      <c r="O187" s="13">
        <v>-25.901396911621092</v>
      </c>
      <c r="P187" s="13">
        <v>-2.1181018676757759</v>
      </c>
      <c r="Q187" s="13">
        <v>-8.6577189948004651</v>
      </c>
      <c r="R187" s="14">
        <v>65.708285197817801</v>
      </c>
      <c r="S187" s="13">
        <v>-27.487298736572271</v>
      </c>
      <c r="T187" s="13">
        <v>-39.429499786376951</v>
      </c>
      <c r="U187" s="13">
        <v>-17.895300567626951</v>
      </c>
      <c r="V187" s="13">
        <v>-23.66629770324051</v>
      </c>
      <c r="W187" s="15">
        <v>55.456908002441573</v>
      </c>
      <c r="X187" s="16" t="str">
        <f>IFERROR(_xll.BDP(E187&amp;" Corp","LAST_PRICE"),"--")</f>
        <v>#N/A Requesting Data...</v>
      </c>
      <c r="Y187" s="17" t="str">
        <f>IFERROR(_xll.BDP(E187&amp;" Corp","YAS_BENCHMARK_BOND_ISIN"),"--")</f>
        <v>#N/A Requesting Data...</v>
      </c>
      <c r="Z187" s="18" t="str">
        <f>IFERROR(_xll.BDP(Y187&amp;" CORP","LAST_PRICE"),"--")</f>
        <v>#N/A Requesting Data... CORP</v>
      </c>
      <c r="AA187" s="19" t="str">
        <f>IFERROR(_xll.BDP(E187&amp;" Corp","YAS_YLD_SPREAD","YAS_BOND_PX="&amp;X187,"YAS_BNCHMRK_BOND_PX="&amp;Z187),"--")</f>
        <v>#N/A Requesting Data...</v>
      </c>
      <c r="AB187" s="19" t="str">
        <f>IFERROR(_xll.BDP(E187&amp;" Corp","BLOOMBERG_MID_G_SPREAD","YAS_BOND_PX="&amp;X187,"YAS_BNCHMRK_BOND_PX="&amp;Z187),"--")</f>
        <v>#N/A Requesting Data...</v>
      </c>
      <c r="AC187" s="19" t="str">
        <f>IFERROR(_xll.BDP(D187,"LAST_PRICE"),"--")</f>
        <v>#N/A Requesting Data...</v>
      </c>
      <c r="AD187" s="20"/>
      <c r="AE187" s="19" t="str">
        <f t="shared" si="8"/>
        <v>#N/A Requesting Data...</v>
      </c>
      <c r="AF187" s="19" t="str">
        <f t="shared" si="9"/>
        <v>--</v>
      </c>
      <c r="AG187" s="21" t="str">
        <f t="shared" si="10"/>
        <v>--</v>
      </c>
      <c r="AH187" s="19" t="str">
        <f t="shared" si="11"/>
        <v>--</v>
      </c>
    </row>
    <row r="188" spans="1:34" x14ac:dyDescent="0.45">
      <c r="A188" s="22" t="s">
        <v>775</v>
      </c>
      <c r="B188" s="23" t="s">
        <v>523</v>
      </c>
      <c r="C188" s="22" t="s">
        <v>776</v>
      </c>
      <c r="D188" s="23" t="s">
        <v>777</v>
      </c>
      <c r="E188" s="23" t="s">
        <v>778</v>
      </c>
      <c r="F188" s="24">
        <v>45659</v>
      </c>
      <c r="G188" s="24">
        <v>46226</v>
      </c>
      <c r="H188" s="24">
        <v>48568</v>
      </c>
      <c r="I188" s="25">
        <v>33.287700653076172</v>
      </c>
      <c r="J188" s="25">
        <v>26.145999908447269</v>
      </c>
      <c r="K188" s="25">
        <v>34.338000000000001</v>
      </c>
      <c r="L188" s="25">
        <v>43.564999999999998</v>
      </c>
      <c r="M188" s="26">
        <v>390</v>
      </c>
      <c r="N188" s="27">
        <v>-1.0502993469238291</v>
      </c>
      <c r="O188" s="28">
        <v>-18.49329974365234</v>
      </c>
      <c r="P188" s="28">
        <v>12.04189926147461</v>
      </c>
      <c r="Q188" s="28">
        <v>-0.62496254745874646</v>
      </c>
      <c r="R188" s="29">
        <v>57.124240106638183</v>
      </c>
      <c r="S188" s="28">
        <v>-8.1920000915527353</v>
      </c>
      <c r="T188" s="28">
        <v>-24.556200286865231</v>
      </c>
      <c r="U188" s="28">
        <v>4.2815003967285179</v>
      </c>
      <c r="V188" s="28">
        <v>-7.555786132773374</v>
      </c>
      <c r="W188" s="30">
        <v>56.745856317949659</v>
      </c>
      <c r="X188" s="16" t="str">
        <f>IFERROR(_xll.BDP(E188&amp;" Corp","LAST_PRICE"),"--")</f>
        <v>#N/A Requesting Data...</v>
      </c>
      <c r="Y188" s="17" t="str">
        <f>IFERROR(_xll.BDP(E188&amp;" Corp","YAS_BENCHMARK_BOND_ISIN"),"--")</f>
        <v>#N/A Requesting Data...</v>
      </c>
      <c r="Z188" s="18" t="str">
        <f>IFERROR(_xll.BDP(Y188&amp;" CORP","LAST_PRICE"),"--")</f>
        <v>#N/A Requesting Data... CORP</v>
      </c>
      <c r="AA188" s="19" t="str">
        <f>IFERROR(_xll.BDP(E188&amp;" Corp","YAS_YLD_SPREAD","YAS_BOND_PX="&amp;X188,"YAS_BNCHMRK_BOND_PX="&amp;Z188),"--")</f>
        <v>#N/A Requesting Data...</v>
      </c>
      <c r="AB188" s="19" t="str">
        <f>IFERROR(_xll.BDP(E188&amp;" Corp","BLOOMBERG_MID_G_SPREAD","YAS_BOND_PX="&amp;X188,"YAS_BNCHMRK_BOND_PX="&amp;Z188),"--")</f>
        <v>#N/A Requesting Data...</v>
      </c>
      <c r="AC188" s="19" t="str">
        <f>IFERROR(_xll.BDP(D188,"LAST_PRICE"),"--")</f>
        <v>#N/A Requesting Data...</v>
      </c>
      <c r="AD188" s="20"/>
      <c r="AE188" s="19" t="str">
        <f t="shared" si="8"/>
        <v>#N/A Requesting Data...</v>
      </c>
      <c r="AF188" s="19" t="str">
        <f t="shared" si="9"/>
        <v>--</v>
      </c>
      <c r="AG188" s="21" t="str">
        <f t="shared" si="10"/>
        <v>--</v>
      </c>
      <c r="AH188" s="19" t="str">
        <f t="shared" si="11"/>
        <v>--</v>
      </c>
    </row>
    <row r="189" spans="1:34" x14ac:dyDescent="0.45">
      <c r="A189" s="7" t="s">
        <v>779</v>
      </c>
      <c r="B189" s="8" t="s">
        <v>523</v>
      </c>
      <c r="C189" s="7" t="s">
        <v>780</v>
      </c>
      <c r="D189" s="8" t="s">
        <v>781</v>
      </c>
      <c r="E189" s="8" t="s">
        <v>782</v>
      </c>
      <c r="F189" s="9">
        <v>45659</v>
      </c>
      <c r="G189" s="9">
        <v>46226</v>
      </c>
      <c r="H189" s="9">
        <v>49115</v>
      </c>
      <c r="I189" s="10">
        <v>37.680900573730469</v>
      </c>
      <c r="J189" s="10">
        <v>23.07080078125</v>
      </c>
      <c r="K189" s="10">
        <v>56.064</v>
      </c>
      <c r="L189" s="10">
        <v>47.637</v>
      </c>
      <c r="M189" s="11">
        <v>390</v>
      </c>
      <c r="N189" s="12">
        <v>-18.383099426269531</v>
      </c>
      <c r="O189" s="13">
        <v>-49.621401672363277</v>
      </c>
      <c r="P189" s="13">
        <v>-10.0619010925293</v>
      </c>
      <c r="Q189" s="13">
        <v>-23.321360518470179</v>
      </c>
      <c r="R189" s="14">
        <v>78.965360503104819</v>
      </c>
      <c r="S189" s="13">
        <v>-32.99319921875</v>
      </c>
      <c r="T189" s="13">
        <v>-62.298800354003902</v>
      </c>
      <c r="U189" s="13">
        <v>-22.106199264526371</v>
      </c>
      <c r="V189" s="13">
        <v>-35.61686893740923</v>
      </c>
      <c r="W189" s="15">
        <v>72.912925117767855</v>
      </c>
      <c r="X189" s="16" t="str">
        <f>IFERROR(_xll.BDP(E189&amp;" Corp","LAST_PRICE"),"--")</f>
        <v>#N/A Requesting Data...</v>
      </c>
      <c r="Y189" s="17" t="str">
        <f>IFERROR(_xll.BDP(E189&amp;" Corp","YAS_BENCHMARK_BOND_ISIN"),"--")</f>
        <v>#N/A Requesting Data...</v>
      </c>
      <c r="Z189" s="18" t="str">
        <f>IFERROR(_xll.BDP(Y189&amp;" CORP","LAST_PRICE"),"--")</f>
        <v>#N/A Requesting Data... CORP</v>
      </c>
      <c r="AA189" s="19" t="str">
        <f>IFERROR(_xll.BDP(E189&amp;" Corp","YAS_YLD_SPREAD","YAS_BOND_PX="&amp;X189,"YAS_BNCHMRK_BOND_PX="&amp;Z189),"--")</f>
        <v>#N/A Requesting Data...</v>
      </c>
      <c r="AB189" s="19" t="str">
        <f>IFERROR(_xll.BDP(E189&amp;" Corp","BLOOMBERG_MID_G_SPREAD","YAS_BOND_PX="&amp;X189,"YAS_BNCHMRK_BOND_PX="&amp;Z189),"--")</f>
        <v>#N/A Requesting Data...</v>
      </c>
      <c r="AC189" s="19" t="str">
        <f>IFERROR(_xll.BDP(D189,"LAST_PRICE"),"--")</f>
        <v>#N/A Requesting Data...</v>
      </c>
      <c r="AD189" s="20"/>
      <c r="AE189" s="19" t="str">
        <f t="shared" si="8"/>
        <v>#N/A Requesting Data...</v>
      </c>
      <c r="AF189" s="19" t="str">
        <f t="shared" si="9"/>
        <v>--</v>
      </c>
      <c r="AG189" s="21" t="str">
        <f t="shared" si="10"/>
        <v>--</v>
      </c>
      <c r="AH189" s="19" t="str">
        <f t="shared" si="11"/>
        <v>--</v>
      </c>
    </row>
    <row r="190" spans="1:34" x14ac:dyDescent="0.45">
      <c r="A190" s="22" t="s">
        <v>783</v>
      </c>
      <c r="B190" s="23" t="s">
        <v>523</v>
      </c>
      <c r="C190" s="22" t="s">
        <v>784</v>
      </c>
      <c r="D190" s="23" t="s">
        <v>785</v>
      </c>
      <c r="E190" s="23" t="s">
        <v>786</v>
      </c>
      <c r="F190" s="24">
        <v>45659</v>
      </c>
      <c r="G190" s="24">
        <v>46226</v>
      </c>
      <c r="H190" s="24">
        <v>48750</v>
      </c>
      <c r="I190" s="25">
        <v>113.1773986816406</v>
      </c>
      <c r="J190" s="25">
        <v>91.003799438476563</v>
      </c>
      <c r="K190" s="25">
        <v>82.661000000000001</v>
      </c>
      <c r="L190" s="25">
        <v>68.168000000000006</v>
      </c>
      <c r="M190" s="26">
        <v>389</v>
      </c>
      <c r="N190" s="27">
        <v>30.51639868164062</v>
      </c>
      <c r="O190" s="28">
        <v>-33.691097656250008</v>
      </c>
      <c r="P190" s="28">
        <v>34.71530200195312</v>
      </c>
      <c r="Q190" s="28">
        <v>-2.9855961360195908</v>
      </c>
      <c r="R190" s="29">
        <v>93.861826757010192</v>
      </c>
      <c r="S190" s="28">
        <v>8.3427994384765611</v>
      </c>
      <c r="T190" s="28">
        <v>-51.248096862792977</v>
      </c>
      <c r="U190" s="28">
        <v>8.3427994384765611</v>
      </c>
      <c r="V190" s="28">
        <v>-21.718956391241608</v>
      </c>
      <c r="W190" s="30">
        <v>100</v>
      </c>
      <c r="X190" s="16" t="str">
        <f>IFERROR(_xll.BDP(E190&amp;" Corp","LAST_PRICE"),"--")</f>
        <v>#N/A Requesting Data...</v>
      </c>
      <c r="Y190" s="17" t="str">
        <f>IFERROR(_xll.BDP(E190&amp;" Corp","YAS_BENCHMARK_BOND_ISIN"),"--")</f>
        <v>#N/A Requesting Data...</v>
      </c>
      <c r="Z190" s="18" t="str">
        <f>IFERROR(_xll.BDP(Y190&amp;" CORP","LAST_PRICE"),"--")</f>
        <v>#N/A Requesting Data... CORP</v>
      </c>
      <c r="AA190" s="19" t="str">
        <f>IFERROR(_xll.BDP(E190&amp;" Corp","YAS_YLD_SPREAD","YAS_BOND_PX="&amp;X190,"YAS_BNCHMRK_BOND_PX="&amp;Z190),"--")</f>
        <v>#N/A Requesting Data...</v>
      </c>
      <c r="AB190" s="19" t="str">
        <f>IFERROR(_xll.BDP(E190&amp;" Corp","BLOOMBERG_MID_G_SPREAD","YAS_BOND_PX="&amp;X190,"YAS_BNCHMRK_BOND_PX="&amp;Z190),"--")</f>
        <v>#N/A Requesting Data...</v>
      </c>
      <c r="AC190" s="19" t="str">
        <f>IFERROR(_xll.BDP(D190,"LAST_PRICE"),"--")</f>
        <v>#N/A Requesting Data...</v>
      </c>
      <c r="AD190" s="20"/>
      <c r="AE190" s="19" t="str">
        <f t="shared" si="8"/>
        <v>#N/A Requesting Data...</v>
      </c>
      <c r="AF190" s="19" t="str">
        <f t="shared" si="9"/>
        <v>--</v>
      </c>
      <c r="AG190" s="21" t="str">
        <f t="shared" si="10"/>
        <v>--</v>
      </c>
      <c r="AH190" s="19" t="str">
        <f t="shared" si="11"/>
        <v>--</v>
      </c>
    </row>
    <row r="191" spans="1:34" x14ac:dyDescent="0.45">
      <c r="A191" s="7" t="s">
        <v>787</v>
      </c>
      <c r="B191" s="8" t="s">
        <v>523</v>
      </c>
      <c r="C191" s="7" t="s">
        <v>788</v>
      </c>
      <c r="D191" s="8" t="s">
        <v>789</v>
      </c>
      <c r="E191" s="8" t="s">
        <v>790</v>
      </c>
      <c r="F191" s="9">
        <v>45888</v>
      </c>
      <c r="G191" s="9">
        <v>46226</v>
      </c>
      <c r="H191" s="9">
        <v>48568</v>
      </c>
      <c r="I191" s="10">
        <v>120.252197265625</v>
      </c>
      <c r="J191" s="10">
        <v>98.116302490234375</v>
      </c>
      <c r="K191" s="10">
        <v>125.675</v>
      </c>
      <c r="L191" s="10">
        <v>143.958</v>
      </c>
      <c r="M191" s="11">
        <v>233</v>
      </c>
      <c r="N191" s="12">
        <v>-5.4228027343749972</v>
      </c>
      <c r="O191" s="13">
        <v>-55.18889941406249</v>
      </c>
      <c r="P191" s="13">
        <v>1.6627973022460909</v>
      </c>
      <c r="Q191" s="13">
        <v>-34.747544125536471</v>
      </c>
      <c r="R191" s="14">
        <v>87.536695567806149</v>
      </c>
      <c r="S191" s="13">
        <v>-27.558697509765619</v>
      </c>
      <c r="T191" s="13">
        <v>-70.076201812744131</v>
      </c>
      <c r="U191" s="13">
        <v>-20.956</v>
      </c>
      <c r="V191" s="13">
        <v>-53.357191557135202</v>
      </c>
      <c r="W191" s="15">
        <v>86.558081469338418</v>
      </c>
      <c r="X191" s="16" t="str">
        <f>IFERROR(_xll.BDP(E191&amp;" Corp","LAST_PRICE"),"--")</f>
        <v>#N/A Requesting Data...</v>
      </c>
      <c r="Y191" s="17" t="str">
        <f>IFERROR(_xll.BDP(E191&amp;" Corp","YAS_BENCHMARK_BOND_ISIN"),"--")</f>
        <v>#N/A Requesting Data...</v>
      </c>
      <c r="Z191" s="18" t="str">
        <f>IFERROR(_xll.BDP(Y191&amp;" CORP","LAST_PRICE"),"--")</f>
        <v>#N/A Requesting Data... CORP</v>
      </c>
      <c r="AA191" s="19" t="str">
        <f>IFERROR(_xll.BDP(E191&amp;" Corp","YAS_YLD_SPREAD","YAS_BOND_PX="&amp;X191,"YAS_BNCHMRK_BOND_PX="&amp;Z191),"--")</f>
        <v>#N/A Requesting Data...</v>
      </c>
      <c r="AB191" s="19" t="str">
        <f>IFERROR(_xll.BDP(E191&amp;" Corp","BLOOMBERG_MID_G_SPREAD","YAS_BOND_PX="&amp;X191,"YAS_BNCHMRK_BOND_PX="&amp;Z191),"--")</f>
        <v>#N/A Requesting Data...</v>
      </c>
      <c r="AC191" s="19" t="str">
        <f>IFERROR(_xll.BDP(D191,"LAST_PRICE"),"--")</f>
        <v>#N/A Requesting Data...</v>
      </c>
      <c r="AD191" s="20"/>
      <c r="AE191" s="19" t="str">
        <f t="shared" si="8"/>
        <v>#N/A Requesting Data...</v>
      </c>
      <c r="AF191" s="19" t="str">
        <f t="shared" si="9"/>
        <v>--</v>
      </c>
      <c r="AG191" s="21" t="str">
        <f t="shared" si="10"/>
        <v>--</v>
      </c>
      <c r="AH191" s="19" t="str">
        <f t="shared" si="11"/>
        <v>--</v>
      </c>
    </row>
    <row r="192" spans="1:34" x14ac:dyDescent="0.45">
      <c r="A192" s="22" t="s">
        <v>791</v>
      </c>
      <c r="B192" s="23" t="s">
        <v>523</v>
      </c>
      <c r="C192" s="22" t="s">
        <v>792</v>
      </c>
      <c r="D192" s="23" t="s">
        <v>793</v>
      </c>
      <c r="E192" s="23" t="s">
        <v>794</v>
      </c>
      <c r="F192" s="24">
        <v>45784</v>
      </c>
      <c r="G192" s="24">
        <v>46226</v>
      </c>
      <c r="H192" s="24">
        <v>48385</v>
      </c>
      <c r="I192" s="25">
        <v>86.030601501464844</v>
      </c>
      <c r="J192" s="25">
        <v>70.393203735351563</v>
      </c>
      <c r="K192" s="25">
        <v>95.572999999999993</v>
      </c>
      <c r="L192" s="25">
        <v>101.614</v>
      </c>
      <c r="M192" s="26">
        <v>304</v>
      </c>
      <c r="N192" s="27">
        <v>-9.5423984985351495</v>
      </c>
      <c r="O192" s="28">
        <v>-44.239999877929677</v>
      </c>
      <c r="P192" s="28">
        <v>1.736998107910154</v>
      </c>
      <c r="Q192" s="28">
        <v>-14.95166154419748</v>
      </c>
      <c r="R192" s="29">
        <v>75.467305173079865</v>
      </c>
      <c r="S192" s="28">
        <v>-25.179796264648431</v>
      </c>
      <c r="T192" s="28">
        <v>-55.414499389648427</v>
      </c>
      <c r="U192" s="28">
        <v>-11.545098754882821</v>
      </c>
      <c r="V192" s="28">
        <v>-28.37008886096352</v>
      </c>
      <c r="W192" s="30">
        <v>68.919799877638638</v>
      </c>
      <c r="X192" s="16" t="str">
        <f>IFERROR(_xll.BDP(E192&amp;" Corp","LAST_PRICE"),"--")</f>
        <v>#N/A Requesting Data...</v>
      </c>
      <c r="Y192" s="17" t="str">
        <f>IFERROR(_xll.BDP(E192&amp;" Corp","YAS_BENCHMARK_BOND_ISIN"),"--")</f>
        <v>#N/A Requesting Data...</v>
      </c>
      <c r="Z192" s="18" t="str">
        <f>IFERROR(_xll.BDP(Y192&amp;" CORP","LAST_PRICE"),"--")</f>
        <v>#N/A Requesting Data... CORP</v>
      </c>
      <c r="AA192" s="19" t="str">
        <f>IFERROR(_xll.BDP(E192&amp;" Corp","YAS_YLD_SPREAD","YAS_BOND_PX="&amp;X192,"YAS_BNCHMRK_BOND_PX="&amp;Z192),"--")</f>
        <v>#N/A Requesting Data...</v>
      </c>
      <c r="AB192" s="19" t="str">
        <f>IFERROR(_xll.BDP(E192&amp;" Corp","BLOOMBERG_MID_G_SPREAD","YAS_BOND_PX="&amp;X192,"YAS_BNCHMRK_BOND_PX="&amp;Z192),"--")</f>
        <v>#N/A Requesting Data...</v>
      </c>
      <c r="AC192" s="19" t="str">
        <f>IFERROR(_xll.BDP(D192,"LAST_PRICE"),"--")</f>
        <v>#N/A Requesting Data...</v>
      </c>
      <c r="AD192" s="20"/>
      <c r="AE192" s="19" t="str">
        <f t="shared" si="8"/>
        <v>#N/A Requesting Data...</v>
      </c>
      <c r="AF192" s="19" t="str">
        <f t="shared" si="9"/>
        <v>--</v>
      </c>
      <c r="AG192" s="21" t="str">
        <f t="shared" si="10"/>
        <v>--</v>
      </c>
      <c r="AH192" s="19" t="str">
        <f t="shared" si="11"/>
        <v>--</v>
      </c>
    </row>
    <row r="193" spans="1:34" x14ac:dyDescent="0.45">
      <c r="A193" s="7" t="s">
        <v>795</v>
      </c>
      <c r="B193" s="8" t="s">
        <v>523</v>
      </c>
      <c r="C193" s="7" t="s">
        <v>796</v>
      </c>
      <c r="D193" s="8" t="s">
        <v>797</v>
      </c>
      <c r="E193" s="8" t="s">
        <v>798</v>
      </c>
      <c r="F193" s="9">
        <v>45694</v>
      </c>
      <c r="G193" s="9">
        <v>46226</v>
      </c>
      <c r="H193" s="9">
        <v>48385</v>
      </c>
      <c r="I193" s="10">
        <v>72.727897644042969</v>
      </c>
      <c r="J193" s="10">
        <v>63.673198699951172</v>
      </c>
      <c r="K193" s="10">
        <v>73.844999999999999</v>
      </c>
      <c r="L193" s="10">
        <v>79.031000000000006</v>
      </c>
      <c r="M193" s="11">
        <v>366</v>
      </c>
      <c r="N193" s="12">
        <v>-1.1171023559570299</v>
      </c>
      <c r="O193" s="13">
        <v>-37.852799652099613</v>
      </c>
      <c r="P193" s="13">
        <v>-1.1171023559570299</v>
      </c>
      <c r="Q193" s="13">
        <v>-14.767441537659019</v>
      </c>
      <c r="R193" s="14">
        <v>100</v>
      </c>
      <c r="S193" s="13">
        <v>-10.171801300048831</v>
      </c>
      <c r="T193" s="13">
        <v>-43.965001342773427</v>
      </c>
      <c r="U193" s="13">
        <v>-10.171801300048831</v>
      </c>
      <c r="V193" s="13">
        <v>-21.502087193556822</v>
      </c>
      <c r="W193" s="15">
        <v>100</v>
      </c>
      <c r="X193" s="16" t="str">
        <f>IFERROR(_xll.BDP(E193&amp;" Corp","LAST_PRICE"),"--")</f>
        <v>#N/A Requesting Data...</v>
      </c>
      <c r="Y193" s="17" t="str">
        <f>IFERROR(_xll.BDP(E193&amp;" Corp","YAS_BENCHMARK_BOND_ISIN"),"--")</f>
        <v>#N/A Requesting Data...</v>
      </c>
      <c r="Z193" s="18" t="str">
        <f>IFERROR(_xll.BDP(Y193&amp;" CORP","LAST_PRICE"),"--")</f>
        <v>#N/A Requesting Data... CORP</v>
      </c>
      <c r="AA193" s="19" t="str">
        <f>IFERROR(_xll.BDP(E193&amp;" Corp","YAS_YLD_SPREAD","YAS_BOND_PX="&amp;X193,"YAS_BNCHMRK_BOND_PX="&amp;Z193),"--")</f>
        <v>#N/A Requesting Data...</v>
      </c>
      <c r="AB193" s="19" t="str">
        <f>IFERROR(_xll.BDP(E193&amp;" Corp","BLOOMBERG_MID_G_SPREAD","YAS_BOND_PX="&amp;X193,"YAS_BNCHMRK_BOND_PX="&amp;Z193),"--")</f>
        <v>#N/A Requesting Data...</v>
      </c>
      <c r="AC193" s="19" t="str">
        <f>IFERROR(_xll.BDP(D193,"LAST_PRICE"),"--")</f>
        <v>#N/A Requesting Data...</v>
      </c>
      <c r="AD193" s="20"/>
      <c r="AE193" s="19" t="str">
        <f t="shared" si="8"/>
        <v>#N/A Requesting Data...</v>
      </c>
      <c r="AF193" s="19" t="str">
        <f t="shared" si="9"/>
        <v>--</v>
      </c>
      <c r="AG193" s="21" t="str">
        <f t="shared" si="10"/>
        <v>--</v>
      </c>
      <c r="AH193" s="19" t="str">
        <f t="shared" si="11"/>
        <v>--</v>
      </c>
    </row>
    <row r="194" spans="1:34" x14ac:dyDescent="0.45">
      <c r="A194" s="22" t="s">
        <v>799</v>
      </c>
      <c r="B194" s="23" t="s">
        <v>523</v>
      </c>
      <c r="C194" s="22" t="s">
        <v>800</v>
      </c>
      <c r="D194" s="23" t="s">
        <v>801</v>
      </c>
      <c r="E194" s="23" t="s">
        <v>802</v>
      </c>
      <c r="F194" s="24">
        <v>45659</v>
      </c>
      <c r="G194" s="24">
        <v>46226</v>
      </c>
      <c r="H194" s="24">
        <v>48019</v>
      </c>
      <c r="I194" s="25">
        <v>74.931098937988281</v>
      </c>
      <c r="J194" s="25">
        <v>74.931098937988281</v>
      </c>
      <c r="K194" s="25">
        <v>62.296999999999997</v>
      </c>
      <c r="L194" s="25">
        <v>62.676000000000002</v>
      </c>
      <c r="M194" s="26">
        <v>389</v>
      </c>
      <c r="N194" s="27">
        <v>12.634098937988281</v>
      </c>
      <c r="O194" s="28">
        <v>-25.230098876953122</v>
      </c>
      <c r="P194" s="28">
        <v>12.634098937988281</v>
      </c>
      <c r="Q194" s="28">
        <v>-5.1588764343261717</v>
      </c>
      <c r="R194" s="29">
        <v>100</v>
      </c>
      <c r="S194" s="28">
        <v>12.634098937988281</v>
      </c>
      <c r="T194" s="28">
        <v>-25.230098876953122</v>
      </c>
      <c r="U194" s="28">
        <v>12.634098937988281</v>
      </c>
      <c r="V194" s="28">
        <v>-5.1588764343261717</v>
      </c>
      <c r="W194" s="30">
        <v>100</v>
      </c>
      <c r="X194" s="16" t="str">
        <f>IFERROR(_xll.BDP(E194&amp;" Corp","LAST_PRICE"),"--")</f>
        <v>#N/A Requesting Data...</v>
      </c>
      <c r="Y194" s="17" t="str">
        <f>IFERROR(_xll.BDP(E194&amp;" Corp","YAS_BENCHMARK_BOND_ISIN"),"--")</f>
        <v>#N/A Requesting Data...</v>
      </c>
      <c r="Z194" s="18" t="str">
        <f>IFERROR(_xll.BDP(Y194&amp;" CORP","LAST_PRICE"),"--")</f>
        <v>#N/A Requesting Data... CORP</v>
      </c>
      <c r="AA194" s="19" t="str">
        <f>IFERROR(_xll.BDP(E194&amp;" Corp","YAS_YLD_SPREAD","YAS_BOND_PX="&amp;X194,"YAS_BNCHMRK_BOND_PX="&amp;Z194),"--")</f>
        <v>#N/A Requesting Data...</v>
      </c>
      <c r="AB194" s="19" t="str">
        <f>IFERROR(_xll.BDP(E194&amp;" Corp","BLOOMBERG_MID_G_SPREAD","YAS_BOND_PX="&amp;X194,"YAS_BNCHMRK_BOND_PX="&amp;Z194),"--")</f>
        <v>#N/A Requesting Data...</v>
      </c>
      <c r="AC194" s="19" t="str">
        <f>IFERROR(_xll.BDP(D194,"LAST_PRICE"),"--")</f>
        <v>#N/A Requesting Data...</v>
      </c>
      <c r="AD194" s="20"/>
      <c r="AE194" s="19" t="str">
        <f t="shared" si="8"/>
        <v>#N/A Requesting Data...</v>
      </c>
      <c r="AF194" s="19" t="str">
        <f t="shared" si="9"/>
        <v>--</v>
      </c>
      <c r="AG194" s="21" t="str">
        <f t="shared" si="10"/>
        <v>--</v>
      </c>
      <c r="AH194" s="19" t="str">
        <f t="shared" si="11"/>
        <v>--</v>
      </c>
    </row>
    <row r="195" spans="1:34" x14ac:dyDescent="0.45">
      <c r="A195" s="7" t="s">
        <v>803</v>
      </c>
      <c r="B195" s="8" t="s">
        <v>523</v>
      </c>
      <c r="C195" s="7" t="s">
        <v>804</v>
      </c>
      <c r="D195" s="8" t="s">
        <v>805</v>
      </c>
      <c r="E195" s="8" t="s">
        <v>806</v>
      </c>
      <c r="F195" s="9">
        <v>45922</v>
      </c>
      <c r="G195" s="9">
        <v>46226</v>
      </c>
      <c r="H195" s="9">
        <v>49663</v>
      </c>
      <c r="I195" s="10">
        <v>89.517097473144531</v>
      </c>
      <c r="J195" s="10">
        <v>53.358600616455078</v>
      </c>
      <c r="K195" s="10">
        <v>91.241</v>
      </c>
      <c r="L195" s="10">
        <v>89.14</v>
      </c>
      <c r="M195" s="11">
        <v>210</v>
      </c>
      <c r="N195" s="12">
        <v>-1.723902526855468</v>
      </c>
      <c r="O195" s="13">
        <v>-10.076103454589839</v>
      </c>
      <c r="P195" s="13">
        <v>24.817800659179682</v>
      </c>
      <c r="Q195" s="13">
        <v>1.649505696323941</v>
      </c>
      <c r="R195" s="14">
        <v>23.935988648626171</v>
      </c>
      <c r="S195" s="13">
        <v>-37.882399383544922</v>
      </c>
      <c r="T195" s="13">
        <v>-52.005796630859379</v>
      </c>
      <c r="U195" s="13">
        <v>-7.4365023193359434</v>
      </c>
      <c r="V195" s="13">
        <v>-27.642802607766171</v>
      </c>
      <c r="W195" s="15">
        <v>31.68862658806523</v>
      </c>
      <c r="X195" s="16" t="str">
        <f>IFERROR(_xll.BDP(E195&amp;" Corp","LAST_PRICE"),"--")</f>
        <v>#N/A Requesting Data...</v>
      </c>
      <c r="Y195" s="17" t="str">
        <f>IFERROR(_xll.BDP(E195&amp;" Corp","YAS_BENCHMARK_BOND_ISIN"),"--")</f>
        <v>#N/A Requesting Data...</v>
      </c>
      <c r="Z195" s="18" t="str">
        <f>IFERROR(_xll.BDP(Y195&amp;" CORP","LAST_PRICE"),"--")</f>
        <v>#N/A Requesting Data... CORP</v>
      </c>
      <c r="AA195" s="19" t="str">
        <f>IFERROR(_xll.BDP(E195&amp;" Corp","YAS_YLD_SPREAD","YAS_BOND_PX="&amp;X195,"YAS_BNCHMRK_BOND_PX="&amp;Z195),"--")</f>
        <v>#N/A Requesting Data...</v>
      </c>
      <c r="AB195" s="19" t="str">
        <f>IFERROR(_xll.BDP(E195&amp;" Corp","BLOOMBERG_MID_G_SPREAD","YAS_BOND_PX="&amp;X195,"YAS_BNCHMRK_BOND_PX="&amp;Z195),"--")</f>
        <v>#N/A Requesting Data...</v>
      </c>
      <c r="AC195" s="19" t="str">
        <f>IFERROR(_xll.BDP(D195,"LAST_PRICE"),"--")</f>
        <v>#N/A Requesting Data...</v>
      </c>
      <c r="AD195" s="20"/>
      <c r="AE195" s="19" t="str">
        <f t="shared" si="8"/>
        <v>#N/A Requesting Data...</v>
      </c>
      <c r="AF195" s="19" t="str">
        <f t="shared" si="9"/>
        <v>--</v>
      </c>
      <c r="AG195" s="21" t="str">
        <f t="shared" si="10"/>
        <v>--</v>
      </c>
      <c r="AH195" s="19" t="str">
        <f t="shared" si="11"/>
        <v>--</v>
      </c>
    </row>
    <row r="196" spans="1:34" x14ac:dyDescent="0.45">
      <c r="A196" s="22" t="s">
        <v>807</v>
      </c>
      <c r="B196" s="23" t="s">
        <v>523</v>
      </c>
      <c r="C196" s="22" t="s">
        <v>808</v>
      </c>
      <c r="D196" s="23" t="s">
        <v>809</v>
      </c>
      <c r="E196" s="23" t="s">
        <v>810</v>
      </c>
      <c r="F196" s="24">
        <v>45659</v>
      </c>
      <c r="G196" s="24">
        <v>46226</v>
      </c>
      <c r="H196" s="24">
        <v>48568</v>
      </c>
      <c r="I196" s="25">
        <v>37.664798736572273</v>
      </c>
      <c r="J196" s="25">
        <v>26.076799392700199</v>
      </c>
      <c r="K196" s="25">
        <v>59.338999999999999</v>
      </c>
      <c r="L196" s="25">
        <v>68.498000000000005</v>
      </c>
      <c r="M196" s="26">
        <v>390</v>
      </c>
      <c r="N196" s="27">
        <v>-21.674201263427729</v>
      </c>
      <c r="O196" s="28">
        <v>-54.26680102539062</v>
      </c>
      <c r="P196" s="28">
        <v>-9.6504014892578098</v>
      </c>
      <c r="Q196" s="28">
        <v>-22.670181252504008</v>
      </c>
      <c r="R196" s="29">
        <v>73.050717002764003</v>
      </c>
      <c r="S196" s="28">
        <v>-33.262200607299803</v>
      </c>
      <c r="T196" s="28">
        <v>-61.993600036621089</v>
      </c>
      <c r="U196" s="28">
        <v>-19.074599639892579</v>
      </c>
      <c r="V196" s="28">
        <v>-31.621939324207801</v>
      </c>
      <c r="W196" s="30">
        <v>66.943309871474383</v>
      </c>
      <c r="X196" s="16" t="str">
        <f>IFERROR(_xll.BDP(E196&amp;" Corp","LAST_PRICE"),"--")</f>
        <v>#N/A Requesting Data...</v>
      </c>
      <c r="Y196" s="17" t="str">
        <f>IFERROR(_xll.BDP(E196&amp;" Corp","YAS_BENCHMARK_BOND_ISIN"),"--")</f>
        <v>#N/A Requesting Data...</v>
      </c>
      <c r="Z196" s="18" t="str">
        <f>IFERROR(_xll.BDP(Y196&amp;" CORP","LAST_PRICE"),"--")</f>
        <v>#N/A Requesting Data... CORP</v>
      </c>
      <c r="AA196" s="19" t="str">
        <f>IFERROR(_xll.BDP(E196&amp;" Corp","YAS_YLD_SPREAD","YAS_BOND_PX="&amp;X196,"YAS_BNCHMRK_BOND_PX="&amp;Z196),"--")</f>
        <v>#N/A Requesting Data...</v>
      </c>
      <c r="AB196" s="19" t="str">
        <f>IFERROR(_xll.BDP(E196&amp;" Corp","BLOOMBERG_MID_G_SPREAD","YAS_BOND_PX="&amp;X196,"YAS_BNCHMRK_BOND_PX="&amp;Z196),"--")</f>
        <v>#N/A Requesting Data...</v>
      </c>
      <c r="AC196" s="19" t="str">
        <f>IFERROR(_xll.BDP(D196,"LAST_PRICE"),"--")</f>
        <v>#N/A Requesting Data...</v>
      </c>
      <c r="AD196" s="20"/>
      <c r="AE196" s="19" t="str">
        <f t="shared" si="8"/>
        <v>#N/A Requesting Data...</v>
      </c>
      <c r="AF196" s="19" t="str">
        <f t="shared" si="9"/>
        <v>--</v>
      </c>
      <c r="AG196" s="21" t="str">
        <f t="shared" si="10"/>
        <v>--</v>
      </c>
      <c r="AH196" s="19" t="str">
        <f t="shared" si="11"/>
        <v>--</v>
      </c>
    </row>
    <row r="197" spans="1:34" x14ac:dyDescent="0.45">
      <c r="A197" s="7" t="s">
        <v>811</v>
      </c>
      <c r="B197" s="8" t="s">
        <v>523</v>
      </c>
      <c r="C197" s="7" t="s">
        <v>812</v>
      </c>
      <c r="D197" s="8" t="s">
        <v>813</v>
      </c>
      <c r="E197" s="8" t="s">
        <v>814</v>
      </c>
      <c r="F197" s="9">
        <v>45659</v>
      </c>
      <c r="G197" s="9">
        <v>46226</v>
      </c>
      <c r="H197" s="9">
        <v>48019</v>
      </c>
      <c r="I197" s="10">
        <v>17.521799087524411</v>
      </c>
      <c r="J197" s="10">
        <v>17.521799087524411</v>
      </c>
      <c r="K197" s="10">
        <v>17.555</v>
      </c>
      <c r="L197" s="10">
        <v>18.542999999999999</v>
      </c>
      <c r="M197" s="11">
        <v>390</v>
      </c>
      <c r="N197" s="12">
        <v>-3.3200912475585653E-2</v>
      </c>
      <c r="O197" s="13">
        <v>-27.61399987792969</v>
      </c>
      <c r="P197" s="13">
        <v>11.16429963684082</v>
      </c>
      <c r="Q197" s="13">
        <v>-1.1265474395360699</v>
      </c>
      <c r="R197" s="14">
        <v>71.124312593822424</v>
      </c>
      <c r="S197" s="13">
        <v>-3.3200912475585653E-2</v>
      </c>
      <c r="T197" s="13">
        <v>-27.61399987792969</v>
      </c>
      <c r="U197" s="13">
        <v>11.16429963684082</v>
      </c>
      <c r="V197" s="13">
        <v>-1.1265474395360699</v>
      </c>
      <c r="W197" s="15">
        <v>71.124312593822424</v>
      </c>
      <c r="X197" s="16" t="str">
        <f>IFERROR(_xll.BDP(E197&amp;" Corp","LAST_PRICE"),"--")</f>
        <v>#N/A Requesting Data...</v>
      </c>
      <c r="Y197" s="17" t="str">
        <f>IFERROR(_xll.BDP(E197&amp;" Corp","YAS_BENCHMARK_BOND_ISIN"),"--")</f>
        <v>#N/A Requesting Data...</v>
      </c>
      <c r="Z197" s="18" t="str">
        <f>IFERROR(_xll.BDP(Y197&amp;" CORP","LAST_PRICE"),"--")</f>
        <v>#N/A Requesting Data... CORP</v>
      </c>
      <c r="AA197" s="19" t="str">
        <f>IFERROR(_xll.BDP(E197&amp;" Corp","YAS_YLD_SPREAD","YAS_BOND_PX="&amp;X197,"YAS_BNCHMRK_BOND_PX="&amp;Z197),"--")</f>
        <v>#N/A Requesting Data...</v>
      </c>
      <c r="AB197" s="19" t="str">
        <f>IFERROR(_xll.BDP(E197&amp;" Corp","BLOOMBERG_MID_G_SPREAD","YAS_BOND_PX="&amp;X197,"YAS_BNCHMRK_BOND_PX="&amp;Z197),"--")</f>
        <v>#N/A Requesting Data...</v>
      </c>
      <c r="AC197" s="19" t="str">
        <f>IFERROR(_xll.BDP(D197,"LAST_PRICE"),"--")</f>
        <v>#N/A Requesting Data...</v>
      </c>
      <c r="AD197" s="20"/>
      <c r="AE197" s="19" t="str">
        <f t="shared" ref="AE197:AE260" si="12">IFERROR(IF(ISBLANK(AD197),AC197,AD197),"--")</f>
        <v>#N/A Requesting Data...</v>
      </c>
      <c r="AF197" s="19" t="str">
        <f t="shared" ref="AF197:AF260" si="13">IFERROR(MAX(-500,MIN(500,AE197-AB197)),"--")</f>
        <v>--</v>
      </c>
      <c r="AG197" s="21" t="str">
        <f t="shared" ref="AG197:AG260" si="14">IFERROR((AF197-T197)/(U197-T197)*100,"--")</f>
        <v>--</v>
      </c>
      <c r="AH197" s="19" t="str">
        <f t="shared" ref="AH197:AH260" si="15">IFERROR(AF197-V197,"--")</f>
        <v>--</v>
      </c>
    </row>
    <row r="198" spans="1:34" x14ac:dyDescent="0.45">
      <c r="A198" s="22" t="s">
        <v>815</v>
      </c>
      <c r="B198" s="23" t="s">
        <v>523</v>
      </c>
      <c r="C198" s="22" t="s">
        <v>816</v>
      </c>
      <c r="D198" s="23" t="s">
        <v>817</v>
      </c>
      <c r="E198" s="23" t="s">
        <v>818</v>
      </c>
      <c r="F198" s="24">
        <v>45708</v>
      </c>
      <c r="G198" s="24">
        <v>46226</v>
      </c>
      <c r="H198" s="24">
        <v>48385</v>
      </c>
      <c r="I198" s="25">
        <v>68.992202758789063</v>
      </c>
      <c r="J198" s="25">
        <v>54.662899017333977</v>
      </c>
      <c r="K198" s="25">
        <v>69.819000000000003</v>
      </c>
      <c r="L198" s="25">
        <v>75.224000000000004</v>
      </c>
      <c r="M198" s="26">
        <v>357</v>
      </c>
      <c r="N198" s="27">
        <v>-0.82679724121094011</v>
      </c>
      <c r="O198" s="28">
        <v>-34.828403259277337</v>
      </c>
      <c r="P198" s="28">
        <v>7.7869972534179652</v>
      </c>
      <c r="Q198" s="28">
        <v>-13.14762719230759</v>
      </c>
      <c r="R198" s="29">
        <v>79.787132372338448</v>
      </c>
      <c r="S198" s="28">
        <v>-15.15610098266602</v>
      </c>
      <c r="T198" s="28">
        <v>-44.9218023071289</v>
      </c>
      <c r="U198" s="28">
        <v>-6.6204987487792977</v>
      </c>
      <c r="V198" s="28">
        <v>-24.078756070860958</v>
      </c>
      <c r="W198" s="30">
        <v>77.714590781790832</v>
      </c>
      <c r="X198" s="16" t="str">
        <f>IFERROR(_xll.BDP(E198&amp;" Corp","LAST_PRICE"),"--")</f>
        <v>#N/A Requesting Data...</v>
      </c>
      <c r="Y198" s="17" t="str">
        <f>IFERROR(_xll.BDP(E198&amp;" Corp","YAS_BENCHMARK_BOND_ISIN"),"--")</f>
        <v>#N/A Requesting Data...</v>
      </c>
      <c r="Z198" s="18" t="str">
        <f>IFERROR(_xll.BDP(Y198&amp;" CORP","LAST_PRICE"),"--")</f>
        <v>#N/A Requesting Data... CORP</v>
      </c>
      <c r="AA198" s="19" t="str">
        <f>IFERROR(_xll.BDP(E198&amp;" Corp","YAS_YLD_SPREAD","YAS_BOND_PX="&amp;X198,"YAS_BNCHMRK_BOND_PX="&amp;Z198),"--")</f>
        <v>#N/A Requesting Data...</v>
      </c>
      <c r="AB198" s="19" t="str">
        <f>IFERROR(_xll.BDP(E198&amp;" Corp","BLOOMBERG_MID_G_SPREAD","YAS_BOND_PX="&amp;X198,"YAS_BNCHMRK_BOND_PX="&amp;Z198),"--")</f>
        <v>#N/A Requesting Data...</v>
      </c>
      <c r="AC198" s="19" t="str">
        <f>IFERROR(_xll.BDP(D198,"LAST_PRICE"),"--")</f>
        <v>#N/A Requesting Data...</v>
      </c>
      <c r="AD198" s="20"/>
      <c r="AE198" s="19" t="str">
        <f t="shared" si="12"/>
        <v>#N/A Requesting Data...</v>
      </c>
      <c r="AF198" s="19" t="str">
        <f t="shared" si="13"/>
        <v>--</v>
      </c>
      <c r="AG198" s="21" t="str">
        <f t="shared" si="14"/>
        <v>--</v>
      </c>
      <c r="AH198" s="19" t="str">
        <f t="shared" si="15"/>
        <v>--</v>
      </c>
    </row>
    <row r="199" spans="1:34" x14ac:dyDescent="0.45">
      <c r="A199" s="7" t="s">
        <v>819</v>
      </c>
      <c r="B199" s="8" t="s">
        <v>523</v>
      </c>
      <c r="C199" s="7" t="s">
        <v>820</v>
      </c>
      <c r="D199" s="8" t="s">
        <v>821</v>
      </c>
      <c r="E199" s="8" t="s">
        <v>822</v>
      </c>
      <c r="F199" s="9">
        <v>45659</v>
      </c>
      <c r="G199" s="9">
        <v>46226</v>
      </c>
      <c r="H199" s="9">
        <v>49115</v>
      </c>
      <c r="I199" s="10">
        <v>73.52020263671875</v>
      </c>
      <c r="J199" s="10">
        <v>44.629100799560547</v>
      </c>
      <c r="K199" s="10">
        <v>77.353999999999999</v>
      </c>
      <c r="L199" s="10">
        <v>68.587000000000003</v>
      </c>
      <c r="M199" s="11">
        <v>390</v>
      </c>
      <c r="N199" s="12">
        <v>-3.8337973632812492</v>
      </c>
      <c r="O199" s="13">
        <v>-39.990399963378913</v>
      </c>
      <c r="P199" s="13">
        <v>8.57349780273438</v>
      </c>
      <c r="Q199" s="13">
        <v>-5.0837832003079928</v>
      </c>
      <c r="R199" s="14">
        <v>74.451607600012011</v>
      </c>
      <c r="S199" s="13">
        <v>-32.724899200439452</v>
      </c>
      <c r="T199" s="13">
        <v>-64.646299011230468</v>
      </c>
      <c r="U199" s="13">
        <v>-17.86849829101563</v>
      </c>
      <c r="V199" s="13">
        <v>-30.26053380400829</v>
      </c>
      <c r="W199" s="15">
        <v>68.240488691885659</v>
      </c>
      <c r="X199" s="16" t="str">
        <f>IFERROR(_xll.BDP(E199&amp;" Corp","LAST_PRICE"),"--")</f>
        <v>#N/A Requesting Data...</v>
      </c>
      <c r="Y199" s="17" t="str">
        <f>IFERROR(_xll.BDP(E199&amp;" Corp","YAS_BENCHMARK_BOND_ISIN"),"--")</f>
        <v>#N/A Requesting Data...</v>
      </c>
      <c r="Z199" s="18" t="str">
        <f>IFERROR(_xll.BDP(Y199&amp;" CORP","LAST_PRICE"),"--")</f>
        <v>#N/A Requesting Data... CORP</v>
      </c>
      <c r="AA199" s="19" t="str">
        <f>IFERROR(_xll.BDP(E199&amp;" Corp","YAS_YLD_SPREAD","YAS_BOND_PX="&amp;X199,"YAS_BNCHMRK_BOND_PX="&amp;Z199),"--")</f>
        <v>#N/A Requesting Data...</v>
      </c>
      <c r="AB199" s="19" t="str">
        <f>IFERROR(_xll.BDP(E199&amp;" Corp","BLOOMBERG_MID_G_SPREAD","YAS_BOND_PX="&amp;X199,"YAS_BNCHMRK_BOND_PX="&amp;Z199),"--")</f>
        <v>#N/A Requesting Data...</v>
      </c>
      <c r="AC199" s="19" t="str">
        <f>IFERROR(_xll.BDP(D199,"LAST_PRICE"),"--")</f>
        <v>#N/A Requesting Data...</v>
      </c>
      <c r="AD199" s="20"/>
      <c r="AE199" s="19" t="str">
        <f t="shared" si="12"/>
        <v>#N/A Requesting Data...</v>
      </c>
      <c r="AF199" s="19" t="str">
        <f t="shared" si="13"/>
        <v>--</v>
      </c>
      <c r="AG199" s="21" t="str">
        <f t="shared" si="14"/>
        <v>--</v>
      </c>
      <c r="AH199" s="19" t="str">
        <f t="shared" si="15"/>
        <v>--</v>
      </c>
    </row>
    <row r="200" spans="1:34" x14ac:dyDescent="0.45">
      <c r="A200" s="22" t="s">
        <v>823</v>
      </c>
      <c r="B200" s="23" t="s">
        <v>523</v>
      </c>
      <c r="C200" s="22" t="s">
        <v>824</v>
      </c>
      <c r="D200" s="23" t="s">
        <v>825</v>
      </c>
      <c r="E200" s="23" t="s">
        <v>826</v>
      </c>
      <c r="F200" s="24">
        <v>45659</v>
      </c>
      <c r="G200" s="24">
        <v>46226</v>
      </c>
      <c r="H200" s="24">
        <v>49298</v>
      </c>
      <c r="I200" s="25">
        <v>59.829200744628913</v>
      </c>
      <c r="J200" s="25">
        <v>35.868900299072273</v>
      </c>
      <c r="K200" s="25">
        <v>87.769000000000005</v>
      </c>
      <c r="L200" s="25">
        <v>82.35</v>
      </c>
      <c r="M200" s="26">
        <v>390</v>
      </c>
      <c r="N200" s="27">
        <v>-27.939799255371099</v>
      </c>
      <c r="O200" s="28">
        <v>-43.989903076171871</v>
      </c>
      <c r="P200" s="28">
        <v>-5.6610024414062536</v>
      </c>
      <c r="Q200" s="28">
        <v>-24.181939563849031</v>
      </c>
      <c r="R200" s="29">
        <v>41.874678258428268</v>
      </c>
      <c r="S200" s="28">
        <v>-51.90009970092774</v>
      </c>
      <c r="T200" s="28">
        <v>-68.888398223876948</v>
      </c>
      <c r="U200" s="28">
        <v>-31.948500915527351</v>
      </c>
      <c r="V200" s="28">
        <v>-46.823421819246732</v>
      </c>
      <c r="W200" s="30">
        <v>45.989024769457892</v>
      </c>
      <c r="X200" s="16" t="str">
        <f>IFERROR(_xll.BDP(E200&amp;" Corp","LAST_PRICE"),"--")</f>
        <v>#N/A Requesting Data...</v>
      </c>
      <c r="Y200" s="17" t="str">
        <f>IFERROR(_xll.BDP(E200&amp;" Corp","YAS_BENCHMARK_BOND_ISIN"),"--")</f>
        <v>#N/A Requesting Data...</v>
      </c>
      <c r="Z200" s="18" t="str">
        <f>IFERROR(_xll.BDP(Y200&amp;" CORP","LAST_PRICE"),"--")</f>
        <v>#N/A Requesting Data... CORP</v>
      </c>
      <c r="AA200" s="19" t="str">
        <f>IFERROR(_xll.BDP(E200&amp;" Corp","YAS_YLD_SPREAD","YAS_BOND_PX="&amp;X200,"YAS_BNCHMRK_BOND_PX="&amp;Z200),"--")</f>
        <v>#N/A Requesting Data...</v>
      </c>
      <c r="AB200" s="19" t="str">
        <f>IFERROR(_xll.BDP(E200&amp;" Corp","BLOOMBERG_MID_G_SPREAD","YAS_BOND_PX="&amp;X200,"YAS_BNCHMRK_BOND_PX="&amp;Z200),"--")</f>
        <v>#N/A Requesting Data...</v>
      </c>
      <c r="AC200" s="19" t="str">
        <f>IFERROR(_xll.BDP(D200,"LAST_PRICE"),"--")</f>
        <v>#N/A Requesting Data...</v>
      </c>
      <c r="AD200" s="20"/>
      <c r="AE200" s="19" t="str">
        <f t="shared" si="12"/>
        <v>#N/A Requesting Data...</v>
      </c>
      <c r="AF200" s="19" t="str">
        <f t="shared" si="13"/>
        <v>--</v>
      </c>
      <c r="AG200" s="21" t="str">
        <f t="shared" si="14"/>
        <v>--</v>
      </c>
      <c r="AH200" s="19" t="str">
        <f t="shared" si="15"/>
        <v>--</v>
      </c>
    </row>
    <row r="201" spans="1:34" x14ac:dyDescent="0.45">
      <c r="A201" s="7" t="s">
        <v>827</v>
      </c>
      <c r="B201" s="8" t="s">
        <v>523</v>
      </c>
      <c r="C201" s="7" t="s">
        <v>828</v>
      </c>
      <c r="D201" s="8" t="s">
        <v>829</v>
      </c>
      <c r="E201" s="8" t="s">
        <v>830</v>
      </c>
      <c r="F201" s="9">
        <v>45789</v>
      </c>
      <c r="G201" s="9">
        <v>46226</v>
      </c>
      <c r="H201" s="9">
        <v>47837</v>
      </c>
      <c r="I201" s="10">
        <v>77.286598205566406</v>
      </c>
      <c r="J201" s="10">
        <v>84.166999816894531</v>
      </c>
      <c r="K201" s="10">
        <v>69.287999999999997</v>
      </c>
      <c r="L201" s="10">
        <v>67.945999999999998</v>
      </c>
      <c r="M201" s="11">
        <v>300</v>
      </c>
      <c r="N201" s="12">
        <v>7.9985982055664104</v>
      </c>
      <c r="O201" s="13">
        <v>-9.4046967773437444</v>
      </c>
      <c r="P201" s="13">
        <v>18.207302551269539</v>
      </c>
      <c r="Q201" s="13">
        <v>2.8462799192301431</v>
      </c>
      <c r="R201" s="14">
        <v>63.028014653309697</v>
      </c>
      <c r="S201" s="13">
        <v>14.878999816894529</v>
      </c>
      <c r="T201" s="13">
        <v>-1.3594968261718781</v>
      </c>
      <c r="U201" s="13">
        <v>25.03210113525391</v>
      </c>
      <c r="V201" s="13">
        <v>10.427774975382491</v>
      </c>
      <c r="W201" s="15">
        <v>61.529039154054843</v>
      </c>
      <c r="X201" s="16" t="str">
        <f>IFERROR(_xll.BDP(E201&amp;" Corp","LAST_PRICE"),"--")</f>
        <v>#N/A Requesting Data...</v>
      </c>
      <c r="Y201" s="17" t="str">
        <f>IFERROR(_xll.BDP(E201&amp;" Corp","YAS_BENCHMARK_BOND_ISIN"),"--")</f>
        <v>#N/A Requesting Data...</v>
      </c>
      <c r="Z201" s="18" t="str">
        <f>IFERROR(_xll.BDP(Y201&amp;" CORP","LAST_PRICE"),"--")</f>
        <v>#N/A Requesting Data... CORP</v>
      </c>
      <c r="AA201" s="19" t="str">
        <f>IFERROR(_xll.BDP(E201&amp;" Corp","YAS_YLD_SPREAD","YAS_BOND_PX="&amp;X201,"YAS_BNCHMRK_BOND_PX="&amp;Z201),"--")</f>
        <v>#N/A Requesting Data...</v>
      </c>
      <c r="AB201" s="19" t="str">
        <f>IFERROR(_xll.BDP(E201&amp;" Corp","BLOOMBERG_MID_G_SPREAD","YAS_BOND_PX="&amp;X201,"YAS_BNCHMRK_BOND_PX="&amp;Z201),"--")</f>
        <v>#N/A Requesting Data...</v>
      </c>
      <c r="AC201" s="19" t="str">
        <f>IFERROR(_xll.BDP(D201,"LAST_PRICE"),"--")</f>
        <v>#N/A Requesting Data...</v>
      </c>
      <c r="AD201" s="20"/>
      <c r="AE201" s="19" t="str">
        <f t="shared" si="12"/>
        <v>#N/A Requesting Data...</v>
      </c>
      <c r="AF201" s="19" t="str">
        <f t="shared" si="13"/>
        <v>--</v>
      </c>
      <c r="AG201" s="21" t="str">
        <f t="shared" si="14"/>
        <v>--</v>
      </c>
      <c r="AH201" s="19" t="str">
        <f t="shared" si="15"/>
        <v>--</v>
      </c>
    </row>
    <row r="202" spans="1:34" x14ac:dyDescent="0.45">
      <c r="A202" s="22" t="s">
        <v>831</v>
      </c>
      <c r="B202" s="23" t="s">
        <v>523</v>
      </c>
      <c r="C202" s="22" t="s">
        <v>832</v>
      </c>
      <c r="D202" s="23" t="s">
        <v>833</v>
      </c>
      <c r="E202" s="23" t="s">
        <v>834</v>
      </c>
      <c r="F202" s="24">
        <v>45659</v>
      </c>
      <c r="G202" s="24">
        <v>46226</v>
      </c>
      <c r="H202" s="24">
        <v>49298</v>
      </c>
      <c r="I202" s="25">
        <v>33.165401458740227</v>
      </c>
      <c r="J202" s="25">
        <v>18.763900756835941</v>
      </c>
      <c r="K202" s="25">
        <v>50.343000000000004</v>
      </c>
      <c r="L202" s="25">
        <v>43.573</v>
      </c>
      <c r="M202" s="26">
        <v>385</v>
      </c>
      <c r="N202" s="27">
        <v>-17.177598541259769</v>
      </c>
      <c r="O202" s="28">
        <v>-42.546999999999997</v>
      </c>
      <c r="P202" s="28">
        <v>-11.34379928588867</v>
      </c>
      <c r="Q202" s="28">
        <v>-21.327798444911419</v>
      </c>
      <c r="R202" s="29">
        <v>81.303843445993593</v>
      </c>
      <c r="S202" s="28">
        <v>-31.57909924316407</v>
      </c>
      <c r="T202" s="28">
        <v>-57.921999999999997</v>
      </c>
      <c r="U202" s="28">
        <v>-25.82260018920898</v>
      </c>
      <c r="V202" s="28">
        <v>-34.738952558116416</v>
      </c>
      <c r="W202" s="30">
        <v>82.066645831739535</v>
      </c>
      <c r="X202" s="16" t="str">
        <f>IFERROR(_xll.BDP(E202&amp;" Corp","LAST_PRICE"),"--")</f>
        <v>#N/A Requesting Data...</v>
      </c>
      <c r="Y202" s="17" t="str">
        <f>IFERROR(_xll.BDP(E202&amp;" Corp","YAS_BENCHMARK_BOND_ISIN"),"--")</f>
        <v>#N/A Requesting Data...</v>
      </c>
      <c r="Z202" s="18" t="str">
        <f>IFERROR(_xll.BDP(Y202&amp;" CORP","LAST_PRICE"),"--")</f>
        <v>#N/A Requesting Data... CORP</v>
      </c>
      <c r="AA202" s="19" t="str">
        <f>IFERROR(_xll.BDP(E202&amp;" Corp","YAS_YLD_SPREAD","YAS_BOND_PX="&amp;X202,"YAS_BNCHMRK_BOND_PX="&amp;Z202),"--")</f>
        <v>#N/A Requesting Data...</v>
      </c>
      <c r="AB202" s="19" t="str">
        <f>IFERROR(_xll.BDP(E202&amp;" Corp","BLOOMBERG_MID_G_SPREAD","YAS_BOND_PX="&amp;X202,"YAS_BNCHMRK_BOND_PX="&amp;Z202),"--")</f>
        <v>#N/A Requesting Data...</v>
      </c>
      <c r="AC202" s="19" t="str">
        <f>IFERROR(_xll.BDP(D202,"LAST_PRICE"),"--")</f>
        <v>#N/A Requesting Data...</v>
      </c>
      <c r="AD202" s="20"/>
      <c r="AE202" s="19" t="str">
        <f t="shared" si="12"/>
        <v>#N/A Requesting Data...</v>
      </c>
      <c r="AF202" s="19" t="str">
        <f t="shared" si="13"/>
        <v>--</v>
      </c>
      <c r="AG202" s="21" t="str">
        <f t="shared" si="14"/>
        <v>--</v>
      </c>
      <c r="AH202" s="19" t="str">
        <f t="shared" si="15"/>
        <v>--</v>
      </c>
    </row>
    <row r="203" spans="1:34" x14ac:dyDescent="0.45">
      <c r="A203" s="7" t="s">
        <v>835</v>
      </c>
      <c r="B203" s="8" t="s">
        <v>523</v>
      </c>
      <c r="C203" s="7" t="s">
        <v>836</v>
      </c>
      <c r="D203" s="8" t="s">
        <v>837</v>
      </c>
      <c r="E203" s="8" t="s">
        <v>838</v>
      </c>
      <c r="F203" s="9">
        <v>45659</v>
      </c>
      <c r="G203" s="9">
        <v>46226</v>
      </c>
      <c r="H203" s="9">
        <v>49115</v>
      </c>
      <c r="I203" s="10">
        <v>175.74110412597659</v>
      </c>
      <c r="J203" s="10">
        <v>137.12339782714841</v>
      </c>
      <c r="K203" s="10">
        <v>116.874</v>
      </c>
      <c r="L203" s="10">
        <v>107.369</v>
      </c>
      <c r="M203" s="11">
        <v>390</v>
      </c>
      <c r="N203" s="12">
        <v>58.867104125976567</v>
      </c>
      <c r="O203" s="13">
        <v>17.91369470214843</v>
      </c>
      <c r="P203" s="13">
        <v>78.205995117187499</v>
      </c>
      <c r="Q203" s="13">
        <v>46.177250423490086</v>
      </c>
      <c r="R203" s="14">
        <v>67.92477504078262</v>
      </c>
      <c r="S203" s="13">
        <v>20.249397827148439</v>
      </c>
      <c r="T203" s="13">
        <v>-6.3420033569335894</v>
      </c>
      <c r="U203" s="13">
        <v>41.919692626953122</v>
      </c>
      <c r="V203" s="13">
        <v>16.75532139172676</v>
      </c>
      <c r="W203" s="15">
        <v>55.098356247074683</v>
      </c>
      <c r="X203" s="16" t="str">
        <f>IFERROR(_xll.BDP(E203&amp;" Corp","LAST_PRICE"),"--")</f>
        <v>#N/A Requesting Data...</v>
      </c>
      <c r="Y203" s="17" t="str">
        <f>IFERROR(_xll.BDP(E203&amp;" Corp","YAS_BENCHMARK_BOND_ISIN"),"--")</f>
        <v>#N/A Requesting Data...</v>
      </c>
      <c r="Z203" s="18" t="str">
        <f>IFERROR(_xll.BDP(Y203&amp;" CORP","LAST_PRICE"),"--")</f>
        <v>#N/A Requesting Data... CORP</v>
      </c>
      <c r="AA203" s="19" t="str">
        <f>IFERROR(_xll.BDP(E203&amp;" Corp","YAS_YLD_SPREAD","YAS_BOND_PX="&amp;X203,"YAS_BNCHMRK_BOND_PX="&amp;Z203),"--")</f>
        <v>#N/A Requesting Data...</v>
      </c>
      <c r="AB203" s="19" t="str">
        <f>IFERROR(_xll.BDP(E203&amp;" Corp","BLOOMBERG_MID_G_SPREAD","YAS_BOND_PX="&amp;X203,"YAS_BNCHMRK_BOND_PX="&amp;Z203),"--")</f>
        <v>#N/A Requesting Data...</v>
      </c>
      <c r="AC203" s="19" t="str">
        <f>IFERROR(_xll.BDP(D203,"LAST_PRICE"),"--")</f>
        <v>#N/A Requesting Data...</v>
      </c>
      <c r="AD203" s="20"/>
      <c r="AE203" s="19" t="str">
        <f t="shared" si="12"/>
        <v>#N/A Requesting Data...</v>
      </c>
      <c r="AF203" s="19" t="str">
        <f t="shared" si="13"/>
        <v>--</v>
      </c>
      <c r="AG203" s="21" t="str">
        <f t="shared" si="14"/>
        <v>--</v>
      </c>
      <c r="AH203" s="19" t="str">
        <f t="shared" si="15"/>
        <v>--</v>
      </c>
    </row>
    <row r="204" spans="1:34" x14ac:dyDescent="0.45">
      <c r="A204" s="22" t="s">
        <v>839</v>
      </c>
      <c r="B204" s="23" t="s">
        <v>523</v>
      </c>
      <c r="C204" s="22" t="s">
        <v>840</v>
      </c>
      <c r="D204" s="23" t="s">
        <v>841</v>
      </c>
      <c r="E204" s="23" t="s">
        <v>842</v>
      </c>
      <c r="F204" s="24">
        <v>45659</v>
      </c>
      <c r="G204" s="24">
        <v>46226</v>
      </c>
      <c r="H204" s="24">
        <v>48750</v>
      </c>
      <c r="I204" s="25">
        <v>42.652099609375</v>
      </c>
      <c r="J204" s="25">
        <v>30.566099166870121</v>
      </c>
      <c r="K204" s="25">
        <v>65.185000000000002</v>
      </c>
      <c r="L204" s="25">
        <v>52.856999999999999</v>
      </c>
      <c r="M204" s="26">
        <v>390</v>
      </c>
      <c r="N204" s="27">
        <v>-22.532900390624999</v>
      </c>
      <c r="O204" s="28">
        <v>-47.492000976562487</v>
      </c>
      <c r="P204" s="28">
        <v>-6.4295007629394547</v>
      </c>
      <c r="Q204" s="28">
        <v>-22.464373559570319</v>
      </c>
      <c r="R204" s="29">
        <v>60.783197457754831</v>
      </c>
      <c r="S204" s="28">
        <v>-34.618900833129892</v>
      </c>
      <c r="T204" s="28">
        <v>-57.45880166625976</v>
      </c>
      <c r="U204" s="28">
        <v>-17.334098999023439</v>
      </c>
      <c r="V204" s="28">
        <v>-33.0369107225467</v>
      </c>
      <c r="W204" s="30">
        <v>56.922293038646522</v>
      </c>
      <c r="X204" s="16" t="str">
        <f>IFERROR(_xll.BDP(E204&amp;" Corp","LAST_PRICE"),"--")</f>
        <v>#N/A Requesting Data...</v>
      </c>
      <c r="Y204" s="17" t="str">
        <f>IFERROR(_xll.BDP(E204&amp;" Corp","YAS_BENCHMARK_BOND_ISIN"),"--")</f>
        <v>#N/A Requesting Data...</v>
      </c>
      <c r="Z204" s="18" t="str">
        <f>IFERROR(_xll.BDP(Y204&amp;" CORP","LAST_PRICE"),"--")</f>
        <v>#N/A Requesting Data... CORP</v>
      </c>
      <c r="AA204" s="19" t="str">
        <f>IFERROR(_xll.BDP(E204&amp;" Corp","YAS_YLD_SPREAD","YAS_BOND_PX="&amp;X204,"YAS_BNCHMRK_BOND_PX="&amp;Z204),"--")</f>
        <v>#N/A Requesting Data...</v>
      </c>
      <c r="AB204" s="19" t="str">
        <f>IFERROR(_xll.BDP(E204&amp;" Corp","BLOOMBERG_MID_G_SPREAD","YAS_BOND_PX="&amp;X204,"YAS_BNCHMRK_BOND_PX="&amp;Z204),"--")</f>
        <v>#N/A Requesting Data...</v>
      </c>
      <c r="AC204" s="19" t="str">
        <f>IFERROR(_xll.BDP(D204,"LAST_PRICE"),"--")</f>
        <v>#N/A Requesting Data...</v>
      </c>
      <c r="AD204" s="20"/>
      <c r="AE204" s="19" t="str">
        <f t="shared" si="12"/>
        <v>#N/A Requesting Data...</v>
      </c>
      <c r="AF204" s="19" t="str">
        <f t="shared" si="13"/>
        <v>--</v>
      </c>
      <c r="AG204" s="21" t="str">
        <f t="shared" si="14"/>
        <v>--</v>
      </c>
      <c r="AH204" s="19" t="str">
        <f t="shared" si="15"/>
        <v>--</v>
      </c>
    </row>
    <row r="205" spans="1:34" x14ac:dyDescent="0.45">
      <c r="A205" s="7" t="s">
        <v>843</v>
      </c>
      <c r="B205" s="8" t="s">
        <v>523</v>
      </c>
      <c r="C205" s="7" t="s">
        <v>844</v>
      </c>
      <c r="D205" s="8" t="s">
        <v>845</v>
      </c>
      <c r="E205" s="8" t="s">
        <v>846</v>
      </c>
      <c r="F205" s="9">
        <v>45957</v>
      </c>
      <c r="G205" s="9">
        <v>46226</v>
      </c>
      <c r="H205" s="9">
        <v>49663</v>
      </c>
      <c r="I205" s="10">
        <v>135.40739440917969</v>
      </c>
      <c r="J205" s="10">
        <v>92.959197998046875</v>
      </c>
      <c r="K205" s="10">
        <v>138.12200000000001</v>
      </c>
      <c r="L205" s="10">
        <v>136.86500000000001</v>
      </c>
      <c r="M205" s="11">
        <v>186</v>
      </c>
      <c r="N205" s="12">
        <v>-2.714605590820327</v>
      </c>
      <c r="O205" s="13">
        <v>-7.1322993164062609</v>
      </c>
      <c r="P205" s="13">
        <v>20.045396850585931</v>
      </c>
      <c r="Q205" s="13">
        <v>4.2090526500414764</v>
      </c>
      <c r="R205" s="14">
        <v>16.254849927093169</v>
      </c>
      <c r="S205" s="13">
        <v>-45.162802001953139</v>
      </c>
      <c r="T205" s="13">
        <v>-49.372003601074233</v>
      </c>
      <c r="U205" s="13">
        <v>-15.31439642333984</v>
      </c>
      <c r="V205" s="13">
        <v>-33.843067435644009</v>
      </c>
      <c r="W205" s="15">
        <v>12.359064385101339</v>
      </c>
      <c r="X205" s="16" t="str">
        <f>IFERROR(_xll.BDP(E205&amp;" Corp","LAST_PRICE"),"--")</f>
        <v>#N/A Requesting Data...</v>
      </c>
      <c r="Y205" s="17" t="str">
        <f>IFERROR(_xll.BDP(E205&amp;" Corp","YAS_BENCHMARK_BOND_ISIN"),"--")</f>
        <v>#N/A Requesting Data...</v>
      </c>
      <c r="Z205" s="18" t="str">
        <f>IFERROR(_xll.BDP(Y205&amp;" CORP","LAST_PRICE"),"--")</f>
        <v>#N/A Requesting Data... CORP</v>
      </c>
      <c r="AA205" s="19" t="str">
        <f>IFERROR(_xll.BDP(E205&amp;" Corp","YAS_YLD_SPREAD","YAS_BOND_PX="&amp;X205,"YAS_BNCHMRK_BOND_PX="&amp;Z205),"--")</f>
        <v>#N/A Requesting Data...</v>
      </c>
      <c r="AB205" s="19" t="str">
        <f>IFERROR(_xll.BDP(E205&amp;" Corp","BLOOMBERG_MID_G_SPREAD","YAS_BOND_PX="&amp;X205,"YAS_BNCHMRK_BOND_PX="&amp;Z205),"--")</f>
        <v>#N/A Requesting Data...</v>
      </c>
      <c r="AC205" s="19" t="str">
        <f>IFERROR(_xll.BDP(D205,"LAST_PRICE"),"--")</f>
        <v>#N/A Requesting Data...</v>
      </c>
      <c r="AD205" s="20"/>
      <c r="AE205" s="19" t="str">
        <f t="shared" si="12"/>
        <v>#N/A Requesting Data...</v>
      </c>
      <c r="AF205" s="19" t="str">
        <f t="shared" si="13"/>
        <v>--</v>
      </c>
      <c r="AG205" s="21" t="str">
        <f t="shared" si="14"/>
        <v>--</v>
      </c>
      <c r="AH205" s="19" t="str">
        <f t="shared" si="15"/>
        <v>--</v>
      </c>
    </row>
    <row r="206" spans="1:34" x14ac:dyDescent="0.45">
      <c r="A206" s="22" t="s">
        <v>847</v>
      </c>
      <c r="B206" s="23" t="s">
        <v>523</v>
      </c>
      <c r="C206" s="22" t="s">
        <v>848</v>
      </c>
      <c r="D206" s="23" t="s">
        <v>849</v>
      </c>
      <c r="E206" s="23" t="s">
        <v>850</v>
      </c>
      <c r="F206" s="24">
        <v>45659</v>
      </c>
      <c r="G206" s="24">
        <v>46226</v>
      </c>
      <c r="H206" s="24">
        <v>48933</v>
      </c>
      <c r="I206" s="25">
        <v>33.846000671386719</v>
      </c>
      <c r="J206" s="25">
        <v>22.857000350952148</v>
      </c>
      <c r="K206" s="25">
        <v>40.704999999999998</v>
      </c>
      <c r="L206" s="25">
        <v>30.145</v>
      </c>
      <c r="M206" s="26">
        <v>389</v>
      </c>
      <c r="N206" s="27">
        <v>-6.8589993286132804</v>
      </c>
      <c r="O206" s="28">
        <v>-39.785801574707037</v>
      </c>
      <c r="P206" s="28">
        <v>-1.631598571777346</v>
      </c>
      <c r="Q206" s="28">
        <v>-13.12201645368169</v>
      </c>
      <c r="R206" s="29">
        <v>86.299279383625063</v>
      </c>
      <c r="S206" s="28">
        <v>-17.84799964904785</v>
      </c>
      <c r="T206" s="28">
        <v>-49.861301116943373</v>
      </c>
      <c r="U206" s="28">
        <v>-13.352099899291989</v>
      </c>
      <c r="V206" s="28">
        <v>-23.96012282499656</v>
      </c>
      <c r="W206" s="30">
        <v>87.685570760769778</v>
      </c>
      <c r="X206" s="16" t="str">
        <f>IFERROR(_xll.BDP(E206&amp;" Corp","LAST_PRICE"),"--")</f>
        <v>#N/A Requesting Data...</v>
      </c>
      <c r="Y206" s="17" t="str">
        <f>IFERROR(_xll.BDP(E206&amp;" Corp","YAS_BENCHMARK_BOND_ISIN"),"--")</f>
        <v>#N/A Requesting Data...</v>
      </c>
      <c r="Z206" s="18" t="str">
        <f>IFERROR(_xll.BDP(Y206&amp;" CORP","LAST_PRICE"),"--")</f>
        <v>#N/A Requesting Data... CORP</v>
      </c>
      <c r="AA206" s="19" t="str">
        <f>IFERROR(_xll.BDP(E206&amp;" Corp","YAS_YLD_SPREAD","YAS_BOND_PX="&amp;X206,"YAS_BNCHMRK_BOND_PX="&amp;Z206),"--")</f>
        <v>#N/A Requesting Data...</v>
      </c>
      <c r="AB206" s="19" t="str">
        <f>IFERROR(_xll.BDP(E206&amp;" Corp","BLOOMBERG_MID_G_SPREAD","YAS_BOND_PX="&amp;X206,"YAS_BNCHMRK_BOND_PX="&amp;Z206),"--")</f>
        <v>#N/A Requesting Data...</v>
      </c>
      <c r="AC206" s="19" t="str">
        <f>IFERROR(_xll.BDP(D206,"LAST_PRICE"),"--")</f>
        <v>#N/A Requesting Data...</v>
      </c>
      <c r="AD206" s="20"/>
      <c r="AE206" s="19" t="str">
        <f t="shared" si="12"/>
        <v>#N/A Requesting Data...</v>
      </c>
      <c r="AF206" s="19" t="str">
        <f t="shared" si="13"/>
        <v>--</v>
      </c>
      <c r="AG206" s="21" t="str">
        <f t="shared" si="14"/>
        <v>--</v>
      </c>
      <c r="AH206" s="19" t="str">
        <f t="shared" si="15"/>
        <v>--</v>
      </c>
    </row>
    <row r="207" spans="1:34" x14ac:dyDescent="0.45">
      <c r="A207" s="7" t="s">
        <v>851</v>
      </c>
      <c r="B207" s="8" t="s">
        <v>523</v>
      </c>
      <c r="C207" s="7" t="s">
        <v>852</v>
      </c>
      <c r="D207" s="8" t="s">
        <v>853</v>
      </c>
      <c r="E207" s="8" t="s">
        <v>854</v>
      </c>
      <c r="F207" s="9">
        <v>45797</v>
      </c>
      <c r="G207" s="9">
        <v>46226</v>
      </c>
      <c r="H207" s="9">
        <v>48385</v>
      </c>
      <c r="I207" s="10">
        <v>37.528800964355469</v>
      </c>
      <c r="J207" s="10">
        <v>27.49329948425293</v>
      </c>
      <c r="K207" s="10">
        <v>53.792999999999999</v>
      </c>
      <c r="L207" s="10">
        <v>60.225000000000001</v>
      </c>
      <c r="M207" s="11">
        <v>294</v>
      </c>
      <c r="N207" s="12">
        <v>-16.264199035644531</v>
      </c>
      <c r="O207" s="13">
        <v>-27.76820111083984</v>
      </c>
      <c r="P207" s="13">
        <v>-4.3049016723632789</v>
      </c>
      <c r="Q207" s="13">
        <v>-14.95815068427884</v>
      </c>
      <c r="R207" s="14">
        <v>49.029771389825683</v>
      </c>
      <c r="S207" s="13">
        <v>-26.29970051574707</v>
      </c>
      <c r="T207" s="13">
        <v>-33.813699005126949</v>
      </c>
      <c r="U207" s="13">
        <v>-14.37580163574219</v>
      </c>
      <c r="V207" s="13">
        <v>-22.43625839617463</v>
      </c>
      <c r="W207" s="15">
        <v>38.656436684425749</v>
      </c>
      <c r="X207" s="16" t="str">
        <f>IFERROR(_xll.BDP(E207&amp;" Corp","LAST_PRICE"),"--")</f>
        <v>#N/A Requesting Data...</v>
      </c>
      <c r="Y207" s="17" t="str">
        <f>IFERROR(_xll.BDP(E207&amp;" Corp","YAS_BENCHMARK_BOND_ISIN"),"--")</f>
        <v>#N/A Requesting Data...</v>
      </c>
      <c r="Z207" s="18" t="str">
        <f>IFERROR(_xll.BDP(Y207&amp;" CORP","LAST_PRICE"),"--")</f>
        <v>#N/A Requesting Data... CORP</v>
      </c>
      <c r="AA207" s="19" t="str">
        <f>IFERROR(_xll.BDP(E207&amp;" Corp","YAS_YLD_SPREAD","YAS_BOND_PX="&amp;X207,"YAS_BNCHMRK_BOND_PX="&amp;Z207),"--")</f>
        <v>#N/A Requesting Data...</v>
      </c>
      <c r="AB207" s="19" t="str">
        <f>IFERROR(_xll.BDP(E207&amp;" Corp","BLOOMBERG_MID_G_SPREAD","YAS_BOND_PX="&amp;X207,"YAS_BNCHMRK_BOND_PX="&amp;Z207),"--")</f>
        <v>#N/A Requesting Data...</v>
      </c>
      <c r="AC207" s="19" t="str">
        <f>IFERROR(_xll.BDP(D207,"LAST_PRICE"),"--")</f>
        <v>#N/A Requesting Data...</v>
      </c>
      <c r="AD207" s="20"/>
      <c r="AE207" s="19" t="str">
        <f t="shared" si="12"/>
        <v>#N/A Requesting Data...</v>
      </c>
      <c r="AF207" s="19" t="str">
        <f t="shared" si="13"/>
        <v>--</v>
      </c>
      <c r="AG207" s="21" t="str">
        <f t="shared" si="14"/>
        <v>--</v>
      </c>
      <c r="AH207" s="19" t="str">
        <f t="shared" si="15"/>
        <v>--</v>
      </c>
    </row>
    <row r="208" spans="1:34" x14ac:dyDescent="0.45">
      <c r="A208" s="22" t="s">
        <v>855</v>
      </c>
      <c r="B208" s="23" t="s">
        <v>523</v>
      </c>
      <c r="C208" s="22" t="s">
        <v>856</v>
      </c>
      <c r="D208" s="23" t="s">
        <v>857</v>
      </c>
      <c r="E208" s="23" t="s">
        <v>858</v>
      </c>
      <c r="F208" s="24">
        <v>45659</v>
      </c>
      <c r="G208" s="24">
        <v>46226</v>
      </c>
      <c r="H208" s="24">
        <v>49298</v>
      </c>
      <c r="I208" s="25">
        <v>58.708999633789063</v>
      </c>
      <c r="J208" s="25">
        <v>36.827098846435547</v>
      </c>
      <c r="K208" s="25">
        <v>68.332999999999998</v>
      </c>
      <c r="L208" s="25">
        <v>61.796999999999997</v>
      </c>
      <c r="M208" s="26">
        <v>390</v>
      </c>
      <c r="N208" s="27">
        <v>-9.6240003662109359</v>
      </c>
      <c r="O208" s="28">
        <v>-19.59079919433594</v>
      </c>
      <c r="P208" s="28">
        <v>5.1449979248046844</v>
      </c>
      <c r="Q208" s="28">
        <v>-7.0939895440517331</v>
      </c>
      <c r="R208" s="29">
        <v>40.293016554589506</v>
      </c>
      <c r="S208" s="28">
        <v>-31.505901153564452</v>
      </c>
      <c r="T208" s="28">
        <v>-38.93340097045899</v>
      </c>
      <c r="U208" s="28">
        <v>-14.92119851684571</v>
      </c>
      <c r="V208" s="28">
        <v>-27.90947115055965</v>
      </c>
      <c r="W208" s="30">
        <v>30.932188878729331</v>
      </c>
      <c r="X208" s="16" t="str">
        <f>IFERROR(_xll.BDP(E208&amp;" Corp","LAST_PRICE"),"--")</f>
        <v>#N/A Requesting Data...</v>
      </c>
      <c r="Y208" s="17" t="str">
        <f>IFERROR(_xll.BDP(E208&amp;" Corp","YAS_BENCHMARK_BOND_ISIN"),"--")</f>
        <v>#N/A Requesting Data...</v>
      </c>
      <c r="Z208" s="18" t="str">
        <f>IFERROR(_xll.BDP(Y208&amp;" CORP","LAST_PRICE"),"--")</f>
        <v>#N/A Requesting Data... CORP</v>
      </c>
      <c r="AA208" s="19" t="str">
        <f>IFERROR(_xll.BDP(E208&amp;" Corp","YAS_YLD_SPREAD","YAS_BOND_PX="&amp;X208,"YAS_BNCHMRK_BOND_PX="&amp;Z208),"--")</f>
        <v>#N/A Requesting Data...</v>
      </c>
      <c r="AB208" s="19" t="str">
        <f>IFERROR(_xll.BDP(E208&amp;" Corp","BLOOMBERG_MID_G_SPREAD","YAS_BOND_PX="&amp;X208,"YAS_BNCHMRK_BOND_PX="&amp;Z208),"--")</f>
        <v>#N/A Requesting Data...</v>
      </c>
      <c r="AC208" s="19" t="str">
        <f>IFERROR(_xll.BDP(D208,"LAST_PRICE"),"--")</f>
        <v>#N/A Requesting Data...</v>
      </c>
      <c r="AD208" s="20"/>
      <c r="AE208" s="19" t="str">
        <f t="shared" si="12"/>
        <v>#N/A Requesting Data...</v>
      </c>
      <c r="AF208" s="19" t="str">
        <f t="shared" si="13"/>
        <v>--</v>
      </c>
      <c r="AG208" s="21" t="str">
        <f t="shared" si="14"/>
        <v>--</v>
      </c>
      <c r="AH208" s="19" t="str">
        <f t="shared" si="15"/>
        <v>--</v>
      </c>
    </row>
    <row r="209" spans="1:34" x14ac:dyDescent="0.45">
      <c r="A209" s="7" t="s">
        <v>859</v>
      </c>
      <c r="B209" s="8" t="s">
        <v>523</v>
      </c>
      <c r="C209" s="7" t="s">
        <v>860</v>
      </c>
      <c r="D209" s="8" t="s">
        <v>861</v>
      </c>
      <c r="E209" s="8" t="s">
        <v>862</v>
      </c>
      <c r="F209" s="9">
        <v>45659</v>
      </c>
      <c r="G209" s="9">
        <v>46226</v>
      </c>
      <c r="H209" s="9">
        <v>48933</v>
      </c>
      <c r="I209" s="10">
        <v>95.273696899414063</v>
      </c>
      <c r="J209" s="10">
        <v>71.137397766113281</v>
      </c>
      <c r="K209" s="10">
        <v>55.732999999999997</v>
      </c>
      <c r="L209" s="10">
        <v>43.314</v>
      </c>
      <c r="M209" s="11">
        <v>390</v>
      </c>
      <c r="N209" s="12">
        <v>39.540696899414073</v>
      </c>
      <c r="O209" s="13">
        <v>6.0537973632812481</v>
      </c>
      <c r="P209" s="13">
        <v>57.592702209472662</v>
      </c>
      <c r="Q209" s="13">
        <v>30.43720189162034</v>
      </c>
      <c r="R209" s="14">
        <v>64.974022315896008</v>
      </c>
      <c r="S209" s="13">
        <v>15.404397766113281</v>
      </c>
      <c r="T209" s="13">
        <v>-11.60709893798828</v>
      </c>
      <c r="U209" s="13">
        <v>32.550801574707037</v>
      </c>
      <c r="V209" s="13">
        <v>11.079961253865561</v>
      </c>
      <c r="W209" s="15">
        <v>61.170246751961884</v>
      </c>
      <c r="X209" s="16" t="str">
        <f>IFERROR(_xll.BDP(E209&amp;" Corp","LAST_PRICE"),"--")</f>
        <v>#N/A Requesting Data...</v>
      </c>
      <c r="Y209" s="17" t="str">
        <f>IFERROR(_xll.BDP(E209&amp;" Corp","YAS_BENCHMARK_BOND_ISIN"),"--")</f>
        <v>#N/A Requesting Data...</v>
      </c>
      <c r="Z209" s="18" t="str">
        <f>IFERROR(_xll.BDP(Y209&amp;" CORP","LAST_PRICE"),"--")</f>
        <v>#N/A Requesting Data... CORP</v>
      </c>
      <c r="AA209" s="19" t="str">
        <f>IFERROR(_xll.BDP(E209&amp;" Corp","YAS_YLD_SPREAD","YAS_BOND_PX="&amp;X209,"YAS_BNCHMRK_BOND_PX="&amp;Z209),"--")</f>
        <v>#N/A Requesting Data...</v>
      </c>
      <c r="AB209" s="19" t="str">
        <f>IFERROR(_xll.BDP(E209&amp;" Corp","BLOOMBERG_MID_G_SPREAD","YAS_BOND_PX="&amp;X209,"YAS_BNCHMRK_BOND_PX="&amp;Z209),"--")</f>
        <v>#N/A Requesting Data...</v>
      </c>
      <c r="AC209" s="19" t="str">
        <f>IFERROR(_xll.BDP(D209,"LAST_PRICE"),"--")</f>
        <v>#N/A Requesting Data...</v>
      </c>
      <c r="AD209" s="20"/>
      <c r="AE209" s="19" t="str">
        <f t="shared" si="12"/>
        <v>#N/A Requesting Data...</v>
      </c>
      <c r="AF209" s="19" t="str">
        <f t="shared" si="13"/>
        <v>--</v>
      </c>
      <c r="AG209" s="21" t="str">
        <f t="shared" si="14"/>
        <v>--</v>
      </c>
      <c r="AH209" s="19" t="str">
        <f t="shared" si="15"/>
        <v>--</v>
      </c>
    </row>
    <row r="210" spans="1:34" x14ac:dyDescent="0.45">
      <c r="A210" s="22" t="s">
        <v>863</v>
      </c>
      <c r="B210" s="23" t="s">
        <v>523</v>
      </c>
      <c r="C210" s="22" t="s">
        <v>864</v>
      </c>
      <c r="D210" s="23" t="s">
        <v>865</v>
      </c>
      <c r="E210" s="23" t="s">
        <v>866</v>
      </c>
      <c r="F210" s="24">
        <v>46099</v>
      </c>
      <c r="G210" s="24">
        <v>46226</v>
      </c>
      <c r="H210" s="24">
        <v>48202</v>
      </c>
      <c r="I210" s="25">
        <v>92.931396484375</v>
      </c>
      <c r="J210" s="25">
        <v>86.874198913574219</v>
      </c>
      <c r="K210" s="25">
        <v>57.813000000000002</v>
      </c>
      <c r="L210" s="25">
        <v>62.698</v>
      </c>
      <c r="M210" s="26">
        <v>89</v>
      </c>
      <c r="N210" s="27">
        <v>35.118396484374998</v>
      </c>
      <c r="O210" s="28">
        <v>21.93250244140625</v>
      </c>
      <c r="P210" s="28">
        <v>37.850199035644529</v>
      </c>
      <c r="Q210" s="28">
        <v>31.960986341154971</v>
      </c>
      <c r="R210" s="29">
        <v>82.837953122825823</v>
      </c>
      <c r="S210" s="28">
        <v>29.06119891357422</v>
      </c>
      <c r="T210" s="28">
        <v>17.055</v>
      </c>
      <c r="U210" s="28">
        <v>32.352800659179692</v>
      </c>
      <c r="V210" s="28">
        <v>26.68649311297127</v>
      </c>
      <c r="W210" s="30">
        <v>78.483170104388236</v>
      </c>
      <c r="X210" s="16" t="str">
        <f>IFERROR(_xll.BDP(E210&amp;" Corp","LAST_PRICE"),"--")</f>
        <v>#N/A Requesting Data...</v>
      </c>
      <c r="Y210" s="17" t="str">
        <f>IFERROR(_xll.BDP(E210&amp;" Corp","YAS_BENCHMARK_BOND_ISIN"),"--")</f>
        <v>#N/A Requesting Data...</v>
      </c>
      <c r="Z210" s="18" t="str">
        <f>IFERROR(_xll.BDP(Y210&amp;" CORP","LAST_PRICE"),"--")</f>
        <v>#N/A Requesting Data... CORP</v>
      </c>
      <c r="AA210" s="19" t="str">
        <f>IFERROR(_xll.BDP(E210&amp;" Corp","YAS_YLD_SPREAD","YAS_BOND_PX="&amp;X210,"YAS_BNCHMRK_BOND_PX="&amp;Z210),"--")</f>
        <v>#N/A Requesting Data...</v>
      </c>
      <c r="AB210" s="19" t="str">
        <f>IFERROR(_xll.BDP(E210&amp;" Corp","BLOOMBERG_MID_G_SPREAD","YAS_BOND_PX="&amp;X210,"YAS_BNCHMRK_BOND_PX="&amp;Z210),"--")</f>
        <v>#N/A Requesting Data...</v>
      </c>
      <c r="AC210" s="19" t="str">
        <f>IFERROR(_xll.BDP(D210,"LAST_PRICE"),"--")</f>
        <v>#N/A Requesting Data...</v>
      </c>
      <c r="AD210" s="20"/>
      <c r="AE210" s="19" t="str">
        <f t="shared" si="12"/>
        <v>#N/A Requesting Data...</v>
      </c>
      <c r="AF210" s="19" t="str">
        <f t="shared" si="13"/>
        <v>--</v>
      </c>
      <c r="AG210" s="21" t="str">
        <f t="shared" si="14"/>
        <v>--</v>
      </c>
      <c r="AH210" s="19" t="str">
        <f t="shared" si="15"/>
        <v>--</v>
      </c>
    </row>
    <row r="211" spans="1:34" x14ac:dyDescent="0.45">
      <c r="A211" s="7" t="s">
        <v>867</v>
      </c>
      <c r="B211" s="8" t="s">
        <v>523</v>
      </c>
      <c r="C211" s="7" t="s">
        <v>868</v>
      </c>
      <c r="D211" s="8" t="s">
        <v>869</v>
      </c>
      <c r="E211" s="8" t="s">
        <v>870</v>
      </c>
      <c r="F211" s="9">
        <v>45659</v>
      </c>
      <c r="G211" s="9">
        <v>46226</v>
      </c>
      <c r="H211" s="9">
        <v>48933</v>
      </c>
      <c r="I211" s="10">
        <v>49.884899139404297</v>
      </c>
      <c r="J211" s="10">
        <v>31.431699752807621</v>
      </c>
      <c r="K211" s="10">
        <v>76.924999999999997</v>
      </c>
      <c r="L211" s="10">
        <v>65.744</v>
      </c>
      <c r="M211" s="11">
        <v>388</v>
      </c>
      <c r="N211" s="12">
        <v>-27.0401008605957</v>
      </c>
      <c r="O211" s="13">
        <v>-70.717201232910156</v>
      </c>
      <c r="P211" s="13">
        <v>-14.38030154418945</v>
      </c>
      <c r="Q211" s="13">
        <v>-30.658163707143249</v>
      </c>
      <c r="R211" s="14">
        <v>77.52840609555075</v>
      </c>
      <c r="S211" s="13">
        <v>-45.49330024719238</v>
      </c>
      <c r="T211" s="13">
        <v>-87.948799133300781</v>
      </c>
      <c r="U211" s="13">
        <v>-34.788901397705082</v>
      </c>
      <c r="V211" s="13">
        <v>-47.460477978775181</v>
      </c>
      <c r="W211" s="15">
        <v>79.863770801952327</v>
      </c>
      <c r="X211" s="16" t="str">
        <f>IFERROR(_xll.BDP(E211&amp;" Corp","LAST_PRICE"),"--")</f>
        <v>#N/A Requesting Data...</v>
      </c>
      <c r="Y211" s="17" t="str">
        <f>IFERROR(_xll.BDP(E211&amp;" Corp","YAS_BENCHMARK_BOND_ISIN"),"--")</f>
        <v>#N/A Requesting Data...</v>
      </c>
      <c r="Z211" s="18" t="str">
        <f>IFERROR(_xll.BDP(Y211&amp;" CORP","LAST_PRICE"),"--")</f>
        <v>#N/A Requesting Data... CORP</v>
      </c>
      <c r="AA211" s="19" t="str">
        <f>IFERROR(_xll.BDP(E211&amp;" Corp","YAS_YLD_SPREAD","YAS_BOND_PX="&amp;X211,"YAS_BNCHMRK_BOND_PX="&amp;Z211),"--")</f>
        <v>#N/A Requesting Data...</v>
      </c>
      <c r="AB211" s="19" t="str">
        <f>IFERROR(_xll.BDP(E211&amp;" Corp","BLOOMBERG_MID_G_SPREAD","YAS_BOND_PX="&amp;X211,"YAS_BNCHMRK_BOND_PX="&amp;Z211),"--")</f>
        <v>#N/A Requesting Data...</v>
      </c>
      <c r="AC211" s="19" t="str">
        <f>IFERROR(_xll.BDP(D211,"LAST_PRICE"),"--")</f>
        <v>#N/A Requesting Data...</v>
      </c>
      <c r="AD211" s="20"/>
      <c r="AE211" s="19" t="str">
        <f t="shared" si="12"/>
        <v>#N/A Requesting Data...</v>
      </c>
      <c r="AF211" s="19" t="str">
        <f t="shared" si="13"/>
        <v>--</v>
      </c>
      <c r="AG211" s="21" t="str">
        <f t="shared" si="14"/>
        <v>--</v>
      </c>
      <c r="AH211" s="19" t="str">
        <f t="shared" si="15"/>
        <v>--</v>
      </c>
    </row>
    <row r="212" spans="1:34" x14ac:dyDescent="0.45">
      <c r="A212" s="22" t="s">
        <v>871</v>
      </c>
      <c r="B212" s="23" t="s">
        <v>523</v>
      </c>
      <c r="C212" s="22" t="s">
        <v>872</v>
      </c>
      <c r="D212" s="23" t="s">
        <v>873</v>
      </c>
      <c r="E212" s="23" t="s">
        <v>874</v>
      </c>
      <c r="F212" s="24">
        <v>45736</v>
      </c>
      <c r="G212" s="24">
        <v>46226</v>
      </c>
      <c r="H212" s="24">
        <v>49480</v>
      </c>
      <c r="I212" s="25">
        <v>88.762802124023438</v>
      </c>
      <c r="J212" s="25">
        <v>52.602100372314453</v>
      </c>
      <c r="K212" s="25">
        <v>90.022999999999996</v>
      </c>
      <c r="L212" s="25">
        <v>83.774000000000001</v>
      </c>
      <c r="M212" s="26">
        <v>337</v>
      </c>
      <c r="N212" s="27">
        <v>-1.2601978759765591</v>
      </c>
      <c r="O212" s="28">
        <v>-60.152193237304687</v>
      </c>
      <c r="P212" s="28">
        <v>4.771400939941401</v>
      </c>
      <c r="Q212" s="28">
        <v>-17.168754282965509</v>
      </c>
      <c r="R212" s="29">
        <v>90.709696694469415</v>
      </c>
      <c r="S212" s="28">
        <v>-37.420899627685543</v>
      </c>
      <c r="T212" s="28">
        <v>-88.780199218749999</v>
      </c>
      <c r="U212" s="28">
        <v>-33.067901245117177</v>
      </c>
      <c r="V212" s="28">
        <v>-48.995650363859582</v>
      </c>
      <c r="W212" s="30">
        <v>92.186647219921682</v>
      </c>
      <c r="X212" s="16" t="str">
        <f>IFERROR(_xll.BDP(E212&amp;" Corp","LAST_PRICE"),"--")</f>
        <v>#N/A Requesting Data...</v>
      </c>
      <c r="Y212" s="17" t="str">
        <f>IFERROR(_xll.BDP(E212&amp;" Corp","YAS_BENCHMARK_BOND_ISIN"),"--")</f>
        <v>#N/A Requesting Data...</v>
      </c>
      <c r="Z212" s="18" t="str">
        <f>IFERROR(_xll.BDP(Y212&amp;" CORP","LAST_PRICE"),"--")</f>
        <v>#N/A Requesting Data... CORP</v>
      </c>
      <c r="AA212" s="19" t="str">
        <f>IFERROR(_xll.BDP(E212&amp;" Corp","YAS_YLD_SPREAD","YAS_BOND_PX="&amp;X212,"YAS_BNCHMRK_BOND_PX="&amp;Z212),"--")</f>
        <v>#N/A Requesting Data...</v>
      </c>
      <c r="AB212" s="19" t="str">
        <f>IFERROR(_xll.BDP(E212&amp;" Corp","BLOOMBERG_MID_G_SPREAD","YAS_BOND_PX="&amp;X212,"YAS_BNCHMRK_BOND_PX="&amp;Z212),"--")</f>
        <v>#N/A Requesting Data...</v>
      </c>
      <c r="AC212" s="19" t="str">
        <f>IFERROR(_xll.BDP(D212,"LAST_PRICE"),"--")</f>
        <v>#N/A Requesting Data...</v>
      </c>
      <c r="AD212" s="20"/>
      <c r="AE212" s="19" t="str">
        <f t="shared" si="12"/>
        <v>#N/A Requesting Data...</v>
      </c>
      <c r="AF212" s="19" t="str">
        <f t="shared" si="13"/>
        <v>--</v>
      </c>
      <c r="AG212" s="21" t="str">
        <f t="shared" si="14"/>
        <v>--</v>
      </c>
      <c r="AH212" s="19" t="str">
        <f t="shared" si="15"/>
        <v>--</v>
      </c>
    </row>
    <row r="213" spans="1:34" x14ac:dyDescent="0.45">
      <c r="A213" s="7" t="s">
        <v>875</v>
      </c>
      <c r="B213" s="8" t="s">
        <v>523</v>
      </c>
      <c r="C213" s="7" t="s">
        <v>876</v>
      </c>
      <c r="D213" s="8" t="s">
        <v>877</v>
      </c>
      <c r="E213" s="8" t="s">
        <v>878</v>
      </c>
      <c r="F213" s="9">
        <v>46099</v>
      </c>
      <c r="G213" s="9">
        <v>46226</v>
      </c>
      <c r="H213" s="9">
        <v>49480</v>
      </c>
      <c r="I213" s="10">
        <v>68.009696960449219</v>
      </c>
      <c r="J213" s="10">
        <v>50.788398742675781</v>
      </c>
      <c r="K213" s="10">
        <v>37.082999999999998</v>
      </c>
      <c r="L213" s="10">
        <v>37.484999999999999</v>
      </c>
      <c r="M213" s="11">
        <v>89</v>
      </c>
      <c r="N213" s="12">
        <v>30.92669696044922</v>
      </c>
      <c r="O213" s="13">
        <v>29.317500274658201</v>
      </c>
      <c r="P213" s="13">
        <v>47.607199676513673</v>
      </c>
      <c r="Q213" s="13">
        <v>39.118776223514857</v>
      </c>
      <c r="R213" s="14">
        <v>8.7983768920103991</v>
      </c>
      <c r="S213" s="13">
        <v>13.705398742675779</v>
      </c>
      <c r="T213" s="13">
        <v>13.705398742675779</v>
      </c>
      <c r="U213" s="13">
        <v>31.989798553466802</v>
      </c>
      <c r="V213" s="13">
        <v>23.75402682940879</v>
      </c>
      <c r="W213" s="15">
        <v>0</v>
      </c>
      <c r="X213" s="16" t="str">
        <f>IFERROR(_xll.BDP(E213&amp;" Corp","LAST_PRICE"),"--")</f>
        <v>#N/A Requesting Data...</v>
      </c>
      <c r="Y213" s="17" t="str">
        <f>IFERROR(_xll.BDP(E213&amp;" Corp","YAS_BENCHMARK_BOND_ISIN"),"--")</f>
        <v>#N/A Requesting Data...</v>
      </c>
      <c r="Z213" s="18" t="str">
        <f>IFERROR(_xll.BDP(Y213&amp;" CORP","LAST_PRICE"),"--")</f>
        <v>#N/A Requesting Data... CORP</v>
      </c>
      <c r="AA213" s="19" t="str">
        <f>IFERROR(_xll.BDP(E213&amp;" Corp","YAS_YLD_SPREAD","YAS_BOND_PX="&amp;X213,"YAS_BNCHMRK_BOND_PX="&amp;Z213),"--")</f>
        <v>#N/A Requesting Data...</v>
      </c>
      <c r="AB213" s="19" t="str">
        <f>IFERROR(_xll.BDP(E213&amp;" Corp","BLOOMBERG_MID_G_SPREAD","YAS_BOND_PX="&amp;X213,"YAS_BNCHMRK_BOND_PX="&amp;Z213),"--")</f>
        <v>#N/A Requesting Data...</v>
      </c>
      <c r="AC213" s="19" t="str">
        <f>IFERROR(_xll.BDP(D213,"LAST_PRICE"),"--")</f>
        <v>#N/A Requesting Data...</v>
      </c>
      <c r="AD213" s="20"/>
      <c r="AE213" s="19" t="str">
        <f t="shared" si="12"/>
        <v>#N/A Requesting Data...</v>
      </c>
      <c r="AF213" s="19" t="str">
        <f t="shared" si="13"/>
        <v>--</v>
      </c>
      <c r="AG213" s="21" t="str">
        <f t="shared" si="14"/>
        <v>--</v>
      </c>
      <c r="AH213" s="19" t="str">
        <f t="shared" si="15"/>
        <v>--</v>
      </c>
    </row>
    <row r="214" spans="1:34" x14ac:dyDescent="0.45">
      <c r="A214" s="22" t="s">
        <v>879</v>
      </c>
      <c r="B214" s="23" t="s">
        <v>523</v>
      </c>
      <c r="C214" s="22" t="s">
        <v>880</v>
      </c>
      <c r="D214" s="23" t="s">
        <v>881</v>
      </c>
      <c r="E214" s="23" t="s">
        <v>882</v>
      </c>
      <c r="F214" s="24">
        <v>45659</v>
      </c>
      <c r="G214" s="24">
        <v>46226</v>
      </c>
      <c r="H214" s="24">
        <v>48385</v>
      </c>
      <c r="I214" s="25">
        <v>45.757400512695313</v>
      </c>
      <c r="J214" s="25">
        <v>38.385601043701172</v>
      </c>
      <c r="K214" s="25">
        <v>79.87</v>
      </c>
      <c r="L214" s="25">
        <v>85.159000000000006</v>
      </c>
      <c r="M214" s="26">
        <v>390</v>
      </c>
      <c r="N214" s="27">
        <v>-34.112599487304692</v>
      </c>
      <c r="O214" s="28">
        <v>-61.4108013305664</v>
      </c>
      <c r="P214" s="28">
        <v>-11.694698822021479</v>
      </c>
      <c r="Q214" s="28">
        <v>-32.44133994508401</v>
      </c>
      <c r="R214" s="29">
        <v>54.908169518255868</v>
      </c>
      <c r="S214" s="28">
        <v>-41.484398956298833</v>
      </c>
      <c r="T214" s="28">
        <v>-68.457401672363275</v>
      </c>
      <c r="U214" s="28">
        <v>-21.06829971313476</v>
      </c>
      <c r="V214" s="28">
        <v>-39.563710557399652</v>
      </c>
      <c r="W214" s="30">
        <v>56.91815544272356</v>
      </c>
      <c r="X214" s="16" t="str">
        <f>IFERROR(_xll.BDP(E214&amp;" Corp","LAST_PRICE"),"--")</f>
        <v>#N/A Requesting Data...</v>
      </c>
      <c r="Y214" s="17" t="str">
        <f>IFERROR(_xll.BDP(E214&amp;" Corp","YAS_BENCHMARK_BOND_ISIN"),"--")</f>
        <v>#N/A Requesting Data...</v>
      </c>
      <c r="Z214" s="18" t="str">
        <f>IFERROR(_xll.BDP(Y214&amp;" CORP","LAST_PRICE"),"--")</f>
        <v>#N/A Requesting Data... CORP</v>
      </c>
      <c r="AA214" s="19" t="str">
        <f>IFERROR(_xll.BDP(E214&amp;" Corp","YAS_YLD_SPREAD","YAS_BOND_PX="&amp;X214,"YAS_BNCHMRK_BOND_PX="&amp;Z214),"--")</f>
        <v>#N/A Requesting Data...</v>
      </c>
      <c r="AB214" s="19" t="str">
        <f>IFERROR(_xll.BDP(E214&amp;" Corp","BLOOMBERG_MID_G_SPREAD","YAS_BOND_PX="&amp;X214,"YAS_BNCHMRK_BOND_PX="&amp;Z214),"--")</f>
        <v>#N/A Requesting Data...</v>
      </c>
      <c r="AC214" s="19" t="str">
        <f>IFERROR(_xll.BDP(D214,"LAST_PRICE"),"--")</f>
        <v>#N/A Requesting Data...</v>
      </c>
      <c r="AD214" s="20"/>
      <c r="AE214" s="19" t="str">
        <f t="shared" si="12"/>
        <v>#N/A Requesting Data...</v>
      </c>
      <c r="AF214" s="19" t="str">
        <f t="shared" si="13"/>
        <v>--</v>
      </c>
      <c r="AG214" s="21" t="str">
        <f t="shared" si="14"/>
        <v>--</v>
      </c>
      <c r="AH214" s="19" t="str">
        <f t="shared" si="15"/>
        <v>--</v>
      </c>
    </row>
    <row r="215" spans="1:34" x14ac:dyDescent="0.45">
      <c r="A215" s="7" t="s">
        <v>883</v>
      </c>
      <c r="B215" s="8" t="s">
        <v>523</v>
      </c>
      <c r="C215" s="7" t="s">
        <v>884</v>
      </c>
      <c r="D215" s="8" t="s">
        <v>885</v>
      </c>
      <c r="E215" s="8" t="s">
        <v>886</v>
      </c>
      <c r="F215" s="9">
        <v>45659</v>
      </c>
      <c r="G215" s="9">
        <v>46226</v>
      </c>
      <c r="H215" s="9">
        <v>49115</v>
      </c>
      <c r="I215" s="10">
        <v>81.924400329589844</v>
      </c>
      <c r="J215" s="10">
        <v>54.942600250244141</v>
      </c>
      <c r="K215" s="10">
        <v>71.489999999999995</v>
      </c>
      <c r="L215" s="10">
        <v>63.600999999999999</v>
      </c>
      <c r="M215" s="11">
        <v>390</v>
      </c>
      <c r="N215" s="12">
        <v>10.434400329589851</v>
      </c>
      <c r="O215" s="13">
        <v>-17.884396728515611</v>
      </c>
      <c r="P215" s="13">
        <v>21.04270172119141</v>
      </c>
      <c r="Q215" s="13">
        <v>5.6006786658653844</v>
      </c>
      <c r="R215" s="14">
        <v>72.748286376115971</v>
      </c>
      <c r="S215" s="13">
        <v>-16.547399749755851</v>
      </c>
      <c r="T215" s="13">
        <v>-39.345196899414049</v>
      </c>
      <c r="U215" s="13">
        <v>-3.711798583984375</v>
      </c>
      <c r="V215" s="13">
        <v>-17.622696644787911</v>
      </c>
      <c r="W215" s="15">
        <v>63.978734073720062</v>
      </c>
      <c r="X215" s="16" t="str">
        <f>IFERROR(_xll.BDP(E215&amp;" Corp","LAST_PRICE"),"--")</f>
        <v>#N/A Requesting Data...</v>
      </c>
      <c r="Y215" s="17" t="str">
        <f>IFERROR(_xll.BDP(E215&amp;" Corp","YAS_BENCHMARK_BOND_ISIN"),"--")</f>
        <v>#N/A Requesting Data...</v>
      </c>
      <c r="Z215" s="18" t="str">
        <f>IFERROR(_xll.BDP(Y215&amp;" CORP","LAST_PRICE"),"--")</f>
        <v>#N/A Requesting Data... CORP</v>
      </c>
      <c r="AA215" s="19" t="str">
        <f>IFERROR(_xll.BDP(E215&amp;" Corp","YAS_YLD_SPREAD","YAS_BOND_PX="&amp;X215,"YAS_BNCHMRK_BOND_PX="&amp;Z215),"--")</f>
        <v>#N/A Requesting Data...</v>
      </c>
      <c r="AB215" s="19" t="str">
        <f>IFERROR(_xll.BDP(E215&amp;" Corp","BLOOMBERG_MID_G_SPREAD","YAS_BOND_PX="&amp;X215,"YAS_BNCHMRK_BOND_PX="&amp;Z215),"--")</f>
        <v>#N/A Requesting Data...</v>
      </c>
      <c r="AC215" s="19" t="str">
        <f>IFERROR(_xll.BDP(D215,"LAST_PRICE"),"--")</f>
        <v>#N/A Requesting Data...</v>
      </c>
      <c r="AD215" s="20"/>
      <c r="AE215" s="19" t="str">
        <f t="shared" si="12"/>
        <v>#N/A Requesting Data...</v>
      </c>
      <c r="AF215" s="19" t="str">
        <f t="shared" si="13"/>
        <v>--</v>
      </c>
      <c r="AG215" s="21" t="str">
        <f t="shared" si="14"/>
        <v>--</v>
      </c>
      <c r="AH215" s="19" t="str">
        <f t="shared" si="15"/>
        <v>--</v>
      </c>
    </row>
    <row r="216" spans="1:34" x14ac:dyDescent="0.45">
      <c r="A216" s="22" t="s">
        <v>887</v>
      </c>
      <c r="B216" s="23" t="s">
        <v>523</v>
      </c>
      <c r="C216" s="22" t="s">
        <v>888</v>
      </c>
      <c r="D216" s="23" t="s">
        <v>889</v>
      </c>
      <c r="E216" s="23" t="s">
        <v>890</v>
      </c>
      <c r="F216" s="24">
        <v>45659</v>
      </c>
      <c r="G216" s="24">
        <v>46226</v>
      </c>
      <c r="H216" s="24">
        <v>49115</v>
      </c>
      <c r="I216" s="25">
        <v>50.471900939941413</v>
      </c>
      <c r="J216" s="25">
        <v>27.94420051574707</v>
      </c>
      <c r="K216" s="25">
        <v>63.82</v>
      </c>
      <c r="L216" s="25">
        <v>54.527999999999999</v>
      </c>
      <c r="M216" s="26">
        <v>390</v>
      </c>
      <c r="N216" s="27">
        <v>-13.34809906005859</v>
      </c>
      <c r="O216" s="28">
        <v>-31.143798156738281</v>
      </c>
      <c r="P216" s="28">
        <v>6.7020978393554742</v>
      </c>
      <c r="Q216" s="28">
        <v>-8.6684315226236972</v>
      </c>
      <c r="R216" s="29">
        <v>47.021476512318443</v>
      </c>
      <c r="S216" s="28">
        <v>-35.87579948425293</v>
      </c>
      <c r="T216" s="28">
        <v>-59.653400390624988</v>
      </c>
      <c r="U216" s="28">
        <v>-18.27200048828125</v>
      </c>
      <c r="V216" s="28">
        <v>-32.035559982847552</v>
      </c>
      <c r="W216" s="30">
        <v>57.459633947824358</v>
      </c>
      <c r="X216" s="16" t="str">
        <f>IFERROR(_xll.BDP(E216&amp;" Corp","LAST_PRICE"),"--")</f>
        <v>#N/A Requesting Data...</v>
      </c>
      <c r="Y216" s="17" t="str">
        <f>IFERROR(_xll.BDP(E216&amp;" Corp","YAS_BENCHMARK_BOND_ISIN"),"--")</f>
        <v>#N/A Requesting Data...</v>
      </c>
      <c r="Z216" s="18" t="str">
        <f>IFERROR(_xll.BDP(Y216&amp;" CORP","LAST_PRICE"),"--")</f>
        <v>#N/A Requesting Data... CORP</v>
      </c>
      <c r="AA216" s="19" t="str">
        <f>IFERROR(_xll.BDP(E216&amp;" Corp","YAS_YLD_SPREAD","YAS_BOND_PX="&amp;X216,"YAS_BNCHMRK_BOND_PX="&amp;Z216),"--")</f>
        <v>#N/A Requesting Data...</v>
      </c>
      <c r="AB216" s="19" t="str">
        <f>IFERROR(_xll.BDP(E216&amp;" Corp","BLOOMBERG_MID_G_SPREAD","YAS_BOND_PX="&amp;X216,"YAS_BNCHMRK_BOND_PX="&amp;Z216),"--")</f>
        <v>#N/A Requesting Data...</v>
      </c>
      <c r="AC216" s="19" t="str">
        <f>IFERROR(_xll.BDP(D216,"LAST_PRICE"),"--")</f>
        <v>#N/A Requesting Data...</v>
      </c>
      <c r="AD216" s="20"/>
      <c r="AE216" s="19" t="str">
        <f t="shared" si="12"/>
        <v>#N/A Requesting Data...</v>
      </c>
      <c r="AF216" s="19" t="str">
        <f t="shared" si="13"/>
        <v>--</v>
      </c>
      <c r="AG216" s="21" t="str">
        <f t="shared" si="14"/>
        <v>--</v>
      </c>
      <c r="AH216" s="19" t="str">
        <f t="shared" si="15"/>
        <v>--</v>
      </c>
    </row>
    <row r="217" spans="1:34" x14ac:dyDescent="0.45">
      <c r="A217" s="7" t="s">
        <v>891</v>
      </c>
      <c r="B217" s="8" t="s">
        <v>523</v>
      </c>
      <c r="C217" s="7" t="s">
        <v>892</v>
      </c>
      <c r="D217" s="8" t="s">
        <v>893</v>
      </c>
      <c r="E217" s="8" t="s">
        <v>894</v>
      </c>
      <c r="F217" s="9">
        <v>45659</v>
      </c>
      <c r="G217" s="9">
        <v>46226</v>
      </c>
      <c r="H217" s="9">
        <v>49298</v>
      </c>
      <c r="I217" s="10">
        <v>60.217998504638672</v>
      </c>
      <c r="J217" s="10">
        <v>43.234901428222663</v>
      </c>
      <c r="K217" s="10">
        <v>62.773000000000003</v>
      </c>
      <c r="L217" s="10">
        <v>57.564999999999998</v>
      </c>
      <c r="M217" s="11">
        <v>389</v>
      </c>
      <c r="N217" s="12">
        <v>-2.5550014953613309</v>
      </c>
      <c r="O217" s="13">
        <v>-23.629298645019531</v>
      </c>
      <c r="P217" s="13">
        <v>20.347802368164061</v>
      </c>
      <c r="Q217" s="13">
        <v>-2.1077231294685892</v>
      </c>
      <c r="R217" s="14">
        <v>47.921069520568167</v>
      </c>
      <c r="S217" s="13">
        <v>-19.538098571777351</v>
      </c>
      <c r="T217" s="13">
        <v>-36.048900085449219</v>
      </c>
      <c r="U217" s="13">
        <v>5.5976008300781217</v>
      </c>
      <c r="V217" s="13">
        <v>-16.439248044599911</v>
      </c>
      <c r="W217" s="15">
        <v>39.645110995425888</v>
      </c>
      <c r="X217" s="16" t="str">
        <f>IFERROR(_xll.BDP(E217&amp;" Corp","LAST_PRICE"),"--")</f>
        <v>#N/A Requesting Data...</v>
      </c>
      <c r="Y217" s="17" t="str">
        <f>IFERROR(_xll.BDP(E217&amp;" Corp","YAS_BENCHMARK_BOND_ISIN"),"--")</f>
        <v>#N/A Requesting Data...</v>
      </c>
      <c r="Z217" s="18" t="str">
        <f>IFERROR(_xll.BDP(Y217&amp;" CORP","LAST_PRICE"),"--")</f>
        <v>#N/A Requesting Data... CORP</v>
      </c>
      <c r="AA217" s="19" t="str">
        <f>IFERROR(_xll.BDP(E217&amp;" Corp","YAS_YLD_SPREAD","YAS_BOND_PX="&amp;X217,"YAS_BNCHMRK_BOND_PX="&amp;Z217),"--")</f>
        <v>#N/A Requesting Data...</v>
      </c>
      <c r="AB217" s="19" t="str">
        <f>IFERROR(_xll.BDP(E217&amp;" Corp","BLOOMBERG_MID_G_SPREAD","YAS_BOND_PX="&amp;X217,"YAS_BNCHMRK_BOND_PX="&amp;Z217),"--")</f>
        <v>#N/A Requesting Data...</v>
      </c>
      <c r="AC217" s="19" t="str">
        <f>IFERROR(_xll.BDP(D217,"LAST_PRICE"),"--")</f>
        <v>#N/A Requesting Data...</v>
      </c>
      <c r="AD217" s="20"/>
      <c r="AE217" s="19" t="str">
        <f t="shared" si="12"/>
        <v>#N/A Requesting Data...</v>
      </c>
      <c r="AF217" s="19" t="str">
        <f t="shared" si="13"/>
        <v>--</v>
      </c>
      <c r="AG217" s="21" t="str">
        <f t="shared" si="14"/>
        <v>--</v>
      </c>
      <c r="AH217" s="19" t="str">
        <f t="shared" si="15"/>
        <v>--</v>
      </c>
    </row>
    <row r="218" spans="1:34" x14ac:dyDescent="0.45">
      <c r="A218" s="22" t="s">
        <v>895</v>
      </c>
      <c r="B218" s="23" t="s">
        <v>523</v>
      </c>
      <c r="C218" s="22" t="s">
        <v>896</v>
      </c>
      <c r="D218" s="23" t="s">
        <v>897</v>
      </c>
      <c r="E218" s="23" t="s">
        <v>898</v>
      </c>
      <c r="F218" s="24">
        <v>45659</v>
      </c>
      <c r="G218" s="24">
        <v>46226</v>
      </c>
      <c r="H218" s="24">
        <v>48750</v>
      </c>
      <c r="I218" s="25">
        <v>27.739999771118161</v>
      </c>
      <c r="J218" s="25">
        <v>20.146799087524411</v>
      </c>
      <c r="K218" s="25">
        <v>57.332999999999998</v>
      </c>
      <c r="L218" s="25">
        <v>44.482999999999997</v>
      </c>
      <c r="M218" s="26">
        <v>387</v>
      </c>
      <c r="N218" s="27">
        <v>-29.593000228881831</v>
      </c>
      <c r="O218" s="28">
        <v>-50.121198730468748</v>
      </c>
      <c r="P218" s="28">
        <v>-16.188099349975591</v>
      </c>
      <c r="Q218" s="28">
        <v>-27.730151439420322</v>
      </c>
      <c r="R218" s="29">
        <v>60.496090473208547</v>
      </c>
      <c r="S218" s="28">
        <v>-37.186200912475577</v>
      </c>
      <c r="T218" s="28">
        <v>-58.842199401855467</v>
      </c>
      <c r="U218" s="28">
        <v>-24.182899917602541</v>
      </c>
      <c r="V218" s="28">
        <v>-36.072447932238447</v>
      </c>
      <c r="W218" s="30">
        <v>62.482504873530537</v>
      </c>
      <c r="X218" s="16" t="str">
        <f>IFERROR(_xll.BDP(E218&amp;" Corp","LAST_PRICE"),"--")</f>
        <v>#N/A Requesting Data...</v>
      </c>
      <c r="Y218" s="17" t="str">
        <f>IFERROR(_xll.BDP(E218&amp;" Corp","YAS_BENCHMARK_BOND_ISIN"),"--")</f>
        <v>#N/A Requesting Data...</v>
      </c>
      <c r="Z218" s="18" t="str">
        <f>IFERROR(_xll.BDP(Y218&amp;" CORP","LAST_PRICE"),"--")</f>
        <v>#N/A Requesting Data... CORP</v>
      </c>
      <c r="AA218" s="19" t="str">
        <f>IFERROR(_xll.BDP(E218&amp;" Corp","YAS_YLD_SPREAD","YAS_BOND_PX="&amp;X218,"YAS_BNCHMRK_BOND_PX="&amp;Z218),"--")</f>
        <v>#N/A Requesting Data...</v>
      </c>
      <c r="AB218" s="19" t="str">
        <f>IFERROR(_xll.BDP(E218&amp;" Corp","BLOOMBERG_MID_G_SPREAD","YAS_BOND_PX="&amp;X218,"YAS_BNCHMRK_BOND_PX="&amp;Z218),"--")</f>
        <v>#N/A Requesting Data...</v>
      </c>
      <c r="AC218" s="19" t="str">
        <f>IFERROR(_xll.BDP(D218,"LAST_PRICE"),"--")</f>
        <v>#N/A Requesting Data...</v>
      </c>
      <c r="AD218" s="20"/>
      <c r="AE218" s="19" t="str">
        <f t="shared" si="12"/>
        <v>#N/A Requesting Data...</v>
      </c>
      <c r="AF218" s="19" t="str">
        <f t="shared" si="13"/>
        <v>--</v>
      </c>
      <c r="AG218" s="21" t="str">
        <f t="shared" si="14"/>
        <v>--</v>
      </c>
      <c r="AH218" s="19" t="str">
        <f t="shared" si="15"/>
        <v>--</v>
      </c>
    </row>
    <row r="219" spans="1:34" x14ac:dyDescent="0.45">
      <c r="A219" s="7" t="s">
        <v>899</v>
      </c>
      <c r="B219" s="8" t="s">
        <v>523</v>
      </c>
      <c r="C219" s="7" t="s">
        <v>900</v>
      </c>
      <c r="D219" s="8" t="s">
        <v>901</v>
      </c>
      <c r="E219" s="8" t="s">
        <v>902</v>
      </c>
      <c r="F219" s="9">
        <v>46078</v>
      </c>
      <c r="G219" s="9">
        <v>46226</v>
      </c>
      <c r="H219" s="9">
        <v>48750</v>
      </c>
      <c r="I219" s="10">
        <v>75.020103454589844</v>
      </c>
      <c r="J219" s="10">
        <v>59.798999786376953</v>
      </c>
      <c r="K219" s="10">
        <v>103.40900000000001</v>
      </c>
      <c r="L219" s="10">
        <v>103.732</v>
      </c>
      <c r="M219" s="11">
        <v>104</v>
      </c>
      <c r="N219" s="12">
        <v>-28.388896545410159</v>
      </c>
      <c r="O219" s="13">
        <v>-48.639902465820313</v>
      </c>
      <c r="P219" s="13">
        <v>-15.537499267578131</v>
      </c>
      <c r="Q219" s="13">
        <v>-26.308168965853181</v>
      </c>
      <c r="R219" s="14">
        <v>61.176845074153192</v>
      </c>
      <c r="S219" s="13">
        <v>-43.610000213623053</v>
      </c>
      <c r="T219" s="13">
        <v>-63.794901245117188</v>
      </c>
      <c r="U219" s="13">
        <v>-30.961602050781249</v>
      </c>
      <c r="V219" s="13">
        <v>-41.772375918168287</v>
      </c>
      <c r="W219" s="15">
        <v>61.476919855121437</v>
      </c>
      <c r="X219" s="16" t="str">
        <f>IFERROR(_xll.BDP(E219&amp;" Corp","LAST_PRICE"),"--")</f>
        <v>#N/A Requesting Data...</v>
      </c>
      <c r="Y219" s="17" t="str">
        <f>IFERROR(_xll.BDP(E219&amp;" Corp","YAS_BENCHMARK_BOND_ISIN"),"--")</f>
        <v>#N/A Requesting Data...</v>
      </c>
      <c r="Z219" s="18" t="str">
        <f>IFERROR(_xll.BDP(Y219&amp;" CORP","LAST_PRICE"),"--")</f>
        <v>#N/A Requesting Data... CORP</v>
      </c>
      <c r="AA219" s="19" t="str">
        <f>IFERROR(_xll.BDP(E219&amp;" Corp","YAS_YLD_SPREAD","YAS_BOND_PX="&amp;X219,"YAS_BNCHMRK_BOND_PX="&amp;Z219),"--")</f>
        <v>#N/A Requesting Data...</v>
      </c>
      <c r="AB219" s="19" t="str">
        <f>IFERROR(_xll.BDP(E219&amp;" Corp","BLOOMBERG_MID_G_SPREAD","YAS_BOND_PX="&amp;X219,"YAS_BNCHMRK_BOND_PX="&amp;Z219),"--")</f>
        <v>#N/A Requesting Data...</v>
      </c>
      <c r="AC219" s="19" t="str">
        <f>IFERROR(_xll.BDP(D219,"LAST_PRICE"),"--")</f>
        <v>#N/A Requesting Data...</v>
      </c>
      <c r="AD219" s="20"/>
      <c r="AE219" s="19" t="str">
        <f t="shared" si="12"/>
        <v>#N/A Requesting Data...</v>
      </c>
      <c r="AF219" s="19" t="str">
        <f t="shared" si="13"/>
        <v>--</v>
      </c>
      <c r="AG219" s="21" t="str">
        <f t="shared" si="14"/>
        <v>--</v>
      </c>
      <c r="AH219" s="19" t="str">
        <f t="shared" si="15"/>
        <v>--</v>
      </c>
    </row>
    <row r="220" spans="1:34" x14ac:dyDescent="0.45">
      <c r="A220" s="22" t="s">
        <v>903</v>
      </c>
      <c r="B220" s="23" t="s">
        <v>523</v>
      </c>
      <c r="C220" s="22" t="s">
        <v>904</v>
      </c>
      <c r="D220" s="23" t="s">
        <v>905</v>
      </c>
      <c r="E220" s="23" t="s">
        <v>906</v>
      </c>
      <c r="F220" s="24">
        <v>46056</v>
      </c>
      <c r="G220" s="24">
        <v>46226</v>
      </c>
      <c r="H220" s="24">
        <v>48019</v>
      </c>
      <c r="I220" s="25">
        <v>213.89239501953119</v>
      </c>
      <c r="J220" s="25">
        <v>213.89239501953119</v>
      </c>
      <c r="K220" s="25">
        <v>168.86</v>
      </c>
      <c r="L220" s="25">
        <v>172.803</v>
      </c>
      <c r="M220" s="26">
        <v>119</v>
      </c>
      <c r="N220" s="27">
        <v>45.032395019531243</v>
      </c>
      <c r="O220" s="28">
        <v>17.223800659179691</v>
      </c>
      <c r="P220" s="28">
        <v>49.244393798828128</v>
      </c>
      <c r="Q220" s="28">
        <v>37.188936133633149</v>
      </c>
      <c r="R220" s="29">
        <v>86.845968902176509</v>
      </c>
      <c r="S220" s="28">
        <v>45.032395019531243</v>
      </c>
      <c r="T220" s="28">
        <v>17.223800659179691</v>
      </c>
      <c r="U220" s="28">
        <v>49.244393798828128</v>
      </c>
      <c r="V220" s="28">
        <v>37.188936133633149</v>
      </c>
      <c r="W220" s="30">
        <v>86.845968902176509</v>
      </c>
      <c r="X220" s="16" t="str">
        <f>IFERROR(_xll.BDP(E220&amp;" Corp","LAST_PRICE"),"--")</f>
        <v>#N/A Requesting Data...</v>
      </c>
      <c r="Y220" s="17" t="str">
        <f>IFERROR(_xll.BDP(E220&amp;" Corp","YAS_BENCHMARK_BOND_ISIN"),"--")</f>
        <v>#N/A Requesting Data...</v>
      </c>
      <c r="Z220" s="18" t="str">
        <f>IFERROR(_xll.BDP(Y220&amp;" CORP","LAST_PRICE"),"--")</f>
        <v>#N/A Requesting Data... CORP</v>
      </c>
      <c r="AA220" s="19" t="str">
        <f>IFERROR(_xll.BDP(E220&amp;" Corp","YAS_YLD_SPREAD","YAS_BOND_PX="&amp;X220,"YAS_BNCHMRK_BOND_PX="&amp;Z220),"--")</f>
        <v>#N/A Requesting Data...</v>
      </c>
      <c r="AB220" s="19" t="str">
        <f>IFERROR(_xll.BDP(E220&amp;" Corp","BLOOMBERG_MID_G_SPREAD","YAS_BOND_PX="&amp;X220,"YAS_BNCHMRK_BOND_PX="&amp;Z220),"--")</f>
        <v>#N/A Requesting Data...</v>
      </c>
      <c r="AC220" s="19" t="str">
        <f>IFERROR(_xll.BDP(D220,"LAST_PRICE"),"--")</f>
        <v>#N/A Requesting Data...</v>
      </c>
      <c r="AD220" s="20"/>
      <c r="AE220" s="19" t="str">
        <f t="shared" si="12"/>
        <v>#N/A Requesting Data...</v>
      </c>
      <c r="AF220" s="19" t="str">
        <f t="shared" si="13"/>
        <v>--</v>
      </c>
      <c r="AG220" s="21" t="str">
        <f t="shared" si="14"/>
        <v>--</v>
      </c>
      <c r="AH220" s="19" t="str">
        <f t="shared" si="15"/>
        <v>--</v>
      </c>
    </row>
    <row r="221" spans="1:34" x14ac:dyDescent="0.45">
      <c r="A221" s="7" t="s">
        <v>907</v>
      </c>
      <c r="B221" s="8" t="s">
        <v>523</v>
      </c>
      <c r="C221" s="7" t="s">
        <v>908</v>
      </c>
      <c r="D221" s="8" t="s">
        <v>909</v>
      </c>
      <c r="E221" s="8" t="s">
        <v>910</v>
      </c>
      <c r="F221" s="9">
        <v>45659</v>
      </c>
      <c r="G221" s="9">
        <v>46226</v>
      </c>
      <c r="H221" s="9">
        <v>48933</v>
      </c>
      <c r="I221" s="10">
        <v>107.0070037841797</v>
      </c>
      <c r="J221" s="10">
        <v>71.002700805664063</v>
      </c>
      <c r="K221" s="10">
        <v>98.100999999999999</v>
      </c>
      <c r="L221" s="10">
        <v>84.721999999999994</v>
      </c>
      <c r="M221" s="11">
        <v>390</v>
      </c>
      <c r="N221" s="12">
        <v>8.9060037841796884</v>
      </c>
      <c r="O221" s="13">
        <v>-40.616301269531277</v>
      </c>
      <c r="P221" s="13">
        <v>17.81449658203125</v>
      </c>
      <c r="Q221" s="13">
        <v>-1.3606245818309299</v>
      </c>
      <c r="R221" s="14">
        <v>84.753771768643858</v>
      </c>
      <c r="S221" s="13">
        <v>-27.09829919433594</v>
      </c>
      <c r="T221" s="13">
        <v>-72.29600402832034</v>
      </c>
      <c r="U221" s="13">
        <v>-11.92039721679687</v>
      </c>
      <c r="V221" s="13">
        <v>-30.69126552139673</v>
      </c>
      <c r="W221" s="15">
        <v>74.86087050864694</v>
      </c>
      <c r="X221" s="16" t="str">
        <f>IFERROR(_xll.BDP(E221&amp;" Corp","LAST_PRICE"),"--")</f>
        <v>#N/A Requesting Data...</v>
      </c>
      <c r="Y221" s="17" t="str">
        <f>IFERROR(_xll.BDP(E221&amp;" Corp","YAS_BENCHMARK_BOND_ISIN"),"--")</f>
        <v>#N/A Requesting Data...</v>
      </c>
      <c r="Z221" s="18" t="str">
        <f>IFERROR(_xll.BDP(Y221&amp;" CORP","LAST_PRICE"),"--")</f>
        <v>#N/A Requesting Data... CORP</v>
      </c>
      <c r="AA221" s="19" t="str">
        <f>IFERROR(_xll.BDP(E221&amp;" Corp","YAS_YLD_SPREAD","YAS_BOND_PX="&amp;X221,"YAS_BNCHMRK_BOND_PX="&amp;Z221),"--")</f>
        <v>#N/A Requesting Data...</v>
      </c>
      <c r="AB221" s="19" t="str">
        <f>IFERROR(_xll.BDP(E221&amp;" Corp","BLOOMBERG_MID_G_SPREAD","YAS_BOND_PX="&amp;X221,"YAS_BNCHMRK_BOND_PX="&amp;Z221),"--")</f>
        <v>#N/A Requesting Data...</v>
      </c>
      <c r="AC221" s="19" t="str">
        <f>IFERROR(_xll.BDP(D221,"LAST_PRICE"),"--")</f>
        <v>#N/A Requesting Data...</v>
      </c>
      <c r="AD221" s="20"/>
      <c r="AE221" s="19" t="str">
        <f t="shared" si="12"/>
        <v>#N/A Requesting Data...</v>
      </c>
      <c r="AF221" s="19" t="str">
        <f t="shared" si="13"/>
        <v>--</v>
      </c>
      <c r="AG221" s="21" t="str">
        <f t="shared" si="14"/>
        <v>--</v>
      </c>
      <c r="AH221" s="19" t="str">
        <f t="shared" si="15"/>
        <v>--</v>
      </c>
    </row>
    <row r="222" spans="1:34" x14ac:dyDescent="0.45">
      <c r="A222" s="22" t="s">
        <v>911</v>
      </c>
      <c r="B222" s="23" t="s">
        <v>523</v>
      </c>
      <c r="C222" s="22" t="s">
        <v>912</v>
      </c>
      <c r="D222" s="23" t="s">
        <v>913</v>
      </c>
      <c r="E222" s="23" t="s">
        <v>914</v>
      </c>
      <c r="F222" s="24">
        <v>45659</v>
      </c>
      <c r="G222" s="24">
        <v>46226</v>
      </c>
      <c r="H222" s="24">
        <v>48385</v>
      </c>
      <c r="I222" s="25">
        <v>80.799102783203125</v>
      </c>
      <c r="J222" s="25">
        <v>69.752296447753906</v>
      </c>
      <c r="K222" s="25">
        <v>75.427999999999997</v>
      </c>
      <c r="L222" s="25">
        <v>79.944000000000003</v>
      </c>
      <c r="M222" s="26">
        <v>390</v>
      </c>
      <c r="N222" s="27">
        <v>5.3711027832031277</v>
      </c>
      <c r="O222" s="28">
        <v>-63.106195800781251</v>
      </c>
      <c r="P222" s="28">
        <v>31.62610095214843</v>
      </c>
      <c r="Q222" s="28">
        <v>-13.352059580798031</v>
      </c>
      <c r="R222" s="29">
        <v>72.285061094400888</v>
      </c>
      <c r="S222" s="28">
        <v>-5.675703552246091</v>
      </c>
      <c r="T222" s="28">
        <v>-73.670404785156251</v>
      </c>
      <c r="U222" s="28">
        <v>18.193102294921871</v>
      </c>
      <c r="V222" s="28">
        <v>-23.76420389451247</v>
      </c>
      <c r="W222" s="30">
        <v>74.017097097804736</v>
      </c>
      <c r="X222" s="16" t="str">
        <f>IFERROR(_xll.BDP(E222&amp;" Corp","LAST_PRICE"),"--")</f>
        <v>#N/A Requesting Data...</v>
      </c>
      <c r="Y222" s="17" t="str">
        <f>IFERROR(_xll.BDP(E222&amp;" Corp","YAS_BENCHMARK_BOND_ISIN"),"--")</f>
        <v>#N/A Requesting Data...</v>
      </c>
      <c r="Z222" s="18" t="str">
        <f>IFERROR(_xll.BDP(Y222&amp;" CORP","LAST_PRICE"),"--")</f>
        <v>#N/A Requesting Data... CORP</v>
      </c>
      <c r="AA222" s="19" t="str">
        <f>IFERROR(_xll.BDP(E222&amp;" Corp","YAS_YLD_SPREAD","YAS_BOND_PX="&amp;X222,"YAS_BNCHMRK_BOND_PX="&amp;Z222),"--")</f>
        <v>#N/A Requesting Data...</v>
      </c>
      <c r="AB222" s="19" t="str">
        <f>IFERROR(_xll.BDP(E222&amp;" Corp","BLOOMBERG_MID_G_SPREAD","YAS_BOND_PX="&amp;X222,"YAS_BNCHMRK_BOND_PX="&amp;Z222),"--")</f>
        <v>#N/A Requesting Data...</v>
      </c>
      <c r="AC222" s="19" t="str">
        <f>IFERROR(_xll.BDP(D222,"LAST_PRICE"),"--")</f>
        <v>#N/A Requesting Data...</v>
      </c>
      <c r="AD222" s="20"/>
      <c r="AE222" s="19" t="str">
        <f t="shared" si="12"/>
        <v>#N/A Requesting Data...</v>
      </c>
      <c r="AF222" s="19" t="str">
        <f t="shared" si="13"/>
        <v>--</v>
      </c>
      <c r="AG222" s="21" t="str">
        <f t="shared" si="14"/>
        <v>--</v>
      </c>
      <c r="AH222" s="19" t="str">
        <f t="shared" si="15"/>
        <v>--</v>
      </c>
    </row>
    <row r="223" spans="1:34" x14ac:dyDescent="0.45">
      <c r="A223" s="7" t="s">
        <v>915</v>
      </c>
      <c r="B223" s="8" t="s">
        <v>523</v>
      </c>
      <c r="C223" s="7" t="s">
        <v>916</v>
      </c>
      <c r="D223" s="8" t="s">
        <v>917</v>
      </c>
      <c r="E223" s="8" t="s">
        <v>918</v>
      </c>
      <c r="F223" s="9">
        <v>45979</v>
      </c>
      <c r="G223" s="9">
        <v>46226</v>
      </c>
      <c r="H223" s="9">
        <v>48568</v>
      </c>
      <c r="I223" s="10">
        <v>38.263198852539063</v>
      </c>
      <c r="J223" s="10">
        <v>28.974800109863281</v>
      </c>
      <c r="K223" s="10">
        <v>46.234000000000002</v>
      </c>
      <c r="L223" s="10">
        <v>54.965000000000003</v>
      </c>
      <c r="M223" s="11">
        <v>171</v>
      </c>
      <c r="N223" s="12">
        <v>-7.9708011474609393</v>
      </c>
      <c r="O223" s="13">
        <v>-16.720500152587888</v>
      </c>
      <c r="P223" s="13">
        <v>-1.02009811401367</v>
      </c>
      <c r="Q223" s="13">
        <v>-7.8790794472499197</v>
      </c>
      <c r="R223" s="14">
        <v>55.729139824762882</v>
      </c>
      <c r="S223" s="13">
        <v>-17.259199890136721</v>
      </c>
      <c r="T223" s="13">
        <v>-24.324099700927729</v>
      </c>
      <c r="U223" s="13">
        <v>-8.6033004760742173</v>
      </c>
      <c r="V223" s="13">
        <v>-16.2166730724134</v>
      </c>
      <c r="W223" s="15">
        <v>44.939825957587992</v>
      </c>
      <c r="X223" s="16" t="str">
        <f>IFERROR(_xll.BDP(E223&amp;" Corp","LAST_PRICE"),"--")</f>
        <v>#N/A Requesting Data...</v>
      </c>
      <c r="Y223" s="17" t="str">
        <f>IFERROR(_xll.BDP(E223&amp;" Corp","YAS_BENCHMARK_BOND_ISIN"),"--")</f>
        <v>#N/A Requesting Data...</v>
      </c>
      <c r="Z223" s="18" t="str">
        <f>IFERROR(_xll.BDP(Y223&amp;" CORP","LAST_PRICE"),"--")</f>
        <v>#N/A Requesting Data... CORP</v>
      </c>
      <c r="AA223" s="19" t="str">
        <f>IFERROR(_xll.BDP(E223&amp;" Corp","YAS_YLD_SPREAD","YAS_BOND_PX="&amp;X223,"YAS_BNCHMRK_BOND_PX="&amp;Z223),"--")</f>
        <v>#N/A Requesting Data...</v>
      </c>
      <c r="AB223" s="19" t="str">
        <f>IFERROR(_xll.BDP(E223&amp;" Corp","BLOOMBERG_MID_G_SPREAD","YAS_BOND_PX="&amp;X223,"YAS_BNCHMRK_BOND_PX="&amp;Z223),"--")</f>
        <v>#N/A Requesting Data...</v>
      </c>
      <c r="AC223" s="19" t="str">
        <f>IFERROR(_xll.BDP(D223,"LAST_PRICE"),"--")</f>
        <v>#N/A Requesting Data...</v>
      </c>
      <c r="AD223" s="20"/>
      <c r="AE223" s="19" t="str">
        <f t="shared" si="12"/>
        <v>#N/A Requesting Data...</v>
      </c>
      <c r="AF223" s="19" t="str">
        <f t="shared" si="13"/>
        <v>--</v>
      </c>
      <c r="AG223" s="21" t="str">
        <f t="shared" si="14"/>
        <v>--</v>
      </c>
      <c r="AH223" s="19" t="str">
        <f t="shared" si="15"/>
        <v>--</v>
      </c>
    </row>
    <row r="224" spans="1:34" x14ac:dyDescent="0.45">
      <c r="A224" s="22" t="s">
        <v>919</v>
      </c>
      <c r="B224" s="23" t="s">
        <v>523</v>
      </c>
      <c r="C224" s="22" t="s">
        <v>920</v>
      </c>
      <c r="D224" s="23" t="s">
        <v>921</v>
      </c>
      <c r="E224" s="23" t="s">
        <v>922</v>
      </c>
      <c r="F224" s="24">
        <v>45659</v>
      </c>
      <c r="G224" s="24">
        <v>46226</v>
      </c>
      <c r="H224" s="24">
        <v>49298</v>
      </c>
      <c r="I224" s="25">
        <v>31.864200592041019</v>
      </c>
      <c r="J224" s="25">
        <v>20.043899536132809</v>
      </c>
      <c r="K224" s="25">
        <v>18.516999999999999</v>
      </c>
      <c r="L224" s="25">
        <v>12.815</v>
      </c>
      <c r="M224" s="26">
        <v>390</v>
      </c>
      <c r="N224" s="27">
        <v>13.34720059204102</v>
      </c>
      <c r="O224" s="28">
        <v>-12.82439862060547</v>
      </c>
      <c r="P224" s="28">
        <v>19.110500213623052</v>
      </c>
      <c r="Q224" s="28">
        <v>7.5584812845083391</v>
      </c>
      <c r="R224" s="29">
        <v>81.952973605775753</v>
      </c>
      <c r="S224" s="28">
        <v>1.526899536132813</v>
      </c>
      <c r="T224" s="28">
        <v>-25.329498870849608</v>
      </c>
      <c r="U224" s="28">
        <v>7.2268002014160153</v>
      </c>
      <c r="V224" s="28">
        <v>-3.9544733344836112</v>
      </c>
      <c r="W224" s="30">
        <v>82.492172551213315</v>
      </c>
      <c r="X224" s="16" t="str">
        <f>IFERROR(_xll.BDP(E224&amp;" Corp","LAST_PRICE"),"--")</f>
        <v>#N/A Requesting Data...</v>
      </c>
      <c r="Y224" s="17" t="str">
        <f>IFERROR(_xll.BDP(E224&amp;" Corp","YAS_BENCHMARK_BOND_ISIN"),"--")</f>
        <v>#N/A Requesting Data...</v>
      </c>
      <c r="Z224" s="18" t="str">
        <f>IFERROR(_xll.BDP(Y224&amp;" CORP","LAST_PRICE"),"--")</f>
        <v>#N/A Requesting Data... CORP</v>
      </c>
      <c r="AA224" s="19" t="str">
        <f>IFERROR(_xll.BDP(E224&amp;" Corp","YAS_YLD_SPREAD","YAS_BOND_PX="&amp;X224,"YAS_BNCHMRK_BOND_PX="&amp;Z224),"--")</f>
        <v>#N/A Requesting Data...</v>
      </c>
      <c r="AB224" s="19" t="str">
        <f>IFERROR(_xll.BDP(E224&amp;" Corp","BLOOMBERG_MID_G_SPREAD","YAS_BOND_PX="&amp;X224,"YAS_BNCHMRK_BOND_PX="&amp;Z224),"--")</f>
        <v>#N/A Requesting Data...</v>
      </c>
      <c r="AC224" s="19" t="str">
        <f>IFERROR(_xll.BDP(D224,"LAST_PRICE"),"--")</f>
        <v>#N/A Requesting Data...</v>
      </c>
      <c r="AD224" s="20"/>
      <c r="AE224" s="19" t="str">
        <f t="shared" si="12"/>
        <v>#N/A Requesting Data...</v>
      </c>
      <c r="AF224" s="19" t="str">
        <f t="shared" si="13"/>
        <v>--</v>
      </c>
      <c r="AG224" s="21" t="str">
        <f t="shared" si="14"/>
        <v>--</v>
      </c>
      <c r="AH224" s="19" t="str">
        <f t="shared" si="15"/>
        <v>--</v>
      </c>
    </row>
    <row r="225" spans="1:34" x14ac:dyDescent="0.45">
      <c r="A225" s="7" t="s">
        <v>923</v>
      </c>
      <c r="B225" s="8" t="s">
        <v>523</v>
      </c>
      <c r="C225" s="7" t="s">
        <v>924</v>
      </c>
      <c r="D225" s="8" t="s">
        <v>925</v>
      </c>
      <c r="E225" s="8" t="s">
        <v>926</v>
      </c>
      <c r="F225" s="9">
        <v>45659</v>
      </c>
      <c r="G225" s="9">
        <v>46226</v>
      </c>
      <c r="H225" s="9">
        <v>48385</v>
      </c>
      <c r="I225" s="10">
        <v>74.567802429199219</v>
      </c>
      <c r="J225" s="10">
        <v>62.43389892578125</v>
      </c>
      <c r="K225" s="10">
        <v>74.486999999999995</v>
      </c>
      <c r="L225" s="10">
        <v>80.784999999999997</v>
      </c>
      <c r="M225" s="11">
        <v>390</v>
      </c>
      <c r="N225" s="12">
        <v>8.080242919922398E-2</v>
      </c>
      <c r="O225" s="13">
        <v>-35.033699096679698</v>
      </c>
      <c r="P225" s="13">
        <v>19.99220153808594</v>
      </c>
      <c r="Q225" s="13">
        <v>-3.1706837720039571</v>
      </c>
      <c r="R225" s="14">
        <v>63.814496665763627</v>
      </c>
      <c r="S225" s="13">
        <v>-12.053101074218739</v>
      </c>
      <c r="T225" s="13">
        <v>-43.425300659179698</v>
      </c>
      <c r="U225" s="13">
        <v>11.712301940917969</v>
      </c>
      <c r="V225" s="13">
        <v>-12.740982411937219</v>
      </c>
      <c r="W225" s="15">
        <v>56.898011711712293</v>
      </c>
      <c r="X225" s="16" t="str">
        <f>IFERROR(_xll.BDP(E225&amp;" Corp","LAST_PRICE"),"--")</f>
        <v>#N/A Requesting Data...</v>
      </c>
      <c r="Y225" s="17" t="str">
        <f>IFERROR(_xll.BDP(E225&amp;" Corp","YAS_BENCHMARK_BOND_ISIN"),"--")</f>
        <v>#N/A Requesting Data...</v>
      </c>
      <c r="Z225" s="18" t="str">
        <f>IFERROR(_xll.BDP(Y225&amp;" CORP","LAST_PRICE"),"--")</f>
        <v>#N/A Requesting Data... CORP</v>
      </c>
      <c r="AA225" s="19" t="str">
        <f>IFERROR(_xll.BDP(E225&amp;" Corp","YAS_YLD_SPREAD","YAS_BOND_PX="&amp;X225,"YAS_BNCHMRK_BOND_PX="&amp;Z225),"--")</f>
        <v>#N/A Requesting Data...</v>
      </c>
      <c r="AB225" s="19" t="str">
        <f>IFERROR(_xll.BDP(E225&amp;" Corp","BLOOMBERG_MID_G_SPREAD","YAS_BOND_PX="&amp;X225,"YAS_BNCHMRK_BOND_PX="&amp;Z225),"--")</f>
        <v>#N/A Requesting Data...</v>
      </c>
      <c r="AC225" s="19" t="str">
        <f>IFERROR(_xll.BDP(D225,"LAST_PRICE"),"--")</f>
        <v>#N/A Requesting Data...</v>
      </c>
      <c r="AD225" s="20"/>
      <c r="AE225" s="19" t="str">
        <f t="shared" si="12"/>
        <v>#N/A Requesting Data...</v>
      </c>
      <c r="AF225" s="19" t="str">
        <f t="shared" si="13"/>
        <v>--</v>
      </c>
      <c r="AG225" s="21" t="str">
        <f t="shared" si="14"/>
        <v>--</v>
      </c>
      <c r="AH225" s="19" t="str">
        <f t="shared" si="15"/>
        <v>--</v>
      </c>
    </row>
    <row r="226" spans="1:34" x14ac:dyDescent="0.45">
      <c r="A226" s="22" t="s">
        <v>927</v>
      </c>
      <c r="B226" s="23" t="s">
        <v>523</v>
      </c>
      <c r="C226" s="22" t="s">
        <v>928</v>
      </c>
      <c r="D226" s="23" t="s">
        <v>929</v>
      </c>
      <c r="E226" s="23" t="s">
        <v>930</v>
      </c>
      <c r="F226" s="24">
        <v>46044</v>
      </c>
      <c r="G226" s="24">
        <v>46226</v>
      </c>
      <c r="H226" s="24">
        <v>48019</v>
      </c>
      <c r="I226" s="25">
        <v>47.645900726318359</v>
      </c>
      <c r="J226" s="25">
        <v>47.645900726318359</v>
      </c>
      <c r="K226" s="25">
        <v>59.311</v>
      </c>
      <c r="L226" s="25">
        <v>56.201000000000001</v>
      </c>
      <c r="M226" s="26">
        <v>127</v>
      </c>
      <c r="N226" s="27">
        <v>-11.665099273681641</v>
      </c>
      <c r="O226" s="28">
        <v>-24.957599090576171</v>
      </c>
      <c r="P226" s="28">
        <v>-1.440799468994143</v>
      </c>
      <c r="Q226" s="28">
        <v>-10.38066690159595</v>
      </c>
      <c r="R226" s="29">
        <v>56.523421684877682</v>
      </c>
      <c r="S226" s="28">
        <v>-11.665099273681641</v>
      </c>
      <c r="T226" s="28">
        <v>-24.957599090576171</v>
      </c>
      <c r="U226" s="28">
        <v>-1.440799468994143</v>
      </c>
      <c r="V226" s="28">
        <v>-10.38066690159595</v>
      </c>
      <c r="W226" s="30">
        <v>56.523421684877682</v>
      </c>
      <c r="X226" s="16" t="str">
        <f>IFERROR(_xll.BDP(E226&amp;" Corp","LAST_PRICE"),"--")</f>
        <v>#N/A Requesting Data...</v>
      </c>
      <c r="Y226" s="17" t="str">
        <f>IFERROR(_xll.BDP(E226&amp;" Corp","YAS_BENCHMARK_BOND_ISIN"),"--")</f>
        <v>#N/A Requesting Data...</v>
      </c>
      <c r="Z226" s="18" t="str">
        <f>IFERROR(_xll.BDP(Y226&amp;" CORP","LAST_PRICE"),"--")</f>
        <v>#N/A Requesting Data... CORP</v>
      </c>
      <c r="AA226" s="19" t="str">
        <f>IFERROR(_xll.BDP(E226&amp;" Corp","YAS_YLD_SPREAD","YAS_BOND_PX="&amp;X226,"YAS_BNCHMRK_BOND_PX="&amp;Z226),"--")</f>
        <v>#N/A Requesting Data...</v>
      </c>
      <c r="AB226" s="19" t="str">
        <f>IFERROR(_xll.BDP(E226&amp;" Corp","BLOOMBERG_MID_G_SPREAD","YAS_BOND_PX="&amp;X226,"YAS_BNCHMRK_BOND_PX="&amp;Z226),"--")</f>
        <v>#N/A Requesting Data...</v>
      </c>
      <c r="AC226" s="19" t="str">
        <f>IFERROR(_xll.BDP(D226,"LAST_PRICE"),"--")</f>
        <v>#N/A Requesting Data...</v>
      </c>
      <c r="AD226" s="20"/>
      <c r="AE226" s="19" t="str">
        <f t="shared" si="12"/>
        <v>#N/A Requesting Data...</v>
      </c>
      <c r="AF226" s="19" t="str">
        <f t="shared" si="13"/>
        <v>--</v>
      </c>
      <c r="AG226" s="21" t="str">
        <f t="shared" si="14"/>
        <v>--</v>
      </c>
      <c r="AH226" s="19" t="str">
        <f t="shared" si="15"/>
        <v>--</v>
      </c>
    </row>
    <row r="227" spans="1:34" x14ac:dyDescent="0.45">
      <c r="A227" s="7" t="s">
        <v>931</v>
      </c>
      <c r="B227" s="8" t="s">
        <v>523</v>
      </c>
      <c r="C227" s="7" t="s">
        <v>932</v>
      </c>
      <c r="D227" s="8" t="s">
        <v>933</v>
      </c>
      <c r="E227" s="8" t="s">
        <v>934</v>
      </c>
      <c r="F227" s="9">
        <v>45736</v>
      </c>
      <c r="G227" s="9">
        <v>46226</v>
      </c>
      <c r="H227" s="9">
        <v>49480</v>
      </c>
      <c r="I227" s="10">
        <v>113.85780334472661</v>
      </c>
      <c r="J227" s="10">
        <v>81.538200378417969</v>
      </c>
      <c r="K227" s="10">
        <v>76.007000000000005</v>
      </c>
      <c r="L227" s="10">
        <v>71.923000000000002</v>
      </c>
      <c r="M227" s="11">
        <v>337</v>
      </c>
      <c r="N227" s="12">
        <v>37.850803344726557</v>
      </c>
      <c r="O227" s="13">
        <v>-0.99210119628905602</v>
      </c>
      <c r="P227" s="13">
        <v>53.163700683593753</v>
      </c>
      <c r="Q227" s="13">
        <v>24.541168371545801</v>
      </c>
      <c r="R227" s="14">
        <v>71.724364135848106</v>
      </c>
      <c r="S227" s="13">
        <v>5.5312003784179637</v>
      </c>
      <c r="T227" s="13">
        <v>-24.52740240478515</v>
      </c>
      <c r="U227" s="13">
        <v>20.92180310058593</v>
      </c>
      <c r="V227" s="13">
        <v>-3.1127816489528271</v>
      </c>
      <c r="W227" s="15">
        <v>66.13669578811637</v>
      </c>
      <c r="X227" s="16" t="str">
        <f>IFERROR(_xll.BDP(E227&amp;" Corp","LAST_PRICE"),"--")</f>
        <v>#N/A Requesting Data...</v>
      </c>
      <c r="Y227" s="17" t="str">
        <f>IFERROR(_xll.BDP(E227&amp;" Corp","YAS_BENCHMARK_BOND_ISIN"),"--")</f>
        <v>#N/A Requesting Data...</v>
      </c>
      <c r="Z227" s="18" t="str">
        <f>IFERROR(_xll.BDP(Y227&amp;" CORP","LAST_PRICE"),"--")</f>
        <v>#N/A Requesting Data... CORP</v>
      </c>
      <c r="AA227" s="19" t="str">
        <f>IFERROR(_xll.BDP(E227&amp;" Corp","YAS_YLD_SPREAD","YAS_BOND_PX="&amp;X227,"YAS_BNCHMRK_BOND_PX="&amp;Z227),"--")</f>
        <v>#N/A Requesting Data...</v>
      </c>
      <c r="AB227" s="19" t="str">
        <f>IFERROR(_xll.BDP(E227&amp;" Corp","BLOOMBERG_MID_G_SPREAD","YAS_BOND_PX="&amp;X227,"YAS_BNCHMRK_BOND_PX="&amp;Z227),"--")</f>
        <v>#N/A Requesting Data...</v>
      </c>
      <c r="AC227" s="19" t="str">
        <f>IFERROR(_xll.BDP(D227,"LAST_PRICE"),"--")</f>
        <v>#N/A Requesting Data...</v>
      </c>
      <c r="AD227" s="20"/>
      <c r="AE227" s="19" t="str">
        <f t="shared" si="12"/>
        <v>#N/A Requesting Data...</v>
      </c>
      <c r="AF227" s="19" t="str">
        <f t="shared" si="13"/>
        <v>--</v>
      </c>
      <c r="AG227" s="21" t="str">
        <f t="shared" si="14"/>
        <v>--</v>
      </c>
      <c r="AH227" s="19" t="str">
        <f t="shared" si="15"/>
        <v>--</v>
      </c>
    </row>
    <row r="228" spans="1:34" x14ac:dyDescent="0.45">
      <c r="A228" s="22" t="s">
        <v>935</v>
      </c>
      <c r="B228" s="23" t="s">
        <v>523</v>
      </c>
      <c r="C228" s="22" t="s">
        <v>936</v>
      </c>
      <c r="D228" s="23" t="s">
        <v>937</v>
      </c>
      <c r="E228" s="23" t="s">
        <v>938</v>
      </c>
      <c r="F228" s="24">
        <v>45659</v>
      </c>
      <c r="G228" s="24">
        <v>46226</v>
      </c>
      <c r="H228" s="24">
        <v>48933</v>
      </c>
      <c r="I228" s="25">
        <v>77.484901428222656</v>
      </c>
      <c r="J228" s="25">
        <v>50.848800659179688</v>
      </c>
      <c r="K228" s="25">
        <v>76.954999999999998</v>
      </c>
      <c r="L228" s="25">
        <v>68.858999999999995</v>
      </c>
      <c r="M228" s="26">
        <v>390</v>
      </c>
      <c r="N228" s="27">
        <v>0.52990142822265796</v>
      </c>
      <c r="O228" s="28">
        <v>-7.3802029418945381</v>
      </c>
      <c r="P228" s="28">
        <v>21.981105712890621</v>
      </c>
      <c r="Q228" s="28">
        <v>5.9286684859838248</v>
      </c>
      <c r="R228" s="29">
        <v>26.940571563481878</v>
      </c>
      <c r="S228" s="28">
        <v>-26.106199340820311</v>
      </c>
      <c r="T228" s="28">
        <v>-30.152199707031262</v>
      </c>
      <c r="U228" s="28">
        <v>-2.71199700927734</v>
      </c>
      <c r="V228" s="28">
        <v>-17.917433118380028</v>
      </c>
      <c r="W228" s="30">
        <v>14.744790374825209</v>
      </c>
      <c r="X228" s="16" t="str">
        <f>IFERROR(_xll.BDP(E228&amp;" Corp","LAST_PRICE"),"--")</f>
        <v>#N/A Requesting Data...</v>
      </c>
      <c r="Y228" s="17" t="str">
        <f>IFERROR(_xll.BDP(E228&amp;" Corp","YAS_BENCHMARK_BOND_ISIN"),"--")</f>
        <v>#N/A Requesting Data...</v>
      </c>
      <c r="Z228" s="18" t="str">
        <f>IFERROR(_xll.BDP(Y228&amp;" CORP","LAST_PRICE"),"--")</f>
        <v>#N/A Requesting Data... CORP</v>
      </c>
      <c r="AA228" s="19" t="str">
        <f>IFERROR(_xll.BDP(E228&amp;" Corp","YAS_YLD_SPREAD","YAS_BOND_PX="&amp;X228,"YAS_BNCHMRK_BOND_PX="&amp;Z228),"--")</f>
        <v>#N/A Requesting Data...</v>
      </c>
      <c r="AB228" s="19" t="str">
        <f>IFERROR(_xll.BDP(E228&amp;" Corp","BLOOMBERG_MID_G_SPREAD","YAS_BOND_PX="&amp;X228,"YAS_BNCHMRK_BOND_PX="&amp;Z228),"--")</f>
        <v>#N/A Requesting Data...</v>
      </c>
      <c r="AC228" s="19" t="str">
        <f>IFERROR(_xll.BDP(D228,"LAST_PRICE"),"--")</f>
        <v>#N/A Requesting Data...</v>
      </c>
      <c r="AD228" s="20"/>
      <c r="AE228" s="19" t="str">
        <f t="shared" si="12"/>
        <v>#N/A Requesting Data...</v>
      </c>
      <c r="AF228" s="19" t="str">
        <f t="shared" si="13"/>
        <v>--</v>
      </c>
      <c r="AG228" s="21" t="str">
        <f t="shared" si="14"/>
        <v>--</v>
      </c>
      <c r="AH228" s="19" t="str">
        <f t="shared" si="15"/>
        <v>--</v>
      </c>
    </row>
    <row r="229" spans="1:34" x14ac:dyDescent="0.45">
      <c r="A229" s="7" t="s">
        <v>939</v>
      </c>
      <c r="B229" s="8" t="s">
        <v>523</v>
      </c>
      <c r="C229" s="7" t="s">
        <v>940</v>
      </c>
      <c r="D229" s="8" t="s">
        <v>941</v>
      </c>
      <c r="E229" s="8" t="s">
        <v>942</v>
      </c>
      <c r="F229" s="9">
        <v>45659</v>
      </c>
      <c r="G229" s="9">
        <v>46226</v>
      </c>
      <c r="H229" s="9">
        <v>48202</v>
      </c>
      <c r="I229" s="10">
        <v>87.556198120117188</v>
      </c>
      <c r="J229" s="10">
        <v>77.832901000976563</v>
      </c>
      <c r="K229" s="10">
        <v>113.85299999999999</v>
      </c>
      <c r="L229" s="10">
        <v>116.012</v>
      </c>
      <c r="M229" s="11">
        <v>390</v>
      </c>
      <c r="N229" s="12">
        <v>-26.29680187988281</v>
      </c>
      <c r="O229" s="13">
        <v>-58.381202575683602</v>
      </c>
      <c r="P229" s="13">
        <v>16.68830749511719</v>
      </c>
      <c r="Q229" s="13">
        <v>-31.89514496585161</v>
      </c>
      <c r="R229" s="14">
        <v>42.7395898355282</v>
      </c>
      <c r="S229" s="13">
        <v>-36.020098999023432</v>
      </c>
      <c r="T229" s="13">
        <v>-65.116300170898427</v>
      </c>
      <c r="U229" s="13">
        <v>7.6956011962890614</v>
      </c>
      <c r="V229" s="13">
        <v>-39.604318275960303</v>
      </c>
      <c r="W229" s="15">
        <v>39.960776501555728</v>
      </c>
      <c r="X229" s="16" t="str">
        <f>IFERROR(_xll.BDP(E229&amp;" Corp","LAST_PRICE"),"--")</f>
        <v>#N/A Requesting Data...</v>
      </c>
      <c r="Y229" s="17" t="str">
        <f>IFERROR(_xll.BDP(E229&amp;" Corp","YAS_BENCHMARK_BOND_ISIN"),"--")</f>
        <v>#N/A Requesting Data...</v>
      </c>
      <c r="Z229" s="18" t="str">
        <f>IFERROR(_xll.BDP(Y229&amp;" CORP","LAST_PRICE"),"--")</f>
        <v>#N/A Requesting Data... CORP</v>
      </c>
      <c r="AA229" s="19" t="str">
        <f>IFERROR(_xll.BDP(E229&amp;" Corp","YAS_YLD_SPREAD","YAS_BOND_PX="&amp;X229,"YAS_BNCHMRK_BOND_PX="&amp;Z229),"--")</f>
        <v>#N/A Requesting Data...</v>
      </c>
      <c r="AB229" s="19" t="str">
        <f>IFERROR(_xll.BDP(E229&amp;" Corp","BLOOMBERG_MID_G_SPREAD","YAS_BOND_PX="&amp;X229,"YAS_BNCHMRK_BOND_PX="&amp;Z229),"--")</f>
        <v>#N/A Requesting Data...</v>
      </c>
      <c r="AC229" s="19" t="str">
        <f>IFERROR(_xll.BDP(D229,"LAST_PRICE"),"--")</f>
        <v>#N/A Requesting Data...</v>
      </c>
      <c r="AD229" s="20"/>
      <c r="AE229" s="19" t="str">
        <f t="shared" si="12"/>
        <v>#N/A Requesting Data...</v>
      </c>
      <c r="AF229" s="19" t="str">
        <f t="shared" si="13"/>
        <v>--</v>
      </c>
      <c r="AG229" s="21" t="str">
        <f t="shared" si="14"/>
        <v>--</v>
      </c>
      <c r="AH229" s="19" t="str">
        <f t="shared" si="15"/>
        <v>--</v>
      </c>
    </row>
    <row r="230" spans="1:34" x14ac:dyDescent="0.45">
      <c r="A230" s="22" t="s">
        <v>943</v>
      </c>
      <c r="B230" s="23" t="s">
        <v>523</v>
      </c>
      <c r="C230" s="22" t="s">
        <v>944</v>
      </c>
      <c r="D230" s="23" t="s">
        <v>945</v>
      </c>
      <c r="E230" s="23" t="s">
        <v>946</v>
      </c>
      <c r="F230" s="24">
        <v>45659</v>
      </c>
      <c r="G230" s="24">
        <v>46226</v>
      </c>
      <c r="H230" s="24">
        <v>47289</v>
      </c>
      <c r="I230" s="25">
        <v>54.986698150634773</v>
      </c>
      <c r="J230" s="25">
        <v>87.115997314453125</v>
      </c>
      <c r="K230" s="25">
        <v>74.344999999999999</v>
      </c>
      <c r="L230" s="25">
        <v>73.736000000000004</v>
      </c>
      <c r="M230" s="26">
        <v>390</v>
      </c>
      <c r="N230" s="27">
        <v>-19.35830184936523</v>
      </c>
      <c r="O230" s="28">
        <v>-80.967502136230479</v>
      </c>
      <c r="P230" s="28">
        <v>-18.15910092163087</v>
      </c>
      <c r="Q230" s="28">
        <v>-47.290889815971177</v>
      </c>
      <c r="R230" s="29">
        <v>98.090699803618591</v>
      </c>
      <c r="S230" s="28">
        <v>12.77099731445313</v>
      </c>
      <c r="T230" s="28">
        <v>-44.760202331542963</v>
      </c>
      <c r="U230" s="28">
        <v>13.498198120117181</v>
      </c>
      <c r="V230" s="28">
        <v>-14.94530313705053</v>
      </c>
      <c r="W230" s="30">
        <v>98.751766612151584</v>
      </c>
      <c r="X230" s="16" t="str">
        <f>IFERROR(_xll.BDP(E230&amp;" Corp","LAST_PRICE"),"--")</f>
        <v>#N/A Requesting Data...</v>
      </c>
      <c r="Y230" s="17" t="str">
        <f>IFERROR(_xll.BDP(E230&amp;" Corp","YAS_BENCHMARK_BOND_ISIN"),"--")</f>
        <v>#N/A Requesting Data...</v>
      </c>
      <c r="Z230" s="18" t="str">
        <f>IFERROR(_xll.BDP(Y230&amp;" CORP","LAST_PRICE"),"--")</f>
        <v>#N/A Requesting Data... CORP</v>
      </c>
      <c r="AA230" s="19" t="str">
        <f>IFERROR(_xll.BDP(E230&amp;" Corp","YAS_YLD_SPREAD","YAS_BOND_PX="&amp;X230,"YAS_BNCHMRK_BOND_PX="&amp;Z230),"--")</f>
        <v>#N/A Requesting Data...</v>
      </c>
      <c r="AB230" s="19" t="str">
        <f>IFERROR(_xll.BDP(E230&amp;" Corp","BLOOMBERG_MID_G_SPREAD","YAS_BOND_PX="&amp;X230,"YAS_BNCHMRK_BOND_PX="&amp;Z230),"--")</f>
        <v>#N/A Requesting Data...</v>
      </c>
      <c r="AC230" s="19" t="str">
        <f>IFERROR(_xll.BDP(D230,"LAST_PRICE"),"--")</f>
        <v>#N/A Requesting Data...</v>
      </c>
      <c r="AD230" s="20"/>
      <c r="AE230" s="19" t="str">
        <f t="shared" si="12"/>
        <v>#N/A Requesting Data...</v>
      </c>
      <c r="AF230" s="19" t="str">
        <f t="shared" si="13"/>
        <v>--</v>
      </c>
      <c r="AG230" s="21" t="str">
        <f t="shared" si="14"/>
        <v>--</v>
      </c>
      <c r="AH230" s="19" t="str">
        <f t="shared" si="15"/>
        <v>--</v>
      </c>
    </row>
    <row r="231" spans="1:34" x14ac:dyDescent="0.45">
      <c r="A231" s="7" t="s">
        <v>947</v>
      </c>
      <c r="B231" s="8" t="s">
        <v>523</v>
      </c>
      <c r="C231" s="7" t="s">
        <v>948</v>
      </c>
      <c r="D231" s="8" t="s">
        <v>949</v>
      </c>
      <c r="E231" s="8" t="s">
        <v>950</v>
      </c>
      <c r="F231" s="9">
        <v>45659</v>
      </c>
      <c r="G231" s="9">
        <v>46226</v>
      </c>
      <c r="H231" s="9">
        <v>48750</v>
      </c>
      <c r="I231" s="10">
        <v>41.239299774169922</v>
      </c>
      <c r="J231" s="10">
        <v>29.806499481201168</v>
      </c>
      <c r="K231" s="10">
        <v>55.19</v>
      </c>
      <c r="L231" s="10">
        <v>40.055</v>
      </c>
      <c r="M231" s="11">
        <v>390</v>
      </c>
      <c r="N231" s="12">
        <v>-13.950700225830079</v>
      </c>
      <c r="O231" s="13">
        <v>-43.401603637695317</v>
      </c>
      <c r="P231" s="13">
        <v>-4.166501617431642</v>
      </c>
      <c r="Q231" s="13">
        <v>-17.936031053278999</v>
      </c>
      <c r="R231" s="14">
        <v>75.062640073306781</v>
      </c>
      <c r="S231" s="13">
        <v>-25.383500518798829</v>
      </c>
      <c r="T231" s="13">
        <v>-52.375598846435551</v>
      </c>
      <c r="U231" s="13">
        <v>-13.91900024414063</v>
      </c>
      <c r="V231" s="13">
        <v>-27.67651202400403</v>
      </c>
      <c r="W231" s="15">
        <v>70.188470402127436</v>
      </c>
      <c r="X231" s="16" t="str">
        <f>IFERROR(_xll.BDP(E231&amp;" Corp","LAST_PRICE"),"--")</f>
        <v>#N/A Requesting Data...</v>
      </c>
      <c r="Y231" s="17" t="str">
        <f>IFERROR(_xll.BDP(E231&amp;" Corp","YAS_BENCHMARK_BOND_ISIN"),"--")</f>
        <v>#N/A Requesting Data...</v>
      </c>
      <c r="Z231" s="18" t="str">
        <f>IFERROR(_xll.BDP(Y231&amp;" CORP","LAST_PRICE"),"--")</f>
        <v>#N/A Requesting Data... CORP</v>
      </c>
      <c r="AA231" s="19" t="str">
        <f>IFERROR(_xll.BDP(E231&amp;" Corp","YAS_YLD_SPREAD","YAS_BOND_PX="&amp;X231,"YAS_BNCHMRK_BOND_PX="&amp;Z231),"--")</f>
        <v>#N/A Requesting Data...</v>
      </c>
      <c r="AB231" s="19" t="str">
        <f>IFERROR(_xll.BDP(E231&amp;" Corp","BLOOMBERG_MID_G_SPREAD","YAS_BOND_PX="&amp;X231,"YAS_BNCHMRK_BOND_PX="&amp;Z231),"--")</f>
        <v>#N/A Requesting Data...</v>
      </c>
      <c r="AC231" s="19" t="str">
        <f>IFERROR(_xll.BDP(D231,"LAST_PRICE"),"--")</f>
        <v>#N/A Requesting Data...</v>
      </c>
      <c r="AD231" s="20"/>
      <c r="AE231" s="19" t="str">
        <f t="shared" si="12"/>
        <v>#N/A Requesting Data...</v>
      </c>
      <c r="AF231" s="19" t="str">
        <f t="shared" si="13"/>
        <v>--</v>
      </c>
      <c r="AG231" s="21" t="str">
        <f t="shared" si="14"/>
        <v>--</v>
      </c>
      <c r="AH231" s="19" t="str">
        <f t="shared" si="15"/>
        <v>--</v>
      </c>
    </row>
    <row r="232" spans="1:34" x14ac:dyDescent="0.45">
      <c r="A232" s="22" t="s">
        <v>951</v>
      </c>
      <c r="B232" s="23" t="s">
        <v>523</v>
      </c>
      <c r="C232" s="22" t="s">
        <v>952</v>
      </c>
      <c r="D232" s="23" t="s">
        <v>953</v>
      </c>
      <c r="E232" s="23" t="s">
        <v>954</v>
      </c>
      <c r="F232" s="24">
        <v>45918</v>
      </c>
      <c r="G232" s="24">
        <v>46226</v>
      </c>
      <c r="H232" s="24">
        <v>48568</v>
      </c>
      <c r="I232" s="25">
        <v>84.391799926757813</v>
      </c>
      <c r="J232" s="25">
        <v>69.707199096679688</v>
      </c>
      <c r="K232" s="25">
        <v>75.239000000000004</v>
      </c>
      <c r="L232" s="25">
        <v>84.475999999999999</v>
      </c>
      <c r="M232" s="26">
        <v>212</v>
      </c>
      <c r="N232" s="27">
        <v>9.1527999267578082</v>
      </c>
      <c r="O232" s="28">
        <v>-6.0480961914062448</v>
      </c>
      <c r="P232" s="28">
        <v>12.43560357666016</v>
      </c>
      <c r="Q232" s="28">
        <v>5.7898302511539086</v>
      </c>
      <c r="R232" s="29">
        <v>82.239466713401583</v>
      </c>
      <c r="S232" s="28">
        <v>-5.5318009033203168</v>
      </c>
      <c r="T232" s="28">
        <v>-17.27639819335937</v>
      </c>
      <c r="U232" s="28">
        <v>0.89139886474609398</v>
      </c>
      <c r="V232" s="28">
        <v>-7.1626575504518906</v>
      </c>
      <c r="W232" s="30">
        <v>64.645136955662238</v>
      </c>
      <c r="X232" s="16" t="str">
        <f>IFERROR(_xll.BDP(E232&amp;" Corp","LAST_PRICE"),"--")</f>
        <v>#N/A Requesting Data...</v>
      </c>
      <c r="Y232" s="17" t="str">
        <f>IFERROR(_xll.BDP(E232&amp;" Corp","YAS_BENCHMARK_BOND_ISIN"),"--")</f>
        <v>#N/A Requesting Data...</v>
      </c>
      <c r="Z232" s="18" t="str">
        <f>IFERROR(_xll.BDP(Y232&amp;" CORP","LAST_PRICE"),"--")</f>
        <v>#N/A Requesting Data... CORP</v>
      </c>
      <c r="AA232" s="19" t="str">
        <f>IFERROR(_xll.BDP(E232&amp;" Corp","YAS_YLD_SPREAD","YAS_BOND_PX="&amp;X232,"YAS_BNCHMRK_BOND_PX="&amp;Z232),"--")</f>
        <v>#N/A Requesting Data...</v>
      </c>
      <c r="AB232" s="19" t="str">
        <f>IFERROR(_xll.BDP(E232&amp;" Corp","BLOOMBERG_MID_G_SPREAD","YAS_BOND_PX="&amp;X232,"YAS_BNCHMRK_BOND_PX="&amp;Z232),"--")</f>
        <v>#N/A Requesting Data...</v>
      </c>
      <c r="AC232" s="19" t="str">
        <f>IFERROR(_xll.BDP(D232,"LAST_PRICE"),"--")</f>
        <v>#N/A Requesting Data...</v>
      </c>
      <c r="AD232" s="20"/>
      <c r="AE232" s="19" t="str">
        <f t="shared" si="12"/>
        <v>#N/A Requesting Data...</v>
      </c>
      <c r="AF232" s="19" t="str">
        <f t="shared" si="13"/>
        <v>--</v>
      </c>
      <c r="AG232" s="21" t="str">
        <f t="shared" si="14"/>
        <v>--</v>
      </c>
      <c r="AH232" s="19" t="str">
        <f t="shared" si="15"/>
        <v>--</v>
      </c>
    </row>
    <row r="233" spans="1:34" x14ac:dyDescent="0.45">
      <c r="A233" s="7" t="s">
        <v>955</v>
      </c>
      <c r="B233" s="8" t="s">
        <v>523</v>
      </c>
      <c r="C233" s="7" t="s">
        <v>956</v>
      </c>
      <c r="D233" s="8" t="s">
        <v>957</v>
      </c>
      <c r="E233" s="8" t="s">
        <v>958</v>
      </c>
      <c r="F233" s="9">
        <v>45922</v>
      </c>
      <c r="G233" s="9">
        <v>46226</v>
      </c>
      <c r="H233" s="9">
        <v>49663</v>
      </c>
      <c r="I233" s="10">
        <v>77.170997619628906</v>
      </c>
      <c r="J233" s="10">
        <v>43.210700988769531</v>
      </c>
      <c r="K233" s="10">
        <v>70.787000000000006</v>
      </c>
      <c r="L233" s="10">
        <v>68.757000000000005</v>
      </c>
      <c r="M233" s="11">
        <v>210</v>
      </c>
      <c r="N233" s="12">
        <v>6.3839976196289001</v>
      </c>
      <c r="O233" s="13">
        <v>-7.8662008666992156</v>
      </c>
      <c r="P233" s="13">
        <v>13.489703796386721</v>
      </c>
      <c r="Q233" s="13">
        <v>2.959005341448103</v>
      </c>
      <c r="R233" s="14">
        <v>66.727205946746153</v>
      </c>
      <c r="S233" s="13">
        <v>-27.576299011230471</v>
      </c>
      <c r="T233" s="13">
        <v>-35.433801116943357</v>
      </c>
      <c r="U233" s="13">
        <v>-19.952099182128901</v>
      </c>
      <c r="V233" s="13">
        <v>-26.517841289319492</v>
      </c>
      <c r="W233" s="15">
        <v>50.753477484560896</v>
      </c>
      <c r="X233" s="16" t="str">
        <f>IFERROR(_xll.BDP(E233&amp;" Corp","LAST_PRICE"),"--")</f>
        <v>#N/A Requesting Data...</v>
      </c>
      <c r="Y233" s="17" t="str">
        <f>IFERROR(_xll.BDP(E233&amp;" Corp","YAS_BENCHMARK_BOND_ISIN"),"--")</f>
        <v>#N/A Requesting Data...</v>
      </c>
      <c r="Z233" s="18" t="str">
        <f>IFERROR(_xll.BDP(Y233&amp;" CORP","LAST_PRICE"),"--")</f>
        <v>#N/A Requesting Data... CORP</v>
      </c>
      <c r="AA233" s="19" t="str">
        <f>IFERROR(_xll.BDP(E233&amp;" Corp","YAS_YLD_SPREAD","YAS_BOND_PX="&amp;X233,"YAS_BNCHMRK_BOND_PX="&amp;Z233),"--")</f>
        <v>#N/A Requesting Data...</v>
      </c>
      <c r="AB233" s="19" t="str">
        <f>IFERROR(_xll.BDP(E233&amp;" Corp","BLOOMBERG_MID_G_SPREAD","YAS_BOND_PX="&amp;X233,"YAS_BNCHMRK_BOND_PX="&amp;Z233),"--")</f>
        <v>#N/A Requesting Data...</v>
      </c>
      <c r="AC233" s="19" t="str">
        <f>IFERROR(_xll.BDP(D233,"LAST_PRICE"),"--")</f>
        <v>#N/A Requesting Data...</v>
      </c>
      <c r="AD233" s="20"/>
      <c r="AE233" s="19" t="str">
        <f t="shared" si="12"/>
        <v>#N/A Requesting Data...</v>
      </c>
      <c r="AF233" s="19" t="str">
        <f t="shared" si="13"/>
        <v>--</v>
      </c>
      <c r="AG233" s="21" t="str">
        <f t="shared" si="14"/>
        <v>--</v>
      </c>
      <c r="AH233" s="19" t="str">
        <f t="shared" si="15"/>
        <v>--</v>
      </c>
    </row>
    <row r="234" spans="1:34" x14ac:dyDescent="0.45">
      <c r="A234" s="22" t="s">
        <v>959</v>
      </c>
      <c r="B234" s="23" t="s">
        <v>523</v>
      </c>
      <c r="C234" s="22" t="s">
        <v>960</v>
      </c>
      <c r="D234" s="23" t="s">
        <v>961</v>
      </c>
      <c r="E234" s="23" t="s">
        <v>962</v>
      </c>
      <c r="F234" s="24">
        <v>45659</v>
      </c>
      <c r="G234" s="24">
        <v>46226</v>
      </c>
      <c r="H234" s="24">
        <v>49115</v>
      </c>
      <c r="I234" s="25">
        <v>56.882099151611328</v>
      </c>
      <c r="J234" s="25">
        <v>39.311698913574219</v>
      </c>
      <c r="K234" s="25">
        <v>77.682000000000002</v>
      </c>
      <c r="L234" s="25">
        <v>67.278999999999996</v>
      </c>
      <c r="M234" s="26">
        <v>388</v>
      </c>
      <c r="N234" s="27">
        <v>-20.79990084838867</v>
      </c>
      <c r="O234" s="28">
        <v>-53.454703552246087</v>
      </c>
      <c r="P234" s="28">
        <v>-14.837600189208979</v>
      </c>
      <c r="Q234" s="28">
        <v>-30.026952669595939</v>
      </c>
      <c r="R234" s="29">
        <v>84.560466373853956</v>
      </c>
      <c r="S234" s="28">
        <v>-38.370301086425783</v>
      </c>
      <c r="T234" s="28">
        <v>-69.355998260498041</v>
      </c>
      <c r="U234" s="28">
        <v>-32.105300384521477</v>
      </c>
      <c r="V234" s="28">
        <v>-46.027667777857822</v>
      </c>
      <c r="W234" s="30">
        <v>83.181521262331373</v>
      </c>
      <c r="X234" s="16" t="str">
        <f>IFERROR(_xll.BDP(E234&amp;" Corp","LAST_PRICE"),"--")</f>
        <v>#N/A Requesting Data...</v>
      </c>
      <c r="Y234" s="17" t="str">
        <f>IFERROR(_xll.BDP(E234&amp;" Corp","YAS_BENCHMARK_BOND_ISIN"),"--")</f>
        <v>#N/A Requesting Data...</v>
      </c>
      <c r="Z234" s="18" t="str">
        <f>IFERROR(_xll.BDP(Y234&amp;" CORP","LAST_PRICE"),"--")</f>
        <v>#N/A Requesting Data... CORP</v>
      </c>
      <c r="AA234" s="19" t="str">
        <f>IFERROR(_xll.BDP(E234&amp;" Corp","YAS_YLD_SPREAD","YAS_BOND_PX="&amp;X234,"YAS_BNCHMRK_BOND_PX="&amp;Z234),"--")</f>
        <v>#N/A Requesting Data...</v>
      </c>
      <c r="AB234" s="19" t="str">
        <f>IFERROR(_xll.BDP(E234&amp;" Corp","BLOOMBERG_MID_G_SPREAD","YAS_BOND_PX="&amp;X234,"YAS_BNCHMRK_BOND_PX="&amp;Z234),"--")</f>
        <v>#N/A Requesting Data...</v>
      </c>
      <c r="AC234" s="19" t="str">
        <f>IFERROR(_xll.BDP(D234,"LAST_PRICE"),"--")</f>
        <v>#N/A Requesting Data...</v>
      </c>
      <c r="AD234" s="20"/>
      <c r="AE234" s="19" t="str">
        <f t="shared" si="12"/>
        <v>#N/A Requesting Data...</v>
      </c>
      <c r="AF234" s="19" t="str">
        <f t="shared" si="13"/>
        <v>--</v>
      </c>
      <c r="AG234" s="21" t="str">
        <f t="shared" si="14"/>
        <v>--</v>
      </c>
      <c r="AH234" s="19" t="str">
        <f t="shared" si="15"/>
        <v>--</v>
      </c>
    </row>
    <row r="235" spans="1:34" x14ac:dyDescent="0.45">
      <c r="A235" s="7" t="s">
        <v>963</v>
      </c>
      <c r="B235" s="8" t="s">
        <v>523</v>
      </c>
      <c r="C235" s="7" t="s">
        <v>964</v>
      </c>
      <c r="D235" s="8" t="s">
        <v>965</v>
      </c>
      <c r="E235" s="8" t="s">
        <v>966</v>
      </c>
      <c r="F235" s="9">
        <v>45659</v>
      </c>
      <c r="G235" s="9">
        <v>46226</v>
      </c>
      <c r="H235" s="9">
        <v>48750</v>
      </c>
      <c r="I235" s="10">
        <v>67.10369873046875</v>
      </c>
      <c r="J235" s="10">
        <v>45.026699066162109</v>
      </c>
      <c r="K235" s="10">
        <v>64.25</v>
      </c>
      <c r="L235" s="10">
        <v>49.515999999999998</v>
      </c>
      <c r="M235" s="11">
        <v>390</v>
      </c>
      <c r="N235" s="12">
        <v>2.85369873046875</v>
      </c>
      <c r="O235" s="13">
        <v>-13.97350378417968</v>
      </c>
      <c r="P235" s="13">
        <v>19.595603210449219</v>
      </c>
      <c r="Q235" s="13">
        <v>6.9432735141851962</v>
      </c>
      <c r="R235" s="14">
        <v>50.127048411924712</v>
      </c>
      <c r="S235" s="13">
        <v>-19.223300933837891</v>
      </c>
      <c r="T235" s="13">
        <v>-28.87829846191406</v>
      </c>
      <c r="U235" s="13">
        <v>4.859197082519529</v>
      </c>
      <c r="V235" s="13">
        <v>-10.015682866805641</v>
      </c>
      <c r="W235" s="15">
        <v>28.61800312166077</v>
      </c>
      <c r="X235" s="16" t="str">
        <f>IFERROR(_xll.BDP(E235&amp;" Corp","LAST_PRICE"),"--")</f>
        <v>#N/A Requesting Data...</v>
      </c>
      <c r="Y235" s="17" t="str">
        <f>IFERROR(_xll.BDP(E235&amp;" Corp","YAS_BENCHMARK_BOND_ISIN"),"--")</f>
        <v>#N/A Requesting Data...</v>
      </c>
      <c r="Z235" s="18" t="str">
        <f>IFERROR(_xll.BDP(Y235&amp;" CORP","LAST_PRICE"),"--")</f>
        <v>#N/A Requesting Data... CORP</v>
      </c>
      <c r="AA235" s="19" t="str">
        <f>IFERROR(_xll.BDP(E235&amp;" Corp","YAS_YLD_SPREAD","YAS_BOND_PX="&amp;X235,"YAS_BNCHMRK_BOND_PX="&amp;Z235),"--")</f>
        <v>#N/A Requesting Data...</v>
      </c>
      <c r="AB235" s="19" t="str">
        <f>IFERROR(_xll.BDP(E235&amp;" Corp","BLOOMBERG_MID_G_SPREAD","YAS_BOND_PX="&amp;X235,"YAS_BNCHMRK_BOND_PX="&amp;Z235),"--")</f>
        <v>#N/A Requesting Data...</v>
      </c>
      <c r="AC235" s="19" t="str">
        <f>IFERROR(_xll.BDP(D235,"LAST_PRICE"),"--")</f>
        <v>#N/A Requesting Data...</v>
      </c>
      <c r="AD235" s="20"/>
      <c r="AE235" s="19" t="str">
        <f t="shared" si="12"/>
        <v>#N/A Requesting Data...</v>
      </c>
      <c r="AF235" s="19" t="str">
        <f t="shared" si="13"/>
        <v>--</v>
      </c>
      <c r="AG235" s="21" t="str">
        <f t="shared" si="14"/>
        <v>--</v>
      </c>
      <c r="AH235" s="19" t="str">
        <f t="shared" si="15"/>
        <v>--</v>
      </c>
    </row>
    <row r="236" spans="1:34" x14ac:dyDescent="0.45">
      <c r="A236" s="22" t="s">
        <v>967</v>
      </c>
      <c r="B236" s="23" t="s">
        <v>523</v>
      </c>
      <c r="C236" s="22" t="s">
        <v>968</v>
      </c>
      <c r="D236" s="23" t="s">
        <v>969</v>
      </c>
      <c r="E236" s="23" t="s">
        <v>970</v>
      </c>
      <c r="F236" s="24">
        <v>45659</v>
      </c>
      <c r="G236" s="24">
        <v>46226</v>
      </c>
      <c r="H236" s="24">
        <v>48933</v>
      </c>
      <c r="I236" s="25">
        <v>53.099899291992188</v>
      </c>
      <c r="J236" s="25">
        <v>36.790298461914063</v>
      </c>
      <c r="K236" s="25">
        <v>75.977999999999994</v>
      </c>
      <c r="L236" s="25">
        <v>63.6</v>
      </c>
      <c r="M236" s="26">
        <v>390</v>
      </c>
      <c r="N236" s="27">
        <v>-22.87810070800781</v>
      </c>
      <c r="O236" s="28">
        <v>-75.116101409912119</v>
      </c>
      <c r="P236" s="28">
        <v>-15.683798614501949</v>
      </c>
      <c r="Q236" s="28">
        <v>-36.590895667912413</v>
      </c>
      <c r="R236" s="29">
        <v>87.89496325210294</v>
      </c>
      <c r="S236" s="28">
        <v>-39.187701538085932</v>
      </c>
      <c r="T236" s="28">
        <v>-88.990601684570322</v>
      </c>
      <c r="U236" s="28">
        <v>-31.736399475097659</v>
      </c>
      <c r="V236" s="28">
        <v>-51.170426198010567</v>
      </c>
      <c r="W236" s="30">
        <v>86.985580489399496</v>
      </c>
      <c r="X236" s="16" t="str">
        <f>IFERROR(_xll.BDP(E236&amp;" Corp","LAST_PRICE"),"--")</f>
        <v>#N/A Requesting Data...</v>
      </c>
      <c r="Y236" s="17" t="str">
        <f>IFERROR(_xll.BDP(E236&amp;" Corp","YAS_BENCHMARK_BOND_ISIN"),"--")</f>
        <v>#N/A Requesting Data...</v>
      </c>
      <c r="Z236" s="18" t="str">
        <f>IFERROR(_xll.BDP(Y236&amp;" CORP","LAST_PRICE"),"--")</f>
        <v>#N/A Requesting Data... CORP</v>
      </c>
      <c r="AA236" s="19" t="str">
        <f>IFERROR(_xll.BDP(E236&amp;" Corp","YAS_YLD_SPREAD","YAS_BOND_PX="&amp;X236,"YAS_BNCHMRK_BOND_PX="&amp;Z236),"--")</f>
        <v>#N/A Requesting Data...</v>
      </c>
      <c r="AB236" s="19" t="str">
        <f>IFERROR(_xll.BDP(E236&amp;" Corp","BLOOMBERG_MID_G_SPREAD","YAS_BOND_PX="&amp;X236,"YAS_BNCHMRK_BOND_PX="&amp;Z236),"--")</f>
        <v>#N/A Requesting Data...</v>
      </c>
      <c r="AC236" s="19" t="str">
        <f>IFERROR(_xll.BDP(D236,"LAST_PRICE"),"--")</f>
        <v>#N/A Requesting Data...</v>
      </c>
      <c r="AD236" s="20"/>
      <c r="AE236" s="19" t="str">
        <f t="shared" si="12"/>
        <v>#N/A Requesting Data...</v>
      </c>
      <c r="AF236" s="19" t="str">
        <f t="shared" si="13"/>
        <v>--</v>
      </c>
      <c r="AG236" s="21" t="str">
        <f t="shared" si="14"/>
        <v>--</v>
      </c>
      <c r="AH236" s="19" t="str">
        <f t="shared" si="15"/>
        <v>--</v>
      </c>
    </row>
    <row r="237" spans="1:34" x14ac:dyDescent="0.45">
      <c r="A237" s="7" t="s">
        <v>971</v>
      </c>
      <c r="B237" s="8" t="s">
        <v>523</v>
      </c>
      <c r="C237" s="7" t="s">
        <v>972</v>
      </c>
      <c r="D237" s="8" t="s">
        <v>973</v>
      </c>
      <c r="E237" s="8" t="s">
        <v>974</v>
      </c>
      <c r="F237" s="9">
        <v>45659</v>
      </c>
      <c r="G237" s="9">
        <v>46226</v>
      </c>
      <c r="H237" s="9">
        <v>48568</v>
      </c>
      <c r="I237" s="10">
        <v>46.934700012207031</v>
      </c>
      <c r="J237" s="10">
        <v>35.730701446533203</v>
      </c>
      <c r="K237" s="10">
        <v>29.788</v>
      </c>
      <c r="L237" s="10">
        <v>38.311</v>
      </c>
      <c r="M237" s="11">
        <v>390</v>
      </c>
      <c r="N237" s="12">
        <v>17.146700012207031</v>
      </c>
      <c r="O237" s="13">
        <v>-10.26079888916016</v>
      </c>
      <c r="P237" s="13">
        <v>33.835899230957033</v>
      </c>
      <c r="Q237" s="13">
        <v>11.980777692902389</v>
      </c>
      <c r="R237" s="14">
        <v>62.153177153333651</v>
      </c>
      <c r="S237" s="13">
        <v>5.9427014465332029</v>
      </c>
      <c r="T237" s="13">
        <v>-19.368797424316408</v>
      </c>
      <c r="U237" s="13">
        <v>23.24610125732422</v>
      </c>
      <c r="V237" s="13">
        <v>2.784297827070187</v>
      </c>
      <c r="W237" s="15">
        <v>59.395891234992718</v>
      </c>
      <c r="X237" s="16" t="str">
        <f>IFERROR(_xll.BDP(E237&amp;" Corp","LAST_PRICE"),"--")</f>
        <v>#N/A Requesting Data...</v>
      </c>
      <c r="Y237" s="17" t="str">
        <f>IFERROR(_xll.BDP(E237&amp;" Corp","YAS_BENCHMARK_BOND_ISIN"),"--")</f>
        <v>#N/A Requesting Data...</v>
      </c>
      <c r="Z237" s="18" t="str">
        <f>IFERROR(_xll.BDP(Y237&amp;" CORP","LAST_PRICE"),"--")</f>
        <v>#N/A Requesting Data... CORP</v>
      </c>
      <c r="AA237" s="19" t="str">
        <f>IFERROR(_xll.BDP(E237&amp;" Corp","YAS_YLD_SPREAD","YAS_BOND_PX="&amp;X237,"YAS_BNCHMRK_BOND_PX="&amp;Z237),"--")</f>
        <v>#N/A Requesting Data...</v>
      </c>
      <c r="AB237" s="19" t="str">
        <f>IFERROR(_xll.BDP(E237&amp;" Corp","BLOOMBERG_MID_G_SPREAD","YAS_BOND_PX="&amp;X237,"YAS_BNCHMRK_BOND_PX="&amp;Z237),"--")</f>
        <v>#N/A Requesting Data...</v>
      </c>
      <c r="AC237" s="19" t="str">
        <f>IFERROR(_xll.BDP(D237,"LAST_PRICE"),"--")</f>
        <v>#N/A Requesting Data...</v>
      </c>
      <c r="AD237" s="20"/>
      <c r="AE237" s="19" t="str">
        <f t="shared" si="12"/>
        <v>#N/A Requesting Data...</v>
      </c>
      <c r="AF237" s="19" t="str">
        <f t="shared" si="13"/>
        <v>--</v>
      </c>
      <c r="AG237" s="21" t="str">
        <f t="shared" si="14"/>
        <v>--</v>
      </c>
      <c r="AH237" s="19" t="str">
        <f t="shared" si="15"/>
        <v>--</v>
      </c>
    </row>
    <row r="238" spans="1:34" x14ac:dyDescent="0.45">
      <c r="A238" s="22" t="s">
        <v>975</v>
      </c>
      <c r="B238" s="23" t="s">
        <v>523</v>
      </c>
      <c r="C238" s="22" t="s">
        <v>976</v>
      </c>
      <c r="D238" s="23" t="s">
        <v>977</v>
      </c>
      <c r="E238" s="23" t="s">
        <v>978</v>
      </c>
      <c r="F238" s="24">
        <v>45741</v>
      </c>
      <c r="G238" s="24">
        <v>46226</v>
      </c>
      <c r="H238" s="24">
        <v>48385</v>
      </c>
      <c r="I238" s="25">
        <v>66.292198181152344</v>
      </c>
      <c r="J238" s="25">
        <v>57.778999328613281</v>
      </c>
      <c r="K238" s="25">
        <v>70.95</v>
      </c>
      <c r="L238" s="25">
        <v>78.045000000000002</v>
      </c>
      <c r="M238" s="26">
        <v>334</v>
      </c>
      <c r="N238" s="27">
        <v>-4.6578018188476591</v>
      </c>
      <c r="O238" s="28">
        <v>-46.320398376464837</v>
      </c>
      <c r="P238" s="28">
        <v>-2.120699676513667</v>
      </c>
      <c r="Q238" s="28">
        <v>-18.620641278660941</v>
      </c>
      <c r="R238" s="29">
        <v>94.25991077550762</v>
      </c>
      <c r="S238" s="28">
        <v>-13.17100067138672</v>
      </c>
      <c r="T238" s="28">
        <v>-52.119001434326172</v>
      </c>
      <c r="U238" s="28">
        <v>-10.831900390624989</v>
      </c>
      <c r="V238" s="28">
        <v>-25.774526052143759</v>
      </c>
      <c r="W238" s="30">
        <v>94.334549480028016</v>
      </c>
      <c r="X238" s="16" t="str">
        <f>IFERROR(_xll.BDP(E238&amp;" Corp","LAST_PRICE"),"--")</f>
        <v>#N/A Requesting Data...</v>
      </c>
      <c r="Y238" s="17" t="str">
        <f>IFERROR(_xll.BDP(E238&amp;" Corp","YAS_BENCHMARK_BOND_ISIN"),"--")</f>
        <v>#N/A Requesting Data...</v>
      </c>
      <c r="Z238" s="18" t="str">
        <f>IFERROR(_xll.BDP(Y238&amp;" CORP","LAST_PRICE"),"--")</f>
        <v>#N/A Requesting Data... CORP</v>
      </c>
      <c r="AA238" s="19" t="str">
        <f>IFERROR(_xll.BDP(E238&amp;" Corp","YAS_YLD_SPREAD","YAS_BOND_PX="&amp;X238,"YAS_BNCHMRK_BOND_PX="&amp;Z238),"--")</f>
        <v>#N/A Requesting Data...</v>
      </c>
      <c r="AB238" s="19" t="str">
        <f>IFERROR(_xll.BDP(E238&amp;" Corp","BLOOMBERG_MID_G_SPREAD","YAS_BOND_PX="&amp;X238,"YAS_BNCHMRK_BOND_PX="&amp;Z238),"--")</f>
        <v>#N/A Requesting Data...</v>
      </c>
      <c r="AC238" s="19" t="str">
        <f>IFERROR(_xll.BDP(D238,"LAST_PRICE"),"--")</f>
        <v>#N/A Requesting Data...</v>
      </c>
      <c r="AD238" s="20"/>
      <c r="AE238" s="19" t="str">
        <f t="shared" si="12"/>
        <v>#N/A Requesting Data...</v>
      </c>
      <c r="AF238" s="19" t="str">
        <f t="shared" si="13"/>
        <v>--</v>
      </c>
      <c r="AG238" s="21" t="str">
        <f t="shared" si="14"/>
        <v>--</v>
      </c>
      <c r="AH238" s="19" t="str">
        <f t="shared" si="15"/>
        <v>--</v>
      </c>
    </row>
    <row r="239" spans="1:34" x14ac:dyDescent="0.45">
      <c r="A239" s="7" t="s">
        <v>979</v>
      </c>
      <c r="B239" s="8" t="s">
        <v>523</v>
      </c>
      <c r="C239" s="7" t="s">
        <v>980</v>
      </c>
      <c r="D239" s="8" t="s">
        <v>981</v>
      </c>
      <c r="E239" s="8" t="s">
        <v>982</v>
      </c>
      <c r="F239" s="9">
        <v>45814</v>
      </c>
      <c r="G239" s="9">
        <v>46226</v>
      </c>
      <c r="H239" s="9">
        <v>49480</v>
      </c>
      <c r="I239" s="10">
        <v>121.5721969604492</v>
      </c>
      <c r="J239" s="10">
        <v>76.070999145507813</v>
      </c>
      <c r="K239" s="10">
        <v>99.677999999999997</v>
      </c>
      <c r="L239" s="10">
        <v>97.253</v>
      </c>
      <c r="M239" s="11">
        <v>283</v>
      </c>
      <c r="N239" s="12">
        <v>21.894196960449221</v>
      </c>
      <c r="O239" s="13">
        <v>0.65659906005859625</v>
      </c>
      <c r="P239" s="13">
        <v>44.550897705078128</v>
      </c>
      <c r="Q239" s="13">
        <v>23.94201118366794</v>
      </c>
      <c r="R239" s="14">
        <v>48.383499807441048</v>
      </c>
      <c r="S239" s="13">
        <v>-23.607000854492181</v>
      </c>
      <c r="T239" s="13">
        <v>-32.690302368164069</v>
      </c>
      <c r="U239" s="13">
        <v>2.216203796386722</v>
      </c>
      <c r="V239" s="13">
        <v>-15.39340058904317</v>
      </c>
      <c r="W239" s="15">
        <v>26.021800838081031</v>
      </c>
      <c r="X239" s="16" t="str">
        <f>IFERROR(_xll.BDP(E239&amp;" Corp","LAST_PRICE"),"--")</f>
        <v>#N/A Requesting Data...</v>
      </c>
      <c r="Y239" s="17" t="str">
        <f>IFERROR(_xll.BDP(E239&amp;" Corp","YAS_BENCHMARK_BOND_ISIN"),"--")</f>
        <v>#N/A Requesting Data...</v>
      </c>
      <c r="Z239" s="18" t="str">
        <f>IFERROR(_xll.BDP(Y239&amp;" CORP","LAST_PRICE"),"--")</f>
        <v>#N/A Requesting Data... CORP</v>
      </c>
      <c r="AA239" s="19" t="str">
        <f>IFERROR(_xll.BDP(E239&amp;" Corp","YAS_YLD_SPREAD","YAS_BOND_PX="&amp;X239,"YAS_BNCHMRK_BOND_PX="&amp;Z239),"--")</f>
        <v>#N/A Requesting Data...</v>
      </c>
      <c r="AB239" s="19" t="str">
        <f>IFERROR(_xll.BDP(E239&amp;" Corp","BLOOMBERG_MID_G_SPREAD","YAS_BOND_PX="&amp;X239,"YAS_BNCHMRK_BOND_PX="&amp;Z239),"--")</f>
        <v>#N/A Requesting Data...</v>
      </c>
      <c r="AC239" s="19" t="str">
        <f>IFERROR(_xll.BDP(D239,"LAST_PRICE"),"--")</f>
        <v>#N/A Requesting Data...</v>
      </c>
      <c r="AD239" s="20"/>
      <c r="AE239" s="19" t="str">
        <f t="shared" si="12"/>
        <v>#N/A Requesting Data...</v>
      </c>
      <c r="AF239" s="19" t="str">
        <f t="shared" si="13"/>
        <v>--</v>
      </c>
      <c r="AG239" s="21" t="str">
        <f t="shared" si="14"/>
        <v>--</v>
      </c>
      <c r="AH239" s="19" t="str">
        <f t="shared" si="15"/>
        <v>--</v>
      </c>
    </row>
    <row r="240" spans="1:34" x14ac:dyDescent="0.45">
      <c r="A240" s="22" t="s">
        <v>983</v>
      </c>
      <c r="B240" s="23" t="s">
        <v>523</v>
      </c>
      <c r="C240" s="22" t="s">
        <v>984</v>
      </c>
      <c r="D240" s="23" t="s">
        <v>985</v>
      </c>
      <c r="E240" s="23" t="s">
        <v>986</v>
      </c>
      <c r="F240" s="24">
        <v>45659</v>
      </c>
      <c r="G240" s="24">
        <v>46226</v>
      </c>
      <c r="H240" s="24">
        <v>49115</v>
      </c>
      <c r="I240" s="25">
        <v>68.714302062988281</v>
      </c>
      <c r="J240" s="25">
        <v>43.019500732421882</v>
      </c>
      <c r="K240" s="25">
        <v>80.965999999999994</v>
      </c>
      <c r="L240" s="25">
        <v>72.536000000000001</v>
      </c>
      <c r="M240" s="26">
        <v>390</v>
      </c>
      <c r="N240" s="27">
        <v>-12.251697937011709</v>
      </c>
      <c r="O240" s="28">
        <v>-65.247400390624989</v>
      </c>
      <c r="P240" s="28">
        <v>-5.0757998046875059</v>
      </c>
      <c r="Q240" s="28">
        <v>-19.75429674103566</v>
      </c>
      <c r="R240" s="29">
        <v>88.074277462379385</v>
      </c>
      <c r="S240" s="28">
        <v>-37.946499267578119</v>
      </c>
      <c r="T240" s="28">
        <v>-86.200296508789052</v>
      </c>
      <c r="U240" s="28">
        <v>-28.69830181884765</v>
      </c>
      <c r="V240" s="28">
        <v>-42.5527143557035</v>
      </c>
      <c r="W240" s="30">
        <v>83.916736282631575</v>
      </c>
      <c r="X240" s="16" t="str">
        <f>IFERROR(_xll.BDP(E240&amp;" Corp","LAST_PRICE"),"--")</f>
        <v>#N/A Requesting Data...</v>
      </c>
      <c r="Y240" s="17" t="str">
        <f>IFERROR(_xll.BDP(E240&amp;" Corp","YAS_BENCHMARK_BOND_ISIN"),"--")</f>
        <v>#N/A Requesting Data...</v>
      </c>
      <c r="Z240" s="18" t="str">
        <f>IFERROR(_xll.BDP(Y240&amp;" CORP","LAST_PRICE"),"--")</f>
        <v>#N/A Requesting Data... CORP</v>
      </c>
      <c r="AA240" s="19" t="str">
        <f>IFERROR(_xll.BDP(E240&amp;" Corp","YAS_YLD_SPREAD","YAS_BOND_PX="&amp;X240,"YAS_BNCHMRK_BOND_PX="&amp;Z240),"--")</f>
        <v>#N/A Requesting Data...</v>
      </c>
      <c r="AB240" s="19" t="str">
        <f>IFERROR(_xll.BDP(E240&amp;" Corp","BLOOMBERG_MID_G_SPREAD","YAS_BOND_PX="&amp;X240,"YAS_BNCHMRK_BOND_PX="&amp;Z240),"--")</f>
        <v>#N/A Requesting Data...</v>
      </c>
      <c r="AC240" s="19" t="str">
        <f>IFERROR(_xll.BDP(D240,"LAST_PRICE"),"--")</f>
        <v>#N/A Requesting Data...</v>
      </c>
      <c r="AD240" s="20"/>
      <c r="AE240" s="19" t="str">
        <f t="shared" si="12"/>
        <v>#N/A Requesting Data...</v>
      </c>
      <c r="AF240" s="19" t="str">
        <f t="shared" si="13"/>
        <v>--</v>
      </c>
      <c r="AG240" s="21" t="str">
        <f t="shared" si="14"/>
        <v>--</v>
      </c>
      <c r="AH240" s="19" t="str">
        <f t="shared" si="15"/>
        <v>--</v>
      </c>
    </row>
    <row r="241" spans="1:34" x14ac:dyDescent="0.45">
      <c r="A241" s="7" t="s">
        <v>987</v>
      </c>
      <c r="B241" s="8" t="s">
        <v>523</v>
      </c>
      <c r="C241" s="7" t="s">
        <v>988</v>
      </c>
      <c r="D241" s="8" t="s">
        <v>989</v>
      </c>
      <c r="E241" s="8" t="s">
        <v>990</v>
      </c>
      <c r="F241" s="9">
        <v>45659</v>
      </c>
      <c r="G241" s="9">
        <v>46226</v>
      </c>
      <c r="H241" s="9">
        <v>49115</v>
      </c>
      <c r="I241" s="10">
        <v>64.54229736328125</v>
      </c>
      <c r="J241" s="10">
        <v>43.052600860595703</v>
      </c>
      <c r="K241" s="10">
        <v>86.19</v>
      </c>
      <c r="L241" s="10">
        <v>77.203000000000003</v>
      </c>
      <c r="M241" s="11">
        <v>390</v>
      </c>
      <c r="N241" s="12">
        <v>-21.647702636718751</v>
      </c>
      <c r="O241" s="13">
        <v>-53.952896606445307</v>
      </c>
      <c r="P241" s="13">
        <v>-12.37399810791015</v>
      </c>
      <c r="Q241" s="13">
        <v>-26.550825178645201</v>
      </c>
      <c r="R241" s="14">
        <v>77.69612744999651</v>
      </c>
      <c r="S241" s="13">
        <v>-43.137399139404287</v>
      </c>
      <c r="T241" s="13">
        <v>-74.239998352050776</v>
      </c>
      <c r="U241" s="13">
        <v>-33.057501800537111</v>
      </c>
      <c r="V241" s="13">
        <v>-45.651540150725538</v>
      </c>
      <c r="W241" s="15">
        <v>75.523831280460101</v>
      </c>
      <c r="X241" s="16" t="str">
        <f>IFERROR(_xll.BDP(E241&amp;" Corp","LAST_PRICE"),"--")</f>
        <v>#N/A Requesting Data...</v>
      </c>
      <c r="Y241" s="17" t="str">
        <f>IFERROR(_xll.BDP(E241&amp;" Corp","YAS_BENCHMARK_BOND_ISIN"),"--")</f>
        <v>#N/A Requesting Data...</v>
      </c>
      <c r="Z241" s="18" t="str">
        <f>IFERROR(_xll.BDP(Y241&amp;" CORP","LAST_PRICE"),"--")</f>
        <v>#N/A Requesting Data... CORP</v>
      </c>
      <c r="AA241" s="19" t="str">
        <f>IFERROR(_xll.BDP(E241&amp;" Corp","YAS_YLD_SPREAD","YAS_BOND_PX="&amp;X241,"YAS_BNCHMRK_BOND_PX="&amp;Z241),"--")</f>
        <v>#N/A Requesting Data...</v>
      </c>
      <c r="AB241" s="19" t="str">
        <f>IFERROR(_xll.BDP(E241&amp;" Corp","BLOOMBERG_MID_G_SPREAD","YAS_BOND_PX="&amp;X241,"YAS_BNCHMRK_BOND_PX="&amp;Z241),"--")</f>
        <v>#N/A Requesting Data...</v>
      </c>
      <c r="AC241" s="19" t="str">
        <f>IFERROR(_xll.BDP(D241,"LAST_PRICE"),"--")</f>
        <v>#N/A Requesting Data...</v>
      </c>
      <c r="AD241" s="20"/>
      <c r="AE241" s="19" t="str">
        <f t="shared" si="12"/>
        <v>#N/A Requesting Data...</v>
      </c>
      <c r="AF241" s="19" t="str">
        <f t="shared" si="13"/>
        <v>--</v>
      </c>
      <c r="AG241" s="21" t="str">
        <f t="shared" si="14"/>
        <v>--</v>
      </c>
      <c r="AH241" s="19" t="str">
        <f t="shared" si="15"/>
        <v>--</v>
      </c>
    </row>
    <row r="242" spans="1:34" x14ac:dyDescent="0.45">
      <c r="A242" s="22" t="s">
        <v>991</v>
      </c>
      <c r="B242" s="23" t="s">
        <v>523</v>
      </c>
      <c r="C242" s="22" t="s">
        <v>992</v>
      </c>
      <c r="D242" s="23" t="s">
        <v>993</v>
      </c>
      <c r="E242" s="23" t="s">
        <v>994</v>
      </c>
      <c r="F242" s="24">
        <v>45659</v>
      </c>
      <c r="G242" s="24">
        <v>46226</v>
      </c>
      <c r="H242" s="24">
        <v>49298</v>
      </c>
      <c r="I242" s="25">
        <v>69.645698547363281</v>
      </c>
      <c r="J242" s="25">
        <v>49.116798400878913</v>
      </c>
      <c r="K242" s="25">
        <v>67.361999999999995</v>
      </c>
      <c r="L242" s="25">
        <v>60.628</v>
      </c>
      <c r="M242" s="26">
        <v>390</v>
      </c>
      <c r="N242" s="27">
        <v>2.283698547363286</v>
      </c>
      <c r="O242" s="28">
        <v>-26.64170153808594</v>
      </c>
      <c r="P242" s="28">
        <v>10.559599243164071</v>
      </c>
      <c r="Q242" s="28">
        <v>-7.1022559027256102</v>
      </c>
      <c r="R242" s="29">
        <v>77.75373300932543</v>
      </c>
      <c r="S242" s="28">
        <v>-18.245201599121089</v>
      </c>
      <c r="T242" s="28">
        <v>-40.509501342773433</v>
      </c>
      <c r="U242" s="28">
        <v>-10.07109991455078</v>
      </c>
      <c r="V242" s="28">
        <v>-23.28784515020908</v>
      </c>
      <c r="W242" s="30">
        <v>73.145430439749575</v>
      </c>
      <c r="X242" s="16" t="str">
        <f>IFERROR(_xll.BDP(E242&amp;" Corp","LAST_PRICE"),"--")</f>
        <v>#N/A Requesting Data...</v>
      </c>
      <c r="Y242" s="17" t="str">
        <f>IFERROR(_xll.BDP(E242&amp;" Corp","YAS_BENCHMARK_BOND_ISIN"),"--")</f>
        <v>#N/A Requesting Data...</v>
      </c>
      <c r="Z242" s="18" t="str">
        <f>IFERROR(_xll.BDP(Y242&amp;" CORP","LAST_PRICE"),"--")</f>
        <v>#N/A Requesting Data... CORP</v>
      </c>
      <c r="AA242" s="19" t="str">
        <f>IFERROR(_xll.BDP(E242&amp;" Corp","YAS_YLD_SPREAD","YAS_BOND_PX="&amp;X242,"YAS_BNCHMRK_BOND_PX="&amp;Z242),"--")</f>
        <v>#N/A Requesting Data...</v>
      </c>
      <c r="AB242" s="19" t="str">
        <f>IFERROR(_xll.BDP(E242&amp;" Corp","BLOOMBERG_MID_G_SPREAD","YAS_BOND_PX="&amp;X242,"YAS_BNCHMRK_BOND_PX="&amp;Z242),"--")</f>
        <v>#N/A Requesting Data...</v>
      </c>
      <c r="AC242" s="19" t="str">
        <f>IFERROR(_xll.BDP(D242,"LAST_PRICE"),"--")</f>
        <v>#N/A Requesting Data...</v>
      </c>
      <c r="AD242" s="20"/>
      <c r="AE242" s="19" t="str">
        <f t="shared" si="12"/>
        <v>#N/A Requesting Data...</v>
      </c>
      <c r="AF242" s="19" t="str">
        <f t="shared" si="13"/>
        <v>--</v>
      </c>
      <c r="AG242" s="21" t="str">
        <f t="shared" si="14"/>
        <v>--</v>
      </c>
      <c r="AH242" s="19" t="str">
        <f t="shared" si="15"/>
        <v>--</v>
      </c>
    </row>
    <row r="243" spans="1:34" x14ac:dyDescent="0.45">
      <c r="A243" s="7" t="s">
        <v>995</v>
      </c>
      <c r="B243" s="8" t="s">
        <v>523</v>
      </c>
      <c r="C243" s="7" t="s">
        <v>996</v>
      </c>
      <c r="D243" s="8" t="s">
        <v>997</v>
      </c>
      <c r="E243" s="8" t="s">
        <v>998</v>
      </c>
      <c r="F243" s="9">
        <v>45736</v>
      </c>
      <c r="G243" s="9">
        <v>46226</v>
      </c>
      <c r="H243" s="9">
        <v>49480</v>
      </c>
      <c r="I243" s="10">
        <v>35.144401550292969</v>
      </c>
      <c r="J243" s="10">
        <v>19.673299789428711</v>
      </c>
      <c r="K243" s="10">
        <v>51.13</v>
      </c>
      <c r="L243" s="10">
        <v>47.393999999999998</v>
      </c>
      <c r="M243" s="11">
        <v>334</v>
      </c>
      <c r="N243" s="12">
        <v>-15.98559844970703</v>
      </c>
      <c r="O243" s="13">
        <v>-46.323301544189448</v>
      </c>
      <c r="P243" s="13">
        <v>-9.3720013427734372</v>
      </c>
      <c r="Q243" s="13">
        <v>-19.710169409106591</v>
      </c>
      <c r="R243" s="14">
        <v>82.10185549389638</v>
      </c>
      <c r="S243" s="13">
        <v>-31.456700210571292</v>
      </c>
      <c r="T243" s="13">
        <v>-61.539999237060542</v>
      </c>
      <c r="U243" s="13">
        <v>-26.331399368286139</v>
      </c>
      <c r="V243" s="13">
        <v>-35.775525394966593</v>
      </c>
      <c r="W243" s="15">
        <v>85.443042718575541</v>
      </c>
      <c r="X243" s="16" t="str">
        <f>IFERROR(_xll.BDP(E243&amp;" Corp","LAST_PRICE"),"--")</f>
        <v>#N/A Requesting Data...</v>
      </c>
      <c r="Y243" s="17" t="str">
        <f>IFERROR(_xll.BDP(E243&amp;" Corp","YAS_BENCHMARK_BOND_ISIN"),"--")</f>
        <v>#N/A Requesting Data...</v>
      </c>
      <c r="Z243" s="18" t="str">
        <f>IFERROR(_xll.BDP(Y243&amp;" CORP","LAST_PRICE"),"--")</f>
        <v>#N/A Requesting Data... CORP</v>
      </c>
      <c r="AA243" s="19" t="str">
        <f>IFERROR(_xll.BDP(E243&amp;" Corp","YAS_YLD_SPREAD","YAS_BOND_PX="&amp;X243,"YAS_BNCHMRK_BOND_PX="&amp;Z243),"--")</f>
        <v>#N/A Requesting Data...</v>
      </c>
      <c r="AB243" s="19" t="str">
        <f>IFERROR(_xll.BDP(E243&amp;" Corp","BLOOMBERG_MID_G_SPREAD","YAS_BOND_PX="&amp;X243,"YAS_BNCHMRK_BOND_PX="&amp;Z243),"--")</f>
        <v>#N/A Requesting Data...</v>
      </c>
      <c r="AC243" s="19" t="str">
        <f>IFERROR(_xll.BDP(D243,"LAST_PRICE"),"--")</f>
        <v>#N/A Requesting Data...</v>
      </c>
      <c r="AD243" s="20"/>
      <c r="AE243" s="19" t="str">
        <f t="shared" si="12"/>
        <v>#N/A Requesting Data...</v>
      </c>
      <c r="AF243" s="19" t="str">
        <f t="shared" si="13"/>
        <v>--</v>
      </c>
      <c r="AG243" s="21" t="str">
        <f t="shared" si="14"/>
        <v>--</v>
      </c>
      <c r="AH243" s="19" t="str">
        <f t="shared" si="15"/>
        <v>--</v>
      </c>
    </row>
    <row r="244" spans="1:34" x14ac:dyDescent="0.45">
      <c r="A244" s="22" t="s">
        <v>999</v>
      </c>
      <c r="B244" s="23" t="s">
        <v>523</v>
      </c>
      <c r="C244" s="22" t="s">
        <v>1000</v>
      </c>
      <c r="D244" s="23" t="s">
        <v>1001</v>
      </c>
      <c r="E244" s="23" t="s">
        <v>1002</v>
      </c>
      <c r="F244" s="24">
        <v>45659</v>
      </c>
      <c r="G244" s="24">
        <v>46226</v>
      </c>
      <c r="H244" s="24">
        <v>49115</v>
      </c>
      <c r="I244" s="25">
        <v>39.603599548339837</v>
      </c>
      <c r="J244" s="25">
        <v>23.727399826049801</v>
      </c>
      <c r="K244" s="25">
        <v>48.387999999999998</v>
      </c>
      <c r="L244" s="25">
        <v>39.834000000000003</v>
      </c>
      <c r="M244" s="26">
        <v>390</v>
      </c>
      <c r="N244" s="27">
        <v>-8.7844004516601544</v>
      </c>
      <c r="O244" s="28">
        <v>-25.165103759765628</v>
      </c>
      <c r="P244" s="28">
        <v>7.3096013488769529</v>
      </c>
      <c r="Q244" s="28">
        <v>-4.8750740763346361</v>
      </c>
      <c r="R244" s="29">
        <v>50.441422803700952</v>
      </c>
      <c r="S244" s="28">
        <v>-24.66060017395019</v>
      </c>
      <c r="T244" s="28">
        <v>-39.211601104736332</v>
      </c>
      <c r="U244" s="28">
        <v>-7.8446001586914056</v>
      </c>
      <c r="V244" s="28">
        <v>-19.769242582859139</v>
      </c>
      <c r="W244" s="30">
        <v>46.389519214207439</v>
      </c>
      <c r="X244" s="16" t="str">
        <f>IFERROR(_xll.BDP(E244&amp;" Corp","LAST_PRICE"),"--")</f>
        <v>#N/A Requesting Data...</v>
      </c>
      <c r="Y244" s="17" t="str">
        <f>IFERROR(_xll.BDP(E244&amp;" Corp","YAS_BENCHMARK_BOND_ISIN"),"--")</f>
        <v>#N/A Requesting Data...</v>
      </c>
      <c r="Z244" s="18" t="str">
        <f>IFERROR(_xll.BDP(Y244&amp;" CORP","LAST_PRICE"),"--")</f>
        <v>#N/A Requesting Data... CORP</v>
      </c>
      <c r="AA244" s="19" t="str">
        <f>IFERROR(_xll.BDP(E244&amp;" Corp","YAS_YLD_SPREAD","YAS_BOND_PX="&amp;X244,"YAS_BNCHMRK_BOND_PX="&amp;Z244),"--")</f>
        <v>#N/A Requesting Data...</v>
      </c>
      <c r="AB244" s="19" t="str">
        <f>IFERROR(_xll.BDP(E244&amp;" Corp","BLOOMBERG_MID_G_SPREAD","YAS_BOND_PX="&amp;X244,"YAS_BNCHMRK_BOND_PX="&amp;Z244),"--")</f>
        <v>#N/A Requesting Data...</v>
      </c>
      <c r="AC244" s="19" t="str">
        <f>IFERROR(_xll.BDP(D244,"LAST_PRICE"),"--")</f>
        <v>#N/A Requesting Data...</v>
      </c>
      <c r="AD244" s="20"/>
      <c r="AE244" s="19" t="str">
        <f t="shared" si="12"/>
        <v>#N/A Requesting Data...</v>
      </c>
      <c r="AF244" s="19" t="str">
        <f t="shared" si="13"/>
        <v>--</v>
      </c>
      <c r="AG244" s="21" t="str">
        <f t="shared" si="14"/>
        <v>--</v>
      </c>
      <c r="AH244" s="19" t="str">
        <f t="shared" si="15"/>
        <v>--</v>
      </c>
    </row>
    <row r="245" spans="1:34" x14ac:dyDescent="0.45">
      <c r="A245" s="7" t="s">
        <v>1003</v>
      </c>
      <c r="B245" s="8" t="s">
        <v>523</v>
      </c>
      <c r="C245" s="7" t="s">
        <v>1004</v>
      </c>
      <c r="D245" s="8" t="s">
        <v>1005</v>
      </c>
      <c r="E245" s="8" t="s">
        <v>1006</v>
      </c>
      <c r="F245" s="9">
        <v>45693</v>
      </c>
      <c r="G245" s="9">
        <v>46226</v>
      </c>
      <c r="H245" s="9">
        <v>47654</v>
      </c>
      <c r="I245" s="10">
        <v>34.438701629638672</v>
      </c>
      <c r="J245" s="10">
        <v>43.526798248291023</v>
      </c>
      <c r="K245" s="10">
        <v>53.146999999999998</v>
      </c>
      <c r="L245" s="10">
        <v>49.088000000000001</v>
      </c>
      <c r="M245" s="11">
        <v>367</v>
      </c>
      <c r="N245" s="12">
        <v>-18.70829837036133</v>
      </c>
      <c r="O245" s="13">
        <v>-54.333398559570298</v>
      </c>
      <c r="P245" s="13">
        <v>-12.47749972534179</v>
      </c>
      <c r="Q245" s="13">
        <v>-23.953954086927371</v>
      </c>
      <c r="R245" s="14">
        <v>85.113690498687433</v>
      </c>
      <c r="S245" s="13">
        <v>-9.6202017517089828</v>
      </c>
      <c r="T245" s="13">
        <v>-40.437700012207017</v>
      </c>
      <c r="U245" s="13">
        <v>1.707899291992192</v>
      </c>
      <c r="V245" s="13">
        <v>-11.380668687664089</v>
      </c>
      <c r="W245" s="15">
        <v>73.121509171249372</v>
      </c>
      <c r="X245" s="16" t="str">
        <f>IFERROR(_xll.BDP(E245&amp;" Corp","LAST_PRICE"),"--")</f>
        <v>#N/A Requesting Data...</v>
      </c>
      <c r="Y245" s="17" t="str">
        <f>IFERROR(_xll.BDP(E245&amp;" Corp","YAS_BENCHMARK_BOND_ISIN"),"--")</f>
        <v>#N/A Requesting Data...</v>
      </c>
      <c r="Z245" s="18" t="str">
        <f>IFERROR(_xll.BDP(Y245&amp;" CORP","LAST_PRICE"),"--")</f>
        <v>#N/A Requesting Data... CORP</v>
      </c>
      <c r="AA245" s="19" t="str">
        <f>IFERROR(_xll.BDP(E245&amp;" Corp","YAS_YLD_SPREAD","YAS_BOND_PX="&amp;X245,"YAS_BNCHMRK_BOND_PX="&amp;Z245),"--")</f>
        <v>#N/A Requesting Data...</v>
      </c>
      <c r="AB245" s="19" t="str">
        <f>IFERROR(_xll.BDP(E245&amp;" Corp","BLOOMBERG_MID_G_SPREAD","YAS_BOND_PX="&amp;X245,"YAS_BNCHMRK_BOND_PX="&amp;Z245),"--")</f>
        <v>#N/A Requesting Data...</v>
      </c>
      <c r="AC245" s="19" t="str">
        <f>IFERROR(_xll.BDP(D245,"LAST_PRICE"),"--")</f>
        <v>#N/A Requesting Data...</v>
      </c>
      <c r="AD245" s="20"/>
      <c r="AE245" s="19" t="str">
        <f t="shared" si="12"/>
        <v>#N/A Requesting Data...</v>
      </c>
      <c r="AF245" s="19" t="str">
        <f t="shared" si="13"/>
        <v>--</v>
      </c>
      <c r="AG245" s="21" t="str">
        <f t="shared" si="14"/>
        <v>--</v>
      </c>
      <c r="AH245" s="19" t="str">
        <f t="shared" si="15"/>
        <v>--</v>
      </c>
    </row>
    <row r="246" spans="1:34" x14ac:dyDescent="0.45">
      <c r="A246" s="22" t="s">
        <v>1007</v>
      </c>
      <c r="B246" s="23" t="s">
        <v>523</v>
      </c>
      <c r="C246" s="22" t="s">
        <v>1008</v>
      </c>
      <c r="D246" s="23" t="s">
        <v>1009</v>
      </c>
      <c r="E246" s="23" t="s">
        <v>1010</v>
      </c>
      <c r="F246" s="24">
        <v>45659</v>
      </c>
      <c r="G246" s="24">
        <v>46226</v>
      </c>
      <c r="H246" s="24">
        <v>48750</v>
      </c>
      <c r="I246" s="25">
        <v>87.399002075195313</v>
      </c>
      <c r="J246" s="25">
        <v>69.736701965332031</v>
      </c>
      <c r="K246" s="25">
        <v>68.135000000000005</v>
      </c>
      <c r="L246" s="25">
        <v>56.832000000000001</v>
      </c>
      <c r="M246" s="26">
        <v>390</v>
      </c>
      <c r="N246" s="27">
        <v>19.264002075195311</v>
      </c>
      <c r="O246" s="28">
        <v>-2.0940976562500002</v>
      </c>
      <c r="P246" s="28">
        <v>23.736903198242189</v>
      </c>
      <c r="Q246" s="28">
        <v>12.3782111733461</v>
      </c>
      <c r="R246" s="29">
        <v>82.683980585022468</v>
      </c>
      <c r="S246" s="28">
        <v>1.6017019653320259</v>
      </c>
      <c r="T246" s="28">
        <v>-17.06740240478516</v>
      </c>
      <c r="U246" s="28">
        <v>9.2994031982421888</v>
      </c>
      <c r="V246" s="28">
        <v>-3.0344855867826031</v>
      </c>
      <c r="W246" s="30">
        <v>70.805332474456677</v>
      </c>
      <c r="X246" s="16" t="str">
        <f>IFERROR(_xll.BDP(E246&amp;" Corp","LAST_PRICE"),"--")</f>
        <v>#N/A Requesting Data...</v>
      </c>
      <c r="Y246" s="17" t="str">
        <f>IFERROR(_xll.BDP(E246&amp;" Corp","YAS_BENCHMARK_BOND_ISIN"),"--")</f>
        <v>#N/A Requesting Data...</v>
      </c>
      <c r="Z246" s="18" t="str">
        <f>IFERROR(_xll.BDP(Y246&amp;" CORP","LAST_PRICE"),"--")</f>
        <v>#N/A Requesting Data... CORP</v>
      </c>
      <c r="AA246" s="19" t="str">
        <f>IFERROR(_xll.BDP(E246&amp;" Corp","YAS_YLD_SPREAD","YAS_BOND_PX="&amp;X246,"YAS_BNCHMRK_BOND_PX="&amp;Z246),"--")</f>
        <v>#N/A Requesting Data...</v>
      </c>
      <c r="AB246" s="19" t="str">
        <f>IFERROR(_xll.BDP(E246&amp;" Corp","BLOOMBERG_MID_G_SPREAD","YAS_BOND_PX="&amp;X246,"YAS_BNCHMRK_BOND_PX="&amp;Z246),"--")</f>
        <v>#N/A Requesting Data...</v>
      </c>
      <c r="AC246" s="19" t="str">
        <f>IFERROR(_xll.BDP(D246,"LAST_PRICE"),"--")</f>
        <v>#N/A Requesting Data...</v>
      </c>
      <c r="AD246" s="20"/>
      <c r="AE246" s="19" t="str">
        <f t="shared" si="12"/>
        <v>#N/A Requesting Data...</v>
      </c>
      <c r="AF246" s="19" t="str">
        <f t="shared" si="13"/>
        <v>--</v>
      </c>
      <c r="AG246" s="21" t="str">
        <f t="shared" si="14"/>
        <v>--</v>
      </c>
      <c r="AH246" s="19" t="str">
        <f t="shared" si="15"/>
        <v>--</v>
      </c>
    </row>
    <row r="247" spans="1:34" x14ac:dyDescent="0.45">
      <c r="A247" s="7" t="s">
        <v>1011</v>
      </c>
      <c r="B247" s="8" t="s">
        <v>523</v>
      </c>
      <c r="C247" s="7" t="s">
        <v>1012</v>
      </c>
      <c r="D247" s="8" t="s">
        <v>1013</v>
      </c>
      <c r="E247" s="8" t="s">
        <v>1014</v>
      </c>
      <c r="F247" s="9">
        <v>45659</v>
      </c>
      <c r="G247" s="9">
        <v>46226</v>
      </c>
      <c r="H247" s="9">
        <v>48568</v>
      </c>
      <c r="I247" s="10">
        <v>68.574798583984375</v>
      </c>
      <c r="J247" s="10">
        <v>51.350101470947273</v>
      </c>
      <c r="K247" s="10">
        <v>67.472999999999999</v>
      </c>
      <c r="L247" s="10">
        <v>74.272999999999996</v>
      </c>
      <c r="M247" s="11">
        <v>390</v>
      </c>
      <c r="N247" s="12">
        <v>1.101798583984376</v>
      </c>
      <c r="O247" s="13">
        <v>-31.70599664306641</v>
      </c>
      <c r="P247" s="13">
        <v>9.0801030273437533</v>
      </c>
      <c r="Q247" s="13">
        <v>-6.6827900094839237</v>
      </c>
      <c r="R247" s="14">
        <v>80.438667811260359</v>
      </c>
      <c r="S247" s="13">
        <v>-16.12289852905273</v>
      </c>
      <c r="T247" s="13">
        <v>-46.15220178222657</v>
      </c>
      <c r="U247" s="13">
        <v>-8.3813990478515592</v>
      </c>
      <c r="V247" s="13">
        <v>-21.696930896622099</v>
      </c>
      <c r="W247" s="15">
        <v>79.504011244760548</v>
      </c>
      <c r="X247" s="16" t="str">
        <f>IFERROR(_xll.BDP(E247&amp;" Corp","LAST_PRICE"),"--")</f>
        <v>#N/A Requesting Data...</v>
      </c>
      <c r="Y247" s="17" t="str">
        <f>IFERROR(_xll.BDP(E247&amp;" Corp","YAS_BENCHMARK_BOND_ISIN"),"--")</f>
        <v>#N/A Requesting Data...</v>
      </c>
      <c r="Z247" s="18" t="str">
        <f>IFERROR(_xll.BDP(Y247&amp;" CORP","LAST_PRICE"),"--")</f>
        <v>#N/A Requesting Data... CORP</v>
      </c>
      <c r="AA247" s="19" t="str">
        <f>IFERROR(_xll.BDP(E247&amp;" Corp","YAS_YLD_SPREAD","YAS_BOND_PX="&amp;X247,"YAS_BNCHMRK_BOND_PX="&amp;Z247),"--")</f>
        <v>#N/A Requesting Data...</v>
      </c>
      <c r="AB247" s="19" t="str">
        <f>IFERROR(_xll.BDP(E247&amp;" Corp","BLOOMBERG_MID_G_SPREAD","YAS_BOND_PX="&amp;X247,"YAS_BNCHMRK_BOND_PX="&amp;Z247),"--")</f>
        <v>#N/A Requesting Data...</v>
      </c>
      <c r="AC247" s="19" t="str">
        <f>IFERROR(_xll.BDP(D247,"LAST_PRICE"),"--")</f>
        <v>#N/A Requesting Data...</v>
      </c>
      <c r="AD247" s="20"/>
      <c r="AE247" s="19" t="str">
        <f t="shared" si="12"/>
        <v>#N/A Requesting Data...</v>
      </c>
      <c r="AF247" s="19" t="str">
        <f t="shared" si="13"/>
        <v>--</v>
      </c>
      <c r="AG247" s="21" t="str">
        <f t="shared" si="14"/>
        <v>--</v>
      </c>
      <c r="AH247" s="19" t="str">
        <f t="shared" si="15"/>
        <v>--</v>
      </c>
    </row>
    <row r="248" spans="1:34" x14ac:dyDescent="0.45">
      <c r="A248" s="22" t="s">
        <v>1015</v>
      </c>
      <c r="B248" s="23" t="s">
        <v>523</v>
      </c>
      <c r="C248" s="22" t="s">
        <v>1016</v>
      </c>
      <c r="D248" s="23" t="s">
        <v>1017</v>
      </c>
      <c r="E248" s="23" t="s">
        <v>1018</v>
      </c>
      <c r="F248" s="24">
        <v>45659</v>
      </c>
      <c r="G248" s="24">
        <v>46226</v>
      </c>
      <c r="H248" s="24">
        <v>48750</v>
      </c>
      <c r="I248" s="25">
        <v>30.61039924621582</v>
      </c>
      <c r="J248" s="25">
        <v>22.6781005859375</v>
      </c>
      <c r="K248" s="25">
        <v>25.266999999999999</v>
      </c>
      <c r="L248" s="25">
        <v>12.154</v>
      </c>
      <c r="M248" s="26">
        <v>388</v>
      </c>
      <c r="N248" s="27">
        <v>5.3433992462158209</v>
      </c>
      <c r="O248" s="28">
        <v>-11.127699218749999</v>
      </c>
      <c r="P248" s="28">
        <v>23.105600982666019</v>
      </c>
      <c r="Q248" s="28">
        <v>10.15056032220113</v>
      </c>
      <c r="R248" s="29">
        <v>48.114258245789927</v>
      </c>
      <c r="S248" s="28">
        <v>-2.588899414062499</v>
      </c>
      <c r="T248" s="28">
        <v>-19.62230142211914</v>
      </c>
      <c r="U248" s="28">
        <v>14.88280055236816</v>
      </c>
      <c r="V248" s="28">
        <v>2.4560750695644278</v>
      </c>
      <c r="W248" s="30">
        <v>49.364879491302347</v>
      </c>
      <c r="X248" s="16" t="str">
        <f>IFERROR(_xll.BDP(E248&amp;" Corp","LAST_PRICE"),"--")</f>
        <v>#N/A Requesting Data...</v>
      </c>
      <c r="Y248" s="17" t="str">
        <f>IFERROR(_xll.BDP(E248&amp;" Corp","YAS_BENCHMARK_BOND_ISIN"),"--")</f>
        <v>#N/A Requesting Data...</v>
      </c>
      <c r="Z248" s="18" t="str">
        <f>IFERROR(_xll.BDP(Y248&amp;" CORP","LAST_PRICE"),"--")</f>
        <v>#N/A Requesting Data... CORP</v>
      </c>
      <c r="AA248" s="19" t="str">
        <f>IFERROR(_xll.BDP(E248&amp;" Corp","YAS_YLD_SPREAD","YAS_BOND_PX="&amp;X248,"YAS_BNCHMRK_BOND_PX="&amp;Z248),"--")</f>
        <v>#N/A Requesting Data...</v>
      </c>
      <c r="AB248" s="19" t="str">
        <f>IFERROR(_xll.BDP(E248&amp;" Corp","BLOOMBERG_MID_G_SPREAD","YAS_BOND_PX="&amp;X248,"YAS_BNCHMRK_BOND_PX="&amp;Z248),"--")</f>
        <v>#N/A Requesting Data...</v>
      </c>
      <c r="AC248" s="19" t="str">
        <f>IFERROR(_xll.BDP(D248,"LAST_PRICE"),"--")</f>
        <v>#N/A Requesting Data...</v>
      </c>
      <c r="AD248" s="20"/>
      <c r="AE248" s="19" t="str">
        <f t="shared" si="12"/>
        <v>#N/A Requesting Data...</v>
      </c>
      <c r="AF248" s="19" t="str">
        <f t="shared" si="13"/>
        <v>--</v>
      </c>
      <c r="AG248" s="21" t="str">
        <f t="shared" si="14"/>
        <v>--</v>
      </c>
      <c r="AH248" s="19" t="str">
        <f t="shared" si="15"/>
        <v>--</v>
      </c>
    </row>
    <row r="249" spans="1:34" x14ac:dyDescent="0.45">
      <c r="A249" s="7" t="s">
        <v>1019</v>
      </c>
      <c r="B249" s="8" t="s">
        <v>523</v>
      </c>
      <c r="C249" s="7" t="s">
        <v>1020</v>
      </c>
      <c r="D249" s="8" t="s">
        <v>1021</v>
      </c>
      <c r="E249" s="8" t="s">
        <v>1022</v>
      </c>
      <c r="F249" s="9">
        <v>45659</v>
      </c>
      <c r="G249" s="9">
        <v>46226</v>
      </c>
      <c r="H249" s="9">
        <v>48750</v>
      </c>
      <c r="I249" s="10">
        <v>38.888801574707031</v>
      </c>
      <c r="J249" s="10">
        <v>26.6875</v>
      </c>
      <c r="K249" s="10">
        <v>77.942999999999998</v>
      </c>
      <c r="L249" s="10">
        <v>64.831000000000003</v>
      </c>
      <c r="M249" s="11">
        <v>390</v>
      </c>
      <c r="N249" s="12">
        <v>-39.054198425292967</v>
      </c>
      <c r="O249" s="13">
        <v>-79.018998107910164</v>
      </c>
      <c r="P249" s="13">
        <v>13.39109994506836</v>
      </c>
      <c r="Q249" s="13">
        <v>-42.7238348451272</v>
      </c>
      <c r="R249" s="14">
        <v>43.247221380184513</v>
      </c>
      <c r="S249" s="13">
        <v>-51.255499999999998</v>
      </c>
      <c r="T249" s="13">
        <v>-89.989499053955086</v>
      </c>
      <c r="U249" s="13">
        <v>1.2961006317138659</v>
      </c>
      <c r="V249" s="13">
        <v>-53.49020356926551</v>
      </c>
      <c r="W249" s="15">
        <v>42.431664125920172</v>
      </c>
      <c r="X249" s="16" t="str">
        <f>IFERROR(_xll.BDP(E249&amp;" Corp","LAST_PRICE"),"--")</f>
        <v>#N/A Requesting Data...</v>
      </c>
      <c r="Y249" s="17" t="str">
        <f>IFERROR(_xll.BDP(E249&amp;" Corp","YAS_BENCHMARK_BOND_ISIN"),"--")</f>
        <v>#N/A Requesting Data...</v>
      </c>
      <c r="Z249" s="18" t="str">
        <f>IFERROR(_xll.BDP(Y249&amp;" CORP","LAST_PRICE"),"--")</f>
        <v>#N/A Requesting Data... CORP</v>
      </c>
      <c r="AA249" s="19" t="str">
        <f>IFERROR(_xll.BDP(E249&amp;" Corp","YAS_YLD_SPREAD","YAS_BOND_PX="&amp;X249,"YAS_BNCHMRK_BOND_PX="&amp;Z249),"--")</f>
        <v>#N/A Requesting Data...</v>
      </c>
      <c r="AB249" s="19" t="str">
        <f>IFERROR(_xll.BDP(E249&amp;" Corp","BLOOMBERG_MID_G_SPREAD","YAS_BOND_PX="&amp;X249,"YAS_BNCHMRK_BOND_PX="&amp;Z249),"--")</f>
        <v>#N/A Requesting Data...</v>
      </c>
      <c r="AC249" s="19" t="str">
        <f>IFERROR(_xll.BDP(D249,"LAST_PRICE"),"--")</f>
        <v>#N/A Requesting Data...</v>
      </c>
      <c r="AD249" s="20"/>
      <c r="AE249" s="19" t="str">
        <f t="shared" si="12"/>
        <v>#N/A Requesting Data...</v>
      </c>
      <c r="AF249" s="19" t="str">
        <f t="shared" si="13"/>
        <v>--</v>
      </c>
      <c r="AG249" s="21" t="str">
        <f t="shared" si="14"/>
        <v>--</v>
      </c>
      <c r="AH249" s="19" t="str">
        <f t="shared" si="15"/>
        <v>--</v>
      </c>
    </row>
    <row r="250" spans="1:34" x14ac:dyDescent="0.45">
      <c r="A250" s="22" t="s">
        <v>1023</v>
      </c>
      <c r="B250" s="23" t="s">
        <v>1024</v>
      </c>
      <c r="C250" s="22" t="s">
        <v>1025</v>
      </c>
      <c r="D250" s="23" t="s">
        <v>1026</v>
      </c>
      <c r="E250" s="23" t="s">
        <v>1027</v>
      </c>
      <c r="F250" s="24">
        <v>45659</v>
      </c>
      <c r="G250" s="24">
        <v>46226</v>
      </c>
      <c r="H250" s="24">
        <v>48385</v>
      </c>
      <c r="I250" s="25">
        <v>21.987100601196289</v>
      </c>
      <c r="J250" s="25">
        <v>17.26609992980957</v>
      </c>
      <c r="K250" s="25">
        <v>15.308999999999999</v>
      </c>
      <c r="L250" s="25">
        <v>21.231000000000002</v>
      </c>
      <c r="M250" s="26">
        <v>389</v>
      </c>
      <c r="N250" s="27">
        <v>6.6781006011962898</v>
      </c>
      <c r="O250" s="28">
        <v>-39.548400543212892</v>
      </c>
      <c r="P250" s="28">
        <v>13.91359931945801</v>
      </c>
      <c r="Q250" s="28">
        <v>-3.141113650049832</v>
      </c>
      <c r="R250" s="29">
        <v>86.466090425259594</v>
      </c>
      <c r="S250" s="28">
        <v>1.957099929809571</v>
      </c>
      <c r="T250" s="28">
        <v>-42.181600234985353</v>
      </c>
      <c r="U250" s="28">
        <v>9.07</v>
      </c>
      <c r="V250" s="28">
        <v>-6.7688810265369916</v>
      </c>
      <c r="W250" s="30">
        <v>86.121603935139134</v>
      </c>
      <c r="X250" s="16" t="str">
        <f>IFERROR(_xll.BDP(E250&amp;" Corp","LAST_PRICE"),"--")</f>
        <v>#N/A Requesting Data...</v>
      </c>
      <c r="Y250" s="17" t="str">
        <f>IFERROR(_xll.BDP(E250&amp;" Corp","YAS_BENCHMARK_BOND_ISIN"),"--")</f>
        <v>#N/A Requesting Data...</v>
      </c>
      <c r="Z250" s="18" t="str">
        <f>IFERROR(_xll.BDP(Y250&amp;" CORP","LAST_PRICE"),"--")</f>
        <v>#N/A Requesting Data... CORP</v>
      </c>
      <c r="AA250" s="19" t="str">
        <f>IFERROR(_xll.BDP(E250&amp;" Corp","YAS_YLD_SPREAD","YAS_BOND_PX="&amp;X250,"YAS_BNCHMRK_BOND_PX="&amp;Z250),"--")</f>
        <v>#N/A Requesting Data...</v>
      </c>
      <c r="AB250" s="19" t="str">
        <f>IFERROR(_xll.BDP(E250&amp;" Corp","BLOOMBERG_MID_G_SPREAD","YAS_BOND_PX="&amp;X250,"YAS_BNCHMRK_BOND_PX="&amp;Z250),"--")</f>
        <v>#N/A Requesting Data...</v>
      </c>
      <c r="AC250" s="19" t="str">
        <f>IFERROR(_xll.BDP(D250,"LAST_PRICE"),"--")</f>
        <v>#N/A Requesting Data...</v>
      </c>
      <c r="AD250" s="20"/>
      <c r="AE250" s="19" t="str">
        <f t="shared" si="12"/>
        <v>#N/A Requesting Data...</v>
      </c>
      <c r="AF250" s="19" t="str">
        <f t="shared" si="13"/>
        <v>--</v>
      </c>
      <c r="AG250" s="21" t="str">
        <f t="shared" si="14"/>
        <v>--</v>
      </c>
      <c r="AH250" s="19" t="str">
        <f t="shared" si="15"/>
        <v>--</v>
      </c>
    </row>
    <row r="251" spans="1:34" x14ac:dyDescent="0.45">
      <c r="A251" s="7" t="s">
        <v>1028</v>
      </c>
      <c r="B251" s="8" t="s">
        <v>1024</v>
      </c>
      <c r="C251" s="7" t="s">
        <v>1029</v>
      </c>
      <c r="D251" s="8" t="s">
        <v>1030</v>
      </c>
      <c r="E251" s="8" t="s">
        <v>1031</v>
      </c>
      <c r="F251" s="9">
        <v>45659</v>
      </c>
      <c r="G251" s="9">
        <v>46226</v>
      </c>
      <c r="H251" s="9">
        <v>48202</v>
      </c>
      <c r="I251" s="10">
        <v>35.713699340820313</v>
      </c>
      <c r="J251" s="10">
        <v>29.183200836181641</v>
      </c>
      <c r="K251" s="10">
        <v>57.792000000000002</v>
      </c>
      <c r="L251" s="10">
        <v>59.072000000000003</v>
      </c>
      <c r="M251" s="11">
        <v>387</v>
      </c>
      <c r="N251" s="12">
        <v>-22.078300659179689</v>
      </c>
      <c r="O251" s="13">
        <v>-50.368396362304694</v>
      </c>
      <c r="P251" s="13">
        <v>6.1847018432617196</v>
      </c>
      <c r="Q251" s="13">
        <v>-13.48938622431792</v>
      </c>
      <c r="R251" s="14">
        <v>50.023953772245257</v>
      </c>
      <c r="S251" s="13">
        <v>-28.608799163818361</v>
      </c>
      <c r="T251" s="13">
        <v>-54.131198486328131</v>
      </c>
      <c r="U251" s="13">
        <v>1.906000061035158</v>
      </c>
      <c r="V251" s="13">
        <v>-18.508269981206851</v>
      </c>
      <c r="W251" s="15">
        <v>45.545459059552989</v>
      </c>
      <c r="X251" s="16" t="str">
        <f>IFERROR(_xll.BDP(E251&amp;" Corp","LAST_PRICE"),"--")</f>
        <v>#N/A Requesting Data...</v>
      </c>
      <c r="Y251" s="17" t="str">
        <f>IFERROR(_xll.BDP(E251&amp;" Corp","YAS_BENCHMARK_BOND_ISIN"),"--")</f>
        <v>#N/A Requesting Data...</v>
      </c>
      <c r="Z251" s="18" t="str">
        <f>IFERROR(_xll.BDP(Y251&amp;" CORP","LAST_PRICE"),"--")</f>
        <v>#N/A Requesting Data... CORP</v>
      </c>
      <c r="AA251" s="19" t="str">
        <f>IFERROR(_xll.BDP(E251&amp;" Corp","YAS_YLD_SPREAD","YAS_BOND_PX="&amp;X251,"YAS_BNCHMRK_BOND_PX="&amp;Z251),"--")</f>
        <v>#N/A Requesting Data...</v>
      </c>
      <c r="AB251" s="19" t="str">
        <f>IFERROR(_xll.BDP(E251&amp;" Corp","BLOOMBERG_MID_G_SPREAD","YAS_BOND_PX="&amp;X251,"YAS_BNCHMRK_BOND_PX="&amp;Z251),"--")</f>
        <v>#N/A Requesting Data...</v>
      </c>
      <c r="AC251" s="19" t="str">
        <f>IFERROR(_xll.BDP(D251,"LAST_PRICE"),"--")</f>
        <v>#N/A Requesting Data...</v>
      </c>
      <c r="AD251" s="20"/>
      <c r="AE251" s="19" t="str">
        <f t="shared" si="12"/>
        <v>#N/A Requesting Data...</v>
      </c>
      <c r="AF251" s="19" t="str">
        <f t="shared" si="13"/>
        <v>--</v>
      </c>
      <c r="AG251" s="21" t="str">
        <f t="shared" si="14"/>
        <v>--</v>
      </c>
      <c r="AH251" s="19" t="str">
        <f t="shared" si="15"/>
        <v>--</v>
      </c>
    </row>
    <row r="252" spans="1:34" x14ac:dyDescent="0.45">
      <c r="A252" s="22" t="s">
        <v>1032</v>
      </c>
      <c r="B252" s="23" t="s">
        <v>1024</v>
      </c>
      <c r="C252" s="22" t="s">
        <v>1033</v>
      </c>
      <c r="D252" s="23" t="s">
        <v>1034</v>
      </c>
      <c r="E252" s="23" t="s">
        <v>1035</v>
      </c>
      <c r="F252" s="24">
        <v>45659</v>
      </c>
      <c r="G252" s="24">
        <v>46226</v>
      </c>
      <c r="H252" s="24">
        <v>47654</v>
      </c>
      <c r="I252" s="25">
        <v>23.608699798583981</v>
      </c>
      <c r="J252" s="25">
        <v>29.957500457763668</v>
      </c>
      <c r="K252" s="25">
        <v>49.488999999999997</v>
      </c>
      <c r="L252" s="25">
        <v>47.773000000000003</v>
      </c>
      <c r="M252" s="26">
        <v>390</v>
      </c>
      <c r="N252" s="27">
        <v>-25.880300201416009</v>
      </c>
      <c r="O252" s="28">
        <v>-65.63819914245606</v>
      </c>
      <c r="P252" s="28">
        <v>-18.710899810791009</v>
      </c>
      <c r="Q252" s="28">
        <v>-34.274581023778673</v>
      </c>
      <c r="R252" s="29">
        <v>84.722324760361147</v>
      </c>
      <c r="S252" s="28">
        <v>-19.531499542236329</v>
      </c>
      <c r="T252" s="28">
        <v>-56.794699005126958</v>
      </c>
      <c r="U252" s="28">
        <v>-10.979900817871091</v>
      </c>
      <c r="V252" s="28">
        <v>-27.25172780569395</v>
      </c>
      <c r="W252" s="30">
        <v>81.334417998715523</v>
      </c>
      <c r="X252" s="16" t="str">
        <f>IFERROR(_xll.BDP(E252&amp;" Corp","LAST_PRICE"),"--")</f>
        <v>#N/A Requesting Data...</v>
      </c>
      <c r="Y252" s="17" t="str">
        <f>IFERROR(_xll.BDP(E252&amp;" Corp","YAS_BENCHMARK_BOND_ISIN"),"--")</f>
        <v>#N/A Requesting Data...</v>
      </c>
      <c r="Z252" s="18" t="str">
        <f>IFERROR(_xll.BDP(Y252&amp;" CORP","LAST_PRICE"),"--")</f>
        <v>#N/A Requesting Data... CORP</v>
      </c>
      <c r="AA252" s="19" t="str">
        <f>IFERROR(_xll.BDP(E252&amp;" Corp","YAS_YLD_SPREAD","YAS_BOND_PX="&amp;X252,"YAS_BNCHMRK_BOND_PX="&amp;Z252),"--")</f>
        <v>#N/A Requesting Data...</v>
      </c>
      <c r="AB252" s="19" t="str">
        <f>IFERROR(_xll.BDP(E252&amp;" Corp","BLOOMBERG_MID_G_SPREAD","YAS_BOND_PX="&amp;X252,"YAS_BNCHMRK_BOND_PX="&amp;Z252),"--")</f>
        <v>#N/A Requesting Data...</v>
      </c>
      <c r="AC252" s="19" t="str">
        <f>IFERROR(_xll.BDP(D252,"LAST_PRICE"),"--")</f>
        <v>#N/A Requesting Data...</v>
      </c>
      <c r="AD252" s="20"/>
      <c r="AE252" s="19" t="str">
        <f t="shared" si="12"/>
        <v>#N/A Requesting Data...</v>
      </c>
      <c r="AF252" s="19" t="str">
        <f t="shared" si="13"/>
        <v>--</v>
      </c>
      <c r="AG252" s="21" t="str">
        <f t="shared" si="14"/>
        <v>--</v>
      </c>
      <c r="AH252" s="19" t="str">
        <f t="shared" si="15"/>
        <v>--</v>
      </c>
    </row>
    <row r="253" spans="1:34" x14ac:dyDescent="0.45">
      <c r="A253" s="7" t="s">
        <v>1036</v>
      </c>
      <c r="B253" s="8" t="s">
        <v>1024</v>
      </c>
      <c r="C253" s="7" t="s">
        <v>1037</v>
      </c>
      <c r="D253" s="8" t="s">
        <v>1038</v>
      </c>
      <c r="E253" s="8" t="s">
        <v>1039</v>
      </c>
      <c r="F253" s="9">
        <v>45975</v>
      </c>
      <c r="G253" s="9">
        <v>46226</v>
      </c>
      <c r="H253" s="9">
        <v>48019</v>
      </c>
      <c r="I253" s="10">
        <v>92.440399169921875</v>
      </c>
      <c r="J253" s="10">
        <v>92.440399169921875</v>
      </c>
      <c r="K253" s="10">
        <v>127.26300000000001</v>
      </c>
      <c r="L253" s="10">
        <v>127.26600000000001</v>
      </c>
      <c r="M253" s="11">
        <v>173</v>
      </c>
      <c r="N253" s="12">
        <v>-34.82260083007813</v>
      </c>
      <c r="O253" s="13">
        <v>-62.829900390624999</v>
      </c>
      <c r="P253" s="13">
        <v>-27.790698669433599</v>
      </c>
      <c r="Q253" s="13">
        <v>-44.33423861429732</v>
      </c>
      <c r="R253" s="14">
        <v>79.931328868169672</v>
      </c>
      <c r="S253" s="13">
        <v>-34.82260083007813</v>
      </c>
      <c r="T253" s="13">
        <v>-62.829900390624999</v>
      </c>
      <c r="U253" s="13">
        <v>-27.790698669433599</v>
      </c>
      <c r="V253" s="13">
        <v>-44.33423861429732</v>
      </c>
      <c r="W253" s="15">
        <v>79.931328868169672</v>
      </c>
      <c r="X253" s="16" t="str">
        <f>IFERROR(_xll.BDP(E253&amp;" Corp","LAST_PRICE"),"--")</f>
        <v>#N/A Requesting Data...</v>
      </c>
      <c r="Y253" s="17" t="str">
        <f>IFERROR(_xll.BDP(E253&amp;" Corp","YAS_BENCHMARK_BOND_ISIN"),"--")</f>
        <v>#N/A Requesting Data...</v>
      </c>
      <c r="Z253" s="18" t="str">
        <f>IFERROR(_xll.BDP(Y253&amp;" CORP","LAST_PRICE"),"--")</f>
        <v>#N/A Requesting Data... CORP</v>
      </c>
      <c r="AA253" s="19" t="str">
        <f>IFERROR(_xll.BDP(E253&amp;" Corp","YAS_YLD_SPREAD","YAS_BOND_PX="&amp;X253,"YAS_BNCHMRK_BOND_PX="&amp;Z253),"--")</f>
        <v>#N/A Requesting Data...</v>
      </c>
      <c r="AB253" s="19" t="str">
        <f>IFERROR(_xll.BDP(E253&amp;" Corp","BLOOMBERG_MID_G_SPREAD","YAS_BOND_PX="&amp;X253,"YAS_BNCHMRK_BOND_PX="&amp;Z253),"--")</f>
        <v>#N/A Requesting Data...</v>
      </c>
      <c r="AC253" s="19" t="str">
        <f>IFERROR(_xll.BDP(D253,"LAST_PRICE"),"--")</f>
        <v>#N/A Requesting Data...</v>
      </c>
      <c r="AD253" s="20"/>
      <c r="AE253" s="19" t="str">
        <f t="shared" si="12"/>
        <v>#N/A Requesting Data...</v>
      </c>
      <c r="AF253" s="19" t="str">
        <f t="shared" si="13"/>
        <v>--</v>
      </c>
      <c r="AG253" s="21" t="str">
        <f t="shared" si="14"/>
        <v>--</v>
      </c>
      <c r="AH253" s="19" t="str">
        <f t="shared" si="15"/>
        <v>--</v>
      </c>
    </row>
    <row r="254" spans="1:34" x14ac:dyDescent="0.45">
      <c r="A254" s="22" t="s">
        <v>1040</v>
      </c>
      <c r="B254" s="23" t="s">
        <v>1024</v>
      </c>
      <c r="C254" s="22" t="s">
        <v>1041</v>
      </c>
      <c r="D254" s="23" t="s">
        <v>1042</v>
      </c>
      <c r="E254" s="23" t="s">
        <v>1043</v>
      </c>
      <c r="F254" s="24">
        <v>45692</v>
      </c>
      <c r="G254" s="24">
        <v>46226</v>
      </c>
      <c r="H254" s="24">
        <v>47654</v>
      </c>
      <c r="I254" s="25">
        <v>16.930999755859379</v>
      </c>
      <c r="J254" s="25">
        <v>22.066499710083011</v>
      </c>
      <c r="K254" s="25">
        <v>46.722999999999999</v>
      </c>
      <c r="L254" s="25">
        <v>42.890999999999998</v>
      </c>
      <c r="M254" s="26">
        <v>368</v>
      </c>
      <c r="N254" s="27">
        <v>-29.79200024414062</v>
      </c>
      <c r="O254" s="28">
        <v>-60.626000503540041</v>
      </c>
      <c r="P254" s="28">
        <v>-21.70619949340821</v>
      </c>
      <c r="Q254" s="28">
        <v>-33.745922544354983</v>
      </c>
      <c r="R254" s="29">
        <v>79.22445505662408</v>
      </c>
      <c r="S254" s="28">
        <v>-24.656500289916991</v>
      </c>
      <c r="T254" s="28">
        <v>-52.267298797607417</v>
      </c>
      <c r="U254" s="28">
        <v>-13.34490020751953</v>
      </c>
      <c r="V254" s="28">
        <v>-26.926163388903671</v>
      </c>
      <c r="W254" s="30">
        <v>70.93807038583148</v>
      </c>
      <c r="X254" s="16" t="str">
        <f>IFERROR(_xll.BDP(E254&amp;" Corp","LAST_PRICE"),"--")</f>
        <v>#N/A Requesting Data...</v>
      </c>
      <c r="Y254" s="17" t="str">
        <f>IFERROR(_xll.BDP(E254&amp;" Corp","YAS_BENCHMARK_BOND_ISIN"),"--")</f>
        <v>#N/A Requesting Data...</v>
      </c>
      <c r="Z254" s="18" t="str">
        <f>IFERROR(_xll.BDP(Y254&amp;" CORP","LAST_PRICE"),"--")</f>
        <v>#N/A Requesting Data... CORP</v>
      </c>
      <c r="AA254" s="19" t="str">
        <f>IFERROR(_xll.BDP(E254&amp;" Corp","YAS_YLD_SPREAD","YAS_BOND_PX="&amp;X254,"YAS_BNCHMRK_BOND_PX="&amp;Z254),"--")</f>
        <v>#N/A Requesting Data...</v>
      </c>
      <c r="AB254" s="19" t="str">
        <f>IFERROR(_xll.BDP(E254&amp;" Corp","BLOOMBERG_MID_G_SPREAD","YAS_BOND_PX="&amp;X254,"YAS_BNCHMRK_BOND_PX="&amp;Z254),"--")</f>
        <v>#N/A Requesting Data...</v>
      </c>
      <c r="AC254" s="19" t="str">
        <f>IFERROR(_xll.BDP(D254,"LAST_PRICE"),"--")</f>
        <v>#N/A Requesting Data...</v>
      </c>
      <c r="AD254" s="20"/>
      <c r="AE254" s="19" t="str">
        <f t="shared" si="12"/>
        <v>#N/A Requesting Data...</v>
      </c>
      <c r="AF254" s="19" t="str">
        <f t="shared" si="13"/>
        <v>--</v>
      </c>
      <c r="AG254" s="21" t="str">
        <f t="shared" si="14"/>
        <v>--</v>
      </c>
      <c r="AH254" s="19" t="str">
        <f t="shared" si="15"/>
        <v>--</v>
      </c>
    </row>
    <row r="255" spans="1:34" x14ac:dyDescent="0.45">
      <c r="A255" s="7" t="s">
        <v>1044</v>
      </c>
      <c r="B255" s="8" t="s">
        <v>1024</v>
      </c>
      <c r="C255" s="7" t="s">
        <v>1045</v>
      </c>
      <c r="D255" s="8" t="s">
        <v>1046</v>
      </c>
      <c r="E255" s="8" t="s">
        <v>1047</v>
      </c>
      <c r="F255" s="9">
        <v>45659</v>
      </c>
      <c r="G255" s="9">
        <v>46226</v>
      </c>
      <c r="H255" s="9">
        <v>48750</v>
      </c>
      <c r="I255" s="10">
        <v>27.232599258422852</v>
      </c>
      <c r="J255" s="10">
        <v>17.282100677490231</v>
      </c>
      <c r="K255" s="10">
        <v>51.113</v>
      </c>
      <c r="L255" s="10">
        <v>38.463999999999999</v>
      </c>
      <c r="M255" s="11">
        <v>390</v>
      </c>
      <c r="N255" s="12">
        <v>-23.880400741577152</v>
      </c>
      <c r="O255" s="13">
        <v>-64.460200439453132</v>
      </c>
      <c r="P255" s="13">
        <v>-11.03610023498535</v>
      </c>
      <c r="Q255" s="13">
        <v>-28.372001485110559</v>
      </c>
      <c r="R255" s="14">
        <v>75.957853370607367</v>
      </c>
      <c r="S255" s="13">
        <v>-33.830899322509772</v>
      </c>
      <c r="T255" s="13">
        <v>-73.27720178222657</v>
      </c>
      <c r="U255" s="13">
        <v>-19.964099731445319</v>
      </c>
      <c r="V255" s="13">
        <v>-37.323053343865809</v>
      </c>
      <c r="W255" s="15">
        <v>73.989884179209483</v>
      </c>
      <c r="X255" s="16" t="str">
        <f>IFERROR(_xll.BDP(E255&amp;" Corp","LAST_PRICE"),"--")</f>
        <v>#N/A Requesting Data...</v>
      </c>
      <c r="Y255" s="17" t="str">
        <f>IFERROR(_xll.BDP(E255&amp;" Corp","YAS_BENCHMARK_BOND_ISIN"),"--")</f>
        <v>#N/A Requesting Data...</v>
      </c>
      <c r="Z255" s="18" t="str">
        <f>IFERROR(_xll.BDP(Y255&amp;" CORP","LAST_PRICE"),"--")</f>
        <v>#N/A Requesting Data... CORP</v>
      </c>
      <c r="AA255" s="19" t="str">
        <f>IFERROR(_xll.BDP(E255&amp;" Corp","YAS_YLD_SPREAD","YAS_BOND_PX="&amp;X255,"YAS_BNCHMRK_BOND_PX="&amp;Z255),"--")</f>
        <v>#N/A Requesting Data...</v>
      </c>
      <c r="AB255" s="19" t="str">
        <f>IFERROR(_xll.BDP(E255&amp;" Corp","BLOOMBERG_MID_G_SPREAD","YAS_BOND_PX="&amp;X255,"YAS_BNCHMRK_BOND_PX="&amp;Z255),"--")</f>
        <v>#N/A Requesting Data...</v>
      </c>
      <c r="AC255" s="19" t="str">
        <f>IFERROR(_xll.BDP(D255,"LAST_PRICE"),"--")</f>
        <v>#N/A Requesting Data...</v>
      </c>
      <c r="AD255" s="20"/>
      <c r="AE255" s="19" t="str">
        <f t="shared" si="12"/>
        <v>#N/A Requesting Data...</v>
      </c>
      <c r="AF255" s="19" t="str">
        <f t="shared" si="13"/>
        <v>--</v>
      </c>
      <c r="AG255" s="21" t="str">
        <f t="shared" si="14"/>
        <v>--</v>
      </c>
      <c r="AH255" s="19" t="str">
        <f t="shared" si="15"/>
        <v>--</v>
      </c>
    </row>
    <row r="256" spans="1:34" x14ac:dyDescent="0.45">
      <c r="A256" s="22" t="s">
        <v>1048</v>
      </c>
      <c r="B256" s="23" t="s">
        <v>1024</v>
      </c>
      <c r="C256" s="22" t="s">
        <v>1049</v>
      </c>
      <c r="D256" s="23" t="s">
        <v>1050</v>
      </c>
      <c r="E256" s="23" t="s">
        <v>1051</v>
      </c>
      <c r="F256" s="24">
        <v>45659</v>
      </c>
      <c r="G256" s="24">
        <v>46226</v>
      </c>
      <c r="H256" s="24">
        <v>48933</v>
      </c>
      <c r="I256" s="25">
        <v>49.603199005126953</v>
      </c>
      <c r="J256" s="25">
        <v>34.333599090576172</v>
      </c>
      <c r="K256" s="25">
        <v>74.924999999999997</v>
      </c>
      <c r="L256" s="25">
        <v>64.872</v>
      </c>
      <c r="M256" s="26">
        <v>390</v>
      </c>
      <c r="N256" s="27">
        <v>-25.32180099487304</v>
      </c>
      <c r="O256" s="28">
        <v>-76.554701782226559</v>
      </c>
      <c r="P256" s="28">
        <v>-16.23789984130859</v>
      </c>
      <c r="Q256" s="28">
        <v>-39.772114145366963</v>
      </c>
      <c r="R256" s="29">
        <v>84.939683701297042</v>
      </c>
      <c r="S256" s="28">
        <v>-40.591400909423832</v>
      </c>
      <c r="T256" s="28">
        <v>-87.053298583984372</v>
      </c>
      <c r="U256" s="28">
        <v>-31.957401336669921</v>
      </c>
      <c r="V256" s="28">
        <v>-51.841261274914856</v>
      </c>
      <c r="W256" s="30">
        <v>84.329142451392329</v>
      </c>
      <c r="X256" s="16" t="str">
        <f>IFERROR(_xll.BDP(E256&amp;" Corp","LAST_PRICE"),"--")</f>
        <v>#N/A Requesting Data...</v>
      </c>
      <c r="Y256" s="17" t="str">
        <f>IFERROR(_xll.BDP(E256&amp;" Corp","YAS_BENCHMARK_BOND_ISIN"),"--")</f>
        <v>#N/A Requesting Data...</v>
      </c>
      <c r="Z256" s="18" t="str">
        <f>IFERROR(_xll.BDP(Y256&amp;" CORP","LAST_PRICE"),"--")</f>
        <v>#N/A Requesting Data... CORP</v>
      </c>
      <c r="AA256" s="19" t="str">
        <f>IFERROR(_xll.BDP(E256&amp;" Corp","YAS_YLD_SPREAD","YAS_BOND_PX="&amp;X256,"YAS_BNCHMRK_BOND_PX="&amp;Z256),"--")</f>
        <v>#N/A Requesting Data...</v>
      </c>
      <c r="AB256" s="19" t="str">
        <f>IFERROR(_xll.BDP(E256&amp;" Corp","BLOOMBERG_MID_G_SPREAD","YAS_BOND_PX="&amp;X256,"YAS_BNCHMRK_BOND_PX="&amp;Z256),"--")</f>
        <v>#N/A Requesting Data...</v>
      </c>
      <c r="AC256" s="19" t="str">
        <f>IFERROR(_xll.BDP(D256,"LAST_PRICE"),"--")</f>
        <v>#N/A Requesting Data...</v>
      </c>
      <c r="AD256" s="20"/>
      <c r="AE256" s="19" t="str">
        <f t="shared" si="12"/>
        <v>#N/A Requesting Data...</v>
      </c>
      <c r="AF256" s="19" t="str">
        <f t="shared" si="13"/>
        <v>--</v>
      </c>
      <c r="AG256" s="21" t="str">
        <f t="shared" si="14"/>
        <v>--</v>
      </c>
      <c r="AH256" s="19" t="str">
        <f t="shared" si="15"/>
        <v>--</v>
      </c>
    </row>
    <row r="257" spans="1:34" x14ac:dyDescent="0.45">
      <c r="A257" s="7" t="s">
        <v>1052</v>
      </c>
      <c r="B257" s="8" t="s">
        <v>1024</v>
      </c>
      <c r="C257" s="7" t="s">
        <v>1053</v>
      </c>
      <c r="D257" s="8" t="s">
        <v>1054</v>
      </c>
      <c r="E257" s="8" t="s">
        <v>1055</v>
      </c>
      <c r="F257" s="9">
        <v>45922</v>
      </c>
      <c r="G257" s="9">
        <v>46226</v>
      </c>
      <c r="H257" s="9">
        <v>49663</v>
      </c>
      <c r="I257" s="10">
        <v>86.342300415039063</v>
      </c>
      <c r="J257" s="10">
        <v>43.408699035644531</v>
      </c>
      <c r="K257" s="10">
        <v>101.572</v>
      </c>
      <c r="L257" s="10">
        <v>100.10599999999999</v>
      </c>
      <c r="M257" s="11">
        <v>209</v>
      </c>
      <c r="N257" s="12">
        <v>-15.22969958496094</v>
      </c>
      <c r="O257" s="13">
        <v>-52.992096862792977</v>
      </c>
      <c r="P257" s="13">
        <v>-6.9489007568359398</v>
      </c>
      <c r="Q257" s="13">
        <v>-26.607447849401449</v>
      </c>
      <c r="R257" s="14">
        <v>82.015152012756047</v>
      </c>
      <c r="S257" s="13">
        <v>-58.163300964355471</v>
      </c>
      <c r="T257" s="13">
        <v>-82.146899932861317</v>
      </c>
      <c r="U257" s="13">
        <v>-19.381100280761729</v>
      </c>
      <c r="V257" s="13">
        <v>-55.107745726052308</v>
      </c>
      <c r="W257" s="15">
        <v>38.211253742393083</v>
      </c>
      <c r="X257" s="16" t="str">
        <f>IFERROR(_xll.BDP(E257&amp;" Corp","LAST_PRICE"),"--")</f>
        <v>#N/A Requesting Data...</v>
      </c>
      <c r="Y257" s="17" t="str">
        <f>IFERROR(_xll.BDP(E257&amp;" Corp","YAS_BENCHMARK_BOND_ISIN"),"--")</f>
        <v>#N/A Requesting Data...</v>
      </c>
      <c r="Z257" s="18" t="str">
        <f>IFERROR(_xll.BDP(Y257&amp;" CORP","LAST_PRICE"),"--")</f>
        <v>#N/A Requesting Data... CORP</v>
      </c>
      <c r="AA257" s="19" t="str">
        <f>IFERROR(_xll.BDP(E257&amp;" Corp","YAS_YLD_SPREAD","YAS_BOND_PX="&amp;X257,"YAS_BNCHMRK_BOND_PX="&amp;Z257),"--")</f>
        <v>#N/A Requesting Data...</v>
      </c>
      <c r="AB257" s="19" t="str">
        <f>IFERROR(_xll.BDP(E257&amp;" Corp","BLOOMBERG_MID_G_SPREAD","YAS_BOND_PX="&amp;X257,"YAS_BNCHMRK_BOND_PX="&amp;Z257),"--")</f>
        <v>#N/A Requesting Data...</v>
      </c>
      <c r="AC257" s="19" t="str">
        <f>IFERROR(_xll.BDP(D257,"LAST_PRICE"),"--")</f>
        <v>#N/A Requesting Data...</v>
      </c>
      <c r="AD257" s="20"/>
      <c r="AE257" s="19" t="str">
        <f t="shared" si="12"/>
        <v>#N/A Requesting Data...</v>
      </c>
      <c r="AF257" s="19" t="str">
        <f t="shared" si="13"/>
        <v>--</v>
      </c>
      <c r="AG257" s="21" t="str">
        <f t="shared" si="14"/>
        <v>--</v>
      </c>
      <c r="AH257" s="19" t="str">
        <f t="shared" si="15"/>
        <v>--</v>
      </c>
    </row>
    <row r="258" spans="1:34" x14ac:dyDescent="0.45">
      <c r="A258" s="22" t="s">
        <v>1056</v>
      </c>
      <c r="B258" s="31" t="s">
        <v>1057</v>
      </c>
      <c r="C258" s="22" t="s">
        <v>1058</v>
      </c>
      <c r="D258" s="23" t="s">
        <v>1059</v>
      </c>
      <c r="E258" s="23" t="s">
        <v>1060</v>
      </c>
      <c r="F258" s="24">
        <v>45659</v>
      </c>
      <c r="G258" s="24">
        <v>46226</v>
      </c>
      <c r="H258" s="24">
        <v>48385</v>
      </c>
      <c r="I258" s="25">
        <v>88.634902954101563</v>
      </c>
      <c r="J258" s="25">
        <v>69.242202758789063</v>
      </c>
      <c r="K258" s="25">
        <v>95.819000000000003</v>
      </c>
      <c r="L258" s="25">
        <v>97.048000000000002</v>
      </c>
      <c r="M258" s="26">
        <v>397</v>
      </c>
      <c r="N258" s="27">
        <v>-7.1840970458984401</v>
      </c>
      <c r="O258" s="28">
        <v>-13.07760321044921</v>
      </c>
      <c r="P258" s="28">
        <v>10.83720166015625</v>
      </c>
      <c r="Q258" s="28">
        <v>-2.4644136667708012</v>
      </c>
      <c r="R258" s="29">
        <v>24.643756018242438</v>
      </c>
      <c r="S258" s="28">
        <v>-26.57679724121094</v>
      </c>
      <c r="T258" s="28">
        <v>-30.879999450683599</v>
      </c>
      <c r="U258" s="28">
        <v>-2.0635968627929628</v>
      </c>
      <c r="V258" s="28">
        <v>-19.24890379567951</v>
      </c>
      <c r="W258" s="30">
        <v>14.9331693862473</v>
      </c>
      <c r="X258" s="16" t="str">
        <f>IFERROR(_xll.BDP(E258&amp;" Corp","LAST_PRICE"),"--")</f>
        <v>#N/A Requesting Data...</v>
      </c>
      <c r="Y258" s="17" t="str">
        <f>IFERROR(_xll.BDP(E258&amp;" Corp","YAS_BENCHMARK_BOND_ISIN"),"--")</f>
        <v>#N/A Requesting Data...</v>
      </c>
      <c r="Z258" s="18" t="str">
        <f>IFERROR(_xll.BDP(Y258&amp;" CORP","LAST_PRICE"),"--")</f>
        <v>#N/A Requesting Data... CORP</v>
      </c>
      <c r="AA258" s="19" t="str">
        <f>IFERROR(_xll.BDP(E258&amp;" Corp","YAS_YLD_SPREAD","YAS_BOND_PX="&amp;X258,"YAS_BNCHMRK_BOND_PX="&amp;Z258),"--")</f>
        <v>#N/A Requesting Data...</v>
      </c>
      <c r="AB258" s="19" t="str">
        <f>IFERROR(_xll.BDP(E258&amp;" Corp","BLOOMBERG_MID_G_SPREAD","YAS_BOND_PX="&amp;X258,"YAS_BNCHMRK_BOND_PX="&amp;Z258),"--")</f>
        <v>#N/A Requesting Data...</v>
      </c>
      <c r="AC258" s="19" t="str">
        <f>IFERROR(_xll.BDP(D258,"LAST_PRICE"),"--")</f>
        <v>#N/A Requesting Data...</v>
      </c>
      <c r="AD258" s="20"/>
      <c r="AE258" s="19" t="str">
        <f t="shared" si="12"/>
        <v>#N/A Requesting Data...</v>
      </c>
      <c r="AF258" s="19" t="str">
        <f t="shared" si="13"/>
        <v>--</v>
      </c>
      <c r="AG258" s="21" t="str">
        <f t="shared" si="14"/>
        <v>--</v>
      </c>
      <c r="AH258" s="19" t="str">
        <f t="shared" si="15"/>
        <v>--</v>
      </c>
    </row>
    <row r="259" spans="1:34" x14ac:dyDescent="0.45">
      <c r="A259" s="7" t="s">
        <v>1061</v>
      </c>
      <c r="B259" s="31" t="s">
        <v>1057</v>
      </c>
      <c r="C259" s="7" t="s">
        <v>1062</v>
      </c>
      <c r="D259" s="8" t="s">
        <v>1063</v>
      </c>
      <c r="E259" s="8" t="s">
        <v>1064</v>
      </c>
      <c r="F259" s="9">
        <v>45790</v>
      </c>
      <c r="G259" s="9">
        <v>46226</v>
      </c>
      <c r="H259" s="9">
        <v>48750</v>
      </c>
      <c r="I259" s="10">
        <v>46.543899536132813</v>
      </c>
      <c r="J259" s="10">
        <v>31.400699615478519</v>
      </c>
      <c r="K259" s="10">
        <v>65.741</v>
      </c>
      <c r="L259" s="10">
        <v>66.923000000000002</v>
      </c>
      <c r="M259" s="11">
        <v>307</v>
      </c>
      <c r="N259" s="12">
        <v>-19.197100463867191</v>
      </c>
      <c r="O259" s="13">
        <v>-37.489399749755862</v>
      </c>
      <c r="P259" s="13">
        <v>-15.684999206542971</v>
      </c>
      <c r="Q259" s="13">
        <v>-25.347385937519881</v>
      </c>
      <c r="R259" s="14">
        <v>83.892695190753869</v>
      </c>
      <c r="S259" s="13">
        <v>-34.340300384521477</v>
      </c>
      <c r="T259" s="13">
        <v>-50.622101623535158</v>
      </c>
      <c r="U259" s="13">
        <v>-28.995000579833981</v>
      </c>
      <c r="V259" s="13">
        <v>-39.173321133542139</v>
      </c>
      <c r="W259" s="15">
        <v>75.284251949041035</v>
      </c>
      <c r="X259" s="16" t="str">
        <f>IFERROR(_xll.BDP(E259&amp;" Corp","LAST_PRICE"),"--")</f>
        <v>#N/A Requesting Data...</v>
      </c>
      <c r="Y259" s="17" t="str">
        <f>IFERROR(_xll.BDP(E259&amp;" Corp","YAS_BENCHMARK_BOND_ISIN"),"--")</f>
        <v>#N/A Requesting Data...</v>
      </c>
      <c r="Z259" s="18" t="str">
        <f>IFERROR(_xll.BDP(Y259&amp;" CORP","LAST_PRICE"),"--")</f>
        <v>#N/A Requesting Data... CORP</v>
      </c>
      <c r="AA259" s="19" t="str">
        <f>IFERROR(_xll.BDP(E259&amp;" Corp","YAS_YLD_SPREAD","YAS_BOND_PX="&amp;X259,"YAS_BNCHMRK_BOND_PX="&amp;Z259),"--")</f>
        <v>#N/A Requesting Data...</v>
      </c>
      <c r="AB259" s="19" t="str">
        <f>IFERROR(_xll.BDP(E259&amp;" Corp","BLOOMBERG_MID_G_SPREAD","YAS_BOND_PX="&amp;X259,"YAS_BNCHMRK_BOND_PX="&amp;Z259),"--")</f>
        <v>#N/A Requesting Data...</v>
      </c>
      <c r="AC259" s="19" t="str">
        <f>IFERROR(_xll.BDP(D259,"LAST_PRICE"),"--")</f>
        <v>#N/A Requesting Data...</v>
      </c>
      <c r="AD259" s="20"/>
      <c r="AE259" s="19" t="str">
        <f t="shared" si="12"/>
        <v>#N/A Requesting Data...</v>
      </c>
      <c r="AF259" s="19" t="str">
        <f t="shared" si="13"/>
        <v>--</v>
      </c>
      <c r="AG259" s="21" t="str">
        <f t="shared" si="14"/>
        <v>--</v>
      </c>
      <c r="AH259" s="19" t="str">
        <f t="shared" si="15"/>
        <v>--</v>
      </c>
    </row>
    <row r="260" spans="1:34" x14ac:dyDescent="0.45">
      <c r="A260" s="22" t="s">
        <v>1065</v>
      </c>
      <c r="B260" s="31" t="s">
        <v>1057</v>
      </c>
      <c r="C260" s="22" t="s">
        <v>1066</v>
      </c>
      <c r="D260" s="23" t="s">
        <v>1067</v>
      </c>
      <c r="E260" s="23" t="s">
        <v>1068</v>
      </c>
      <c r="F260" s="24">
        <v>45708</v>
      </c>
      <c r="G260" s="24">
        <v>46226</v>
      </c>
      <c r="H260" s="24">
        <v>48385</v>
      </c>
      <c r="I260" s="25">
        <v>73.992202758789063</v>
      </c>
      <c r="J260" s="25">
        <v>60.514598846435547</v>
      </c>
      <c r="K260" s="25">
        <v>69.887</v>
      </c>
      <c r="L260" s="25">
        <v>70.620999999999995</v>
      </c>
      <c r="M260" s="26">
        <v>362</v>
      </c>
      <c r="N260" s="27">
        <v>4.105202758789062</v>
      </c>
      <c r="O260" s="28">
        <v>-4.1863981323242143</v>
      </c>
      <c r="P260" s="28">
        <v>15.676297668457019</v>
      </c>
      <c r="Q260" s="28">
        <v>6.334035950718663</v>
      </c>
      <c r="R260" s="29">
        <v>41.744589829478997</v>
      </c>
      <c r="S260" s="28">
        <v>-9.3724011535644536</v>
      </c>
      <c r="T260" s="28">
        <v>-13.71850231933594</v>
      </c>
      <c r="U260" s="28">
        <v>6.7029996948242143</v>
      </c>
      <c r="V260" s="28">
        <v>-4.3858983968660983</v>
      </c>
      <c r="W260" s="30">
        <v>21.281985834136609</v>
      </c>
      <c r="X260" s="16" t="str">
        <f>IFERROR(_xll.BDP(E260&amp;" Corp","LAST_PRICE"),"--")</f>
        <v>#N/A Requesting Data...</v>
      </c>
      <c r="Y260" s="17" t="str">
        <f>IFERROR(_xll.BDP(E260&amp;" Corp","YAS_BENCHMARK_BOND_ISIN"),"--")</f>
        <v>#N/A Requesting Data...</v>
      </c>
      <c r="Z260" s="18" t="str">
        <f>IFERROR(_xll.BDP(Y260&amp;" CORP","LAST_PRICE"),"--")</f>
        <v>#N/A Requesting Data... CORP</v>
      </c>
      <c r="AA260" s="19" t="str">
        <f>IFERROR(_xll.BDP(E260&amp;" Corp","YAS_YLD_SPREAD","YAS_BOND_PX="&amp;X260,"YAS_BNCHMRK_BOND_PX="&amp;Z260),"--")</f>
        <v>#N/A Requesting Data...</v>
      </c>
      <c r="AB260" s="19" t="str">
        <f>IFERROR(_xll.BDP(E260&amp;" Corp","BLOOMBERG_MID_G_SPREAD","YAS_BOND_PX="&amp;X260,"YAS_BNCHMRK_BOND_PX="&amp;Z260),"--")</f>
        <v>#N/A Requesting Data...</v>
      </c>
      <c r="AC260" s="19" t="str">
        <f>IFERROR(_xll.BDP(D260,"LAST_PRICE"),"--")</f>
        <v>#N/A Requesting Data...</v>
      </c>
      <c r="AD260" s="20"/>
      <c r="AE260" s="19" t="str">
        <f t="shared" si="12"/>
        <v>#N/A Requesting Data...</v>
      </c>
      <c r="AF260" s="19" t="str">
        <f t="shared" si="13"/>
        <v>--</v>
      </c>
      <c r="AG260" s="21" t="str">
        <f t="shared" si="14"/>
        <v>--</v>
      </c>
      <c r="AH260" s="19" t="str">
        <f t="shared" si="15"/>
        <v>--</v>
      </c>
    </row>
    <row r="261" spans="1:34" x14ac:dyDescent="0.45">
      <c r="A261" s="7" t="s">
        <v>1069</v>
      </c>
      <c r="B261" s="31" t="s">
        <v>1057</v>
      </c>
      <c r="C261" s="7" t="s">
        <v>1070</v>
      </c>
      <c r="D261" s="8" t="s">
        <v>1071</v>
      </c>
      <c r="E261" s="8" t="s">
        <v>1072</v>
      </c>
      <c r="F261" s="9">
        <v>45897</v>
      </c>
      <c r="G261" s="9">
        <v>46226</v>
      </c>
      <c r="H261" s="9">
        <v>48568</v>
      </c>
      <c r="I261" s="10">
        <v>91.439697265625</v>
      </c>
      <c r="J261" s="10">
        <v>67.931999206542969</v>
      </c>
      <c r="K261" s="10">
        <v>114.953</v>
      </c>
      <c r="L261" s="10">
        <v>116.976</v>
      </c>
      <c r="M261" s="11">
        <v>230</v>
      </c>
      <c r="N261" s="12">
        <v>-23.513302734374999</v>
      </c>
      <c r="O261" s="13">
        <v>-33.960801330566412</v>
      </c>
      <c r="P261" s="13">
        <v>-5.8906993408203192</v>
      </c>
      <c r="Q261" s="13">
        <v>-21.693733339259929</v>
      </c>
      <c r="R261" s="14">
        <v>37.219311137550697</v>
      </c>
      <c r="S261" s="13">
        <v>-47.021000793457027</v>
      </c>
      <c r="T261" s="13">
        <v>-53.851998535156262</v>
      </c>
      <c r="U261" s="13">
        <v>-25.620801879882819</v>
      </c>
      <c r="V261" s="13">
        <v>-42.862262401945699</v>
      </c>
      <c r="W261" s="15">
        <v>24.196628379276401</v>
      </c>
      <c r="X261" s="16" t="str">
        <f>IFERROR(_xll.BDP(E261&amp;" Corp","LAST_PRICE"),"--")</f>
        <v>#N/A Requesting Data...</v>
      </c>
      <c r="Y261" s="17" t="str">
        <f>IFERROR(_xll.BDP(E261&amp;" Corp","YAS_BENCHMARK_BOND_ISIN"),"--")</f>
        <v>#N/A Requesting Data...</v>
      </c>
      <c r="Z261" s="18" t="str">
        <f>IFERROR(_xll.BDP(Y261&amp;" CORP","LAST_PRICE"),"--")</f>
        <v>#N/A Requesting Data... CORP</v>
      </c>
      <c r="AA261" s="19" t="str">
        <f>IFERROR(_xll.BDP(E261&amp;" Corp","YAS_YLD_SPREAD","YAS_BOND_PX="&amp;X261,"YAS_BNCHMRK_BOND_PX="&amp;Z261),"--")</f>
        <v>#N/A Requesting Data...</v>
      </c>
      <c r="AB261" s="19" t="str">
        <f>IFERROR(_xll.BDP(E261&amp;" Corp","BLOOMBERG_MID_G_SPREAD","YAS_BOND_PX="&amp;X261,"YAS_BNCHMRK_BOND_PX="&amp;Z261),"--")</f>
        <v>#N/A Requesting Data...</v>
      </c>
      <c r="AC261" s="19" t="str">
        <f>IFERROR(_xll.BDP(D261,"LAST_PRICE"),"--")</f>
        <v>#N/A Requesting Data...</v>
      </c>
      <c r="AD261" s="20"/>
      <c r="AE261" s="19" t="str">
        <f t="shared" ref="AE261:AE324" si="16">IFERROR(IF(ISBLANK(AD261),AC261,AD261),"--")</f>
        <v>#N/A Requesting Data...</v>
      </c>
      <c r="AF261" s="19" t="str">
        <f t="shared" ref="AF261:AF324" si="17">IFERROR(MAX(-500,MIN(500,AE261-AB261)),"--")</f>
        <v>--</v>
      </c>
      <c r="AG261" s="21" t="str">
        <f t="shared" ref="AG261:AG324" si="18">IFERROR((AF261-T261)/(U261-T261)*100,"--")</f>
        <v>--</v>
      </c>
      <c r="AH261" s="19" t="str">
        <f t="shared" ref="AH261:AH324" si="19">IFERROR(AF261-V261,"--")</f>
        <v>--</v>
      </c>
    </row>
    <row r="262" spans="1:34" x14ac:dyDescent="0.45">
      <c r="A262" s="22" t="s">
        <v>1073</v>
      </c>
      <c r="B262" s="31" t="s">
        <v>1057</v>
      </c>
      <c r="C262" s="22" t="s">
        <v>1074</v>
      </c>
      <c r="D262" s="23" t="s">
        <v>1075</v>
      </c>
      <c r="E262" s="23" t="s">
        <v>1076</v>
      </c>
      <c r="F262" s="24">
        <v>46099</v>
      </c>
      <c r="G262" s="24">
        <v>46226</v>
      </c>
      <c r="H262" s="24">
        <v>48568</v>
      </c>
      <c r="I262" s="25">
        <v>104.0614013671875</v>
      </c>
      <c r="J262" s="25">
        <v>81.442100524902344</v>
      </c>
      <c r="K262" s="25">
        <v>105.791</v>
      </c>
      <c r="L262" s="25">
        <v>108.518</v>
      </c>
      <c r="M262" s="26">
        <v>89</v>
      </c>
      <c r="N262" s="27">
        <v>-1.729598632812497</v>
      </c>
      <c r="O262" s="28">
        <v>-1.729598632812497</v>
      </c>
      <c r="P262" s="28">
        <v>19.930498474121091</v>
      </c>
      <c r="Q262" s="28">
        <v>9.5626066126448386</v>
      </c>
      <c r="R262" s="29">
        <v>0</v>
      </c>
      <c r="S262" s="28">
        <v>-24.34889947509765</v>
      </c>
      <c r="T262" s="28">
        <v>-24.825100585937509</v>
      </c>
      <c r="U262" s="28">
        <v>-4.7015009155273484</v>
      </c>
      <c r="V262" s="28">
        <v>-13.913565245210449</v>
      </c>
      <c r="W262" s="30">
        <v>2.36638135641339</v>
      </c>
      <c r="X262" s="16" t="str">
        <f>IFERROR(_xll.BDP(E262&amp;" Corp","LAST_PRICE"),"--")</f>
        <v>#N/A Requesting Data...</v>
      </c>
      <c r="Y262" s="17" t="str">
        <f>IFERROR(_xll.BDP(E262&amp;" Corp","YAS_BENCHMARK_BOND_ISIN"),"--")</f>
        <v>#N/A Requesting Data...</v>
      </c>
      <c r="Z262" s="18" t="str">
        <f>IFERROR(_xll.BDP(Y262&amp;" CORP","LAST_PRICE"),"--")</f>
        <v>#N/A Requesting Data... CORP</v>
      </c>
      <c r="AA262" s="19" t="str">
        <f>IFERROR(_xll.BDP(E262&amp;" Corp","YAS_YLD_SPREAD","YAS_BOND_PX="&amp;X262,"YAS_BNCHMRK_BOND_PX="&amp;Z262),"--")</f>
        <v>#N/A Requesting Data...</v>
      </c>
      <c r="AB262" s="19" t="str">
        <f>IFERROR(_xll.BDP(E262&amp;" Corp","BLOOMBERG_MID_G_SPREAD","YAS_BOND_PX="&amp;X262,"YAS_BNCHMRK_BOND_PX="&amp;Z262),"--")</f>
        <v>#N/A Requesting Data...</v>
      </c>
      <c r="AC262" s="19" t="str">
        <f>IFERROR(_xll.BDP(D262,"LAST_PRICE"),"--")</f>
        <v>#N/A Requesting Data...</v>
      </c>
      <c r="AD262" s="20"/>
      <c r="AE262" s="19" t="str">
        <f t="shared" si="16"/>
        <v>#N/A Requesting Data...</v>
      </c>
      <c r="AF262" s="19" t="str">
        <f t="shared" si="17"/>
        <v>--</v>
      </c>
      <c r="AG262" s="21" t="str">
        <f t="shared" si="18"/>
        <v>--</v>
      </c>
      <c r="AH262" s="19" t="str">
        <f t="shared" si="19"/>
        <v>--</v>
      </c>
    </row>
    <row r="263" spans="1:34" x14ac:dyDescent="0.45">
      <c r="A263" s="7" t="s">
        <v>1077</v>
      </c>
      <c r="B263" s="31" t="s">
        <v>1057</v>
      </c>
      <c r="C263" s="7" t="s">
        <v>1078</v>
      </c>
      <c r="D263" s="8" t="s">
        <v>1079</v>
      </c>
      <c r="E263" s="8" t="s">
        <v>1080</v>
      </c>
      <c r="F263" s="9">
        <v>45720</v>
      </c>
      <c r="G263" s="9">
        <v>46226</v>
      </c>
      <c r="H263" s="9">
        <v>48750</v>
      </c>
      <c r="I263" s="10">
        <v>40.437400817871087</v>
      </c>
      <c r="J263" s="10">
        <v>28.41309928894043</v>
      </c>
      <c r="K263" s="10">
        <v>76.992000000000004</v>
      </c>
      <c r="L263" s="10">
        <v>77.221000000000004</v>
      </c>
      <c r="M263" s="11">
        <v>354</v>
      </c>
      <c r="N263" s="12">
        <v>-36.554599182128911</v>
      </c>
      <c r="O263" s="13">
        <v>-63.649901824951172</v>
      </c>
      <c r="P263" s="13">
        <v>-30.08789874267578</v>
      </c>
      <c r="Q263" s="13">
        <v>-42.983398565087619</v>
      </c>
      <c r="R263" s="14">
        <v>80.732078405450423</v>
      </c>
      <c r="S263" s="13">
        <v>-48.578900711059568</v>
      </c>
      <c r="T263" s="13">
        <v>-72.916301208496094</v>
      </c>
      <c r="U263" s="13">
        <v>-40.70779969787597</v>
      </c>
      <c r="V263" s="13">
        <v>-53.496153436434483</v>
      </c>
      <c r="W263" s="15">
        <v>75.562039076582735</v>
      </c>
      <c r="X263" s="16" t="str">
        <f>IFERROR(_xll.BDP(E263&amp;" Corp","LAST_PRICE"),"--")</f>
        <v>#N/A Requesting Data...</v>
      </c>
      <c r="Y263" s="17" t="str">
        <f>IFERROR(_xll.BDP(E263&amp;" Corp","YAS_BENCHMARK_BOND_ISIN"),"--")</f>
        <v>#N/A Requesting Data...</v>
      </c>
      <c r="Z263" s="18" t="str">
        <f>IFERROR(_xll.BDP(Y263&amp;" CORP","LAST_PRICE"),"--")</f>
        <v>#N/A Requesting Data... CORP</v>
      </c>
      <c r="AA263" s="19" t="str">
        <f>IFERROR(_xll.BDP(E263&amp;" Corp","YAS_YLD_SPREAD","YAS_BOND_PX="&amp;X263,"YAS_BNCHMRK_BOND_PX="&amp;Z263),"--")</f>
        <v>#N/A Requesting Data...</v>
      </c>
      <c r="AB263" s="19" t="str">
        <f>IFERROR(_xll.BDP(E263&amp;" Corp","BLOOMBERG_MID_G_SPREAD","YAS_BOND_PX="&amp;X263,"YAS_BNCHMRK_BOND_PX="&amp;Z263),"--")</f>
        <v>#N/A Requesting Data...</v>
      </c>
      <c r="AC263" s="19" t="str">
        <f>IFERROR(_xll.BDP(D263,"LAST_PRICE"),"--")</f>
        <v>#N/A Requesting Data...</v>
      </c>
      <c r="AD263" s="20"/>
      <c r="AE263" s="19" t="str">
        <f t="shared" si="16"/>
        <v>#N/A Requesting Data...</v>
      </c>
      <c r="AF263" s="19" t="str">
        <f t="shared" si="17"/>
        <v>--</v>
      </c>
      <c r="AG263" s="21" t="str">
        <f t="shared" si="18"/>
        <v>--</v>
      </c>
      <c r="AH263" s="19" t="str">
        <f t="shared" si="19"/>
        <v>--</v>
      </c>
    </row>
    <row r="264" spans="1:34" x14ac:dyDescent="0.45">
      <c r="A264" s="22" t="s">
        <v>1081</v>
      </c>
      <c r="B264" s="31" t="s">
        <v>1057</v>
      </c>
      <c r="C264" s="22" t="s">
        <v>1082</v>
      </c>
      <c r="D264" s="23" t="s">
        <v>1083</v>
      </c>
      <c r="E264" s="23" t="s">
        <v>1084</v>
      </c>
      <c r="F264" s="24">
        <v>45960</v>
      </c>
      <c r="G264" s="24">
        <v>46226</v>
      </c>
      <c r="H264" s="24">
        <v>48750</v>
      </c>
      <c r="I264" s="25">
        <v>36.215801239013672</v>
      </c>
      <c r="J264" s="25">
        <v>26.4109001159668</v>
      </c>
      <c r="K264" s="25">
        <v>65.808999999999997</v>
      </c>
      <c r="L264" s="25">
        <v>66.683999999999997</v>
      </c>
      <c r="M264" s="26">
        <v>184</v>
      </c>
      <c r="N264" s="27">
        <v>-29.593198760986329</v>
      </c>
      <c r="O264" s="28">
        <v>-42.28489987182617</v>
      </c>
      <c r="P264" s="28">
        <v>-25.016298461914062</v>
      </c>
      <c r="Q264" s="28">
        <v>-30.610017354218851</v>
      </c>
      <c r="R264" s="29">
        <v>73.495825223893689</v>
      </c>
      <c r="S264" s="28">
        <v>-39.398099884033201</v>
      </c>
      <c r="T264" s="28">
        <v>-53.018899124145513</v>
      </c>
      <c r="U264" s="28">
        <v>-34.87429919433594</v>
      </c>
      <c r="V264" s="28">
        <v>-40.543690196990973</v>
      </c>
      <c r="W264" s="30">
        <v>75.068060430116418</v>
      </c>
      <c r="X264" s="16" t="str">
        <f>IFERROR(_xll.BDP(E264&amp;" Corp","LAST_PRICE"),"--")</f>
        <v>#N/A Requesting Data...</v>
      </c>
      <c r="Y264" s="17" t="str">
        <f>IFERROR(_xll.BDP(E264&amp;" Corp","YAS_BENCHMARK_BOND_ISIN"),"--")</f>
        <v>#N/A Requesting Data...</v>
      </c>
      <c r="Z264" s="18" t="str">
        <f>IFERROR(_xll.BDP(Y264&amp;" CORP","LAST_PRICE"),"--")</f>
        <v>#N/A Requesting Data... CORP</v>
      </c>
      <c r="AA264" s="19" t="str">
        <f>IFERROR(_xll.BDP(E264&amp;" Corp","YAS_YLD_SPREAD","YAS_BOND_PX="&amp;X264,"YAS_BNCHMRK_BOND_PX="&amp;Z264),"--")</f>
        <v>#N/A Requesting Data...</v>
      </c>
      <c r="AB264" s="19" t="str">
        <f>IFERROR(_xll.BDP(E264&amp;" Corp","BLOOMBERG_MID_G_SPREAD","YAS_BOND_PX="&amp;X264,"YAS_BNCHMRK_BOND_PX="&amp;Z264),"--")</f>
        <v>#N/A Requesting Data...</v>
      </c>
      <c r="AC264" s="19" t="str">
        <f>IFERROR(_xll.BDP(D264,"LAST_PRICE"),"--")</f>
        <v>#N/A Requesting Data...</v>
      </c>
      <c r="AD264" s="20"/>
      <c r="AE264" s="19" t="str">
        <f t="shared" si="16"/>
        <v>#N/A Requesting Data...</v>
      </c>
      <c r="AF264" s="19" t="str">
        <f t="shared" si="17"/>
        <v>--</v>
      </c>
      <c r="AG264" s="21" t="str">
        <f t="shared" si="18"/>
        <v>--</v>
      </c>
      <c r="AH264" s="19" t="str">
        <f t="shared" si="19"/>
        <v>--</v>
      </c>
    </row>
    <row r="265" spans="1:34" x14ac:dyDescent="0.45">
      <c r="A265" s="7" t="s">
        <v>1085</v>
      </c>
      <c r="B265" s="31" t="s">
        <v>1057</v>
      </c>
      <c r="C265" s="7" t="s">
        <v>1086</v>
      </c>
      <c r="D265" s="8" t="s">
        <v>1087</v>
      </c>
      <c r="E265" s="8" t="s">
        <v>1088</v>
      </c>
      <c r="F265" s="9">
        <v>45659</v>
      </c>
      <c r="G265" s="9">
        <v>46226</v>
      </c>
      <c r="H265" s="9">
        <v>48385</v>
      </c>
      <c r="I265" s="10">
        <v>40.157001495361328</v>
      </c>
      <c r="J265" s="10">
        <v>33.001800537109382</v>
      </c>
      <c r="K265" s="10">
        <v>52.908000000000001</v>
      </c>
      <c r="L265" s="10">
        <v>62.465000000000003</v>
      </c>
      <c r="M265" s="11">
        <v>397</v>
      </c>
      <c r="N265" s="12">
        <v>-12.75099850463867</v>
      </c>
      <c r="O265" s="13">
        <v>-27.781200897216792</v>
      </c>
      <c r="P265" s="13">
        <v>9.7364985046386749</v>
      </c>
      <c r="Q265" s="13">
        <v>-4.9905044764751754</v>
      </c>
      <c r="R265" s="14">
        <v>40.061631262589593</v>
      </c>
      <c r="S265" s="13">
        <v>-19.90619946289063</v>
      </c>
      <c r="T265" s="13">
        <v>-34.148598205566401</v>
      </c>
      <c r="U265" s="13">
        <v>2.7423998413085968</v>
      </c>
      <c r="V265" s="13">
        <v>-12.01434251968807</v>
      </c>
      <c r="W265" s="15">
        <v>38.606704878460818</v>
      </c>
      <c r="X265" s="16" t="str">
        <f>IFERROR(_xll.BDP(E265&amp;" Corp","LAST_PRICE"),"--")</f>
        <v>#N/A Requesting Data...</v>
      </c>
      <c r="Y265" s="17" t="str">
        <f>IFERROR(_xll.BDP(E265&amp;" Corp","YAS_BENCHMARK_BOND_ISIN"),"--")</f>
        <v>#N/A Requesting Data...</v>
      </c>
      <c r="Z265" s="18" t="str">
        <f>IFERROR(_xll.BDP(Y265&amp;" CORP","LAST_PRICE"),"--")</f>
        <v>#N/A Requesting Data... CORP</v>
      </c>
      <c r="AA265" s="19" t="str">
        <f>IFERROR(_xll.BDP(E265&amp;" Corp","YAS_YLD_SPREAD","YAS_BOND_PX="&amp;X265,"YAS_BNCHMRK_BOND_PX="&amp;Z265),"--")</f>
        <v>#N/A Requesting Data...</v>
      </c>
      <c r="AB265" s="19" t="str">
        <f>IFERROR(_xll.BDP(E265&amp;" Corp","BLOOMBERG_MID_G_SPREAD","YAS_BOND_PX="&amp;X265,"YAS_BNCHMRK_BOND_PX="&amp;Z265),"--")</f>
        <v>#N/A Requesting Data...</v>
      </c>
      <c r="AC265" s="19" t="str">
        <f>IFERROR(_xll.BDP(D265,"LAST_PRICE"),"--")</f>
        <v>#N/A Requesting Data...</v>
      </c>
      <c r="AD265" s="20"/>
      <c r="AE265" s="19" t="str">
        <f t="shared" si="16"/>
        <v>#N/A Requesting Data...</v>
      </c>
      <c r="AF265" s="19" t="str">
        <f t="shared" si="17"/>
        <v>--</v>
      </c>
      <c r="AG265" s="21" t="str">
        <f t="shared" si="18"/>
        <v>--</v>
      </c>
      <c r="AH265" s="19" t="str">
        <f t="shared" si="19"/>
        <v>--</v>
      </c>
    </row>
    <row r="266" spans="1:34" x14ac:dyDescent="0.45">
      <c r="A266" s="22" t="s">
        <v>1089</v>
      </c>
      <c r="B266" s="31" t="s">
        <v>1057</v>
      </c>
      <c r="C266" s="22" t="s">
        <v>1090</v>
      </c>
      <c r="D266" s="23" t="s">
        <v>1091</v>
      </c>
      <c r="E266" s="23" t="s">
        <v>1092</v>
      </c>
      <c r="F266" s="24">
        <v>45659</v>
      </c>
      <c r="G266" s="24">
        <v>46226</v>
      </c>
      <c r="H266" s="24">
        <v>48750</v>
      </c>
      <c r="I266" s="25">
        <v>94.486000061035156</v>
      </c>
      <c r="J266" s="25">
        <v>70.7510986328125</v>
      </c>
      <c r="K266" s="25">
        <v>117.38800000000001</v>
      </c>
      <c r="L266" s="25">
        <v>118.878</v>
      </c>
      <c r="M266" s="26">
        <v>397</v>
      </c>
      <c r="N266" s="27">
        <v>-22.901999938964849</v>
      </c>
      <c r="O266" s="28">
        <v>-33.212898803710942</v>
      </c>
      <c r="P266" s="28">
        <v>-5.2166985473632792</v>
      </c>
      <c r="Q266" s="28">
        <v>-16.447621816793681</v>
      </c>
      <c r="R266" s="29">
        <v>36.829636773327017</v>
      </c>
      <c r="S266" s="28">
        <v>-46.636901367187512</v>
      </c>
      <c r="T266" s="28">
        <v>-46.691896240234371</v>
      </c>
      <c r="U266" s="28">
        <v>-22.566701110839841</v>
      </c>
      <c r="V266" s="28">
        <v>-32.981424493054597</v>
      </c>
      <c r="W266" s="30">
        <v>0.22795617922219019</v>
      </c>
      <c r="X266" s="16" t="str">
        <f>IFERROR(_xll.BDP(E266&amp;" Corp","LAST_PRICE"),"--")</f>
        <v>#N/A Requesting Data...</v>
      </c>
      <c r="Y266" s="17" t="str">
        <f>IFERROR(_xll.BDP(E266&amp;" Corp","YAS_BENCHMARK_BOND_ISIN"),"--")</f>
        <v>#N/A Requesting Data...</v>
      </c>
      <c r="Z266" s="18" t="str">
        <f>IFERROR(_xll.BDP(Y266&amp;" CORP","LAST_PRICE"),"--")</f>
        <v>#N/A Requesting Data... CORP</v>
      </c>
      <c r="AA266" s="19" t="str">
        <f>IFERROR(_xll.BDP(E266&amp;" Corp","YAS_YLD_SPREAD","YAS_BOND_PX="&amp;X266,"YAS_BNCHMRK_BOND_PX="&amp;Z266),"--")</f>
        <v>#N/A Requesting Data...</v>
      </c>
      <c r="AB266" s="19" t="str">
        <f>IFERROR(_xll.BDP(E266&amp;" Corp","BLOOMBERG_MID_G_SPREAD","YAS_BOND_PX="&amp;X266,"YAS_BNCHMRK_BOND_PX="&amp;Z266),"--")</f>
        <v>#N/A Requesting Data...</v>
      </c>
      <c r="AC266" s="19" t="str">
        <f>IFERROR(_xll.BDP(D266,"LAST_PRICE"),"--")</f>
        <v>#N/A Requesting Data...</v>
      </c>
      <c r="AD266" s="20"/>
      <c r="AE266" s="19" t="str">
        <f t="shared" si="16"/>
        <v>#N/A Requesting Data...</v>
      </c>
      <c r="AF266" s="19" t="str">
        <f t="shared" si="17"/>
        <v>--</v>
      </c>
      <c r="AG266" s="21" t="str">
        <f t="shared" si="18"/>
        <v>--</v>
      </c>
      <c r="AH266" s="19" t="str">
        <f t="shared" si="19"/>
        <v>--</v>
      </c>
    </row>
    <row r="267" spans="1:34" x14ac:dyDescent="0.45">
      <c r="A267" s="7" t="s">
        <v>1093</v>
      </c>
      <c r="B267" s="31" t="s">
        <v>1057</v>
      </c>
      <c r="C267" s="7" t="s">
        <v>1094</v>
      </c>
      <c r="D267" s="8" t="s">
        <v>1095</v>
      </c>
      <c r="E267" s="8" t="s">
        <v>1096</v>
      </c>
      <c r="F267" s="9">
        <v>45659</v>
      </c>
      <c r="G267" s="9">
        <v>46226</v>
      </c>
      <c r="H267" s="9">
        <v>47837</v>
      </c>
      <c r="I267" s="10">
        <v>77.123199462890625</v>
      </c>
      <c r="J267" s="10">
        <v>85.765800476074219</v>
      </c>
      <c r="K267" s="10">
        <v>78.608999999999995</v>
      </c>
      <c r="L267" s="10">
        <v>82.337000000000003</v>
      </c>
      <c r="M267" s="11">
        <v>396</v>
      </c>
      <c r="N267" s="12">
        <v>-1.4858005371093701</v>
      </c>
      <c r="O267" s="13">
        <v>-20.679403320312499</v>
      </c>
      <c r="P267" s="13">
        <v>48.328107421875004</v>
      </c>
      <c r="Q267" s="13">
        <v>15.789798283586601</v>
      </c>
      <c r="R267" s="14">
        <v>27.81378805983968</v>
      </c>
      <c r="S267" s="13">
        <v>7.1568004760742241</v>
      </c>
      <c r="T267" s="13">
        <v>-11.31799890136719</v>
      </c>
      <c r="U267" s="13">
        <v>58.569593017578129</v>
      </c>
      <c r="V267" s="13">
        <v>26.09218552113542</v>
      </c>
      <c r="W267" s="15">
        <v>26.43502068130811</v>
      </c>
      <c r="X267" s="16" t="str">
        <f>IFERROR(_xll.BDP(E267&amp;" Corp","LAST_PRICE"),"--")</f>
        <v>#N/A Requesting Data...</v>
      </c>
      <c r="Y267" s="17" t="str">
        <f>IFERROR(_xll.BDP(E267&amp;" Corp","YAS_BENCHMARK_BOND_ISIN"),"--")</f>
        <v>#N/A Requesting Data...</v>
      </c>
      <c r="Z267" s="18" t="str">
        <f>IFERROR(_xll.BDP(Y267&amp;" CORP","LAST_PRICE"),"--")</f>
        <v>#N/A Requesting Data... CORP</v>
      </c>
      <c r="AA267" s="19" t="str">
        <f>IFERROR(_xll.BDP(E267&amp;" Corp","YAS_YLD_SPREAD","YAS_BOND_PX="&amp;X267,"YAS_BNCHMRK_BOND_PX="&amp;Z267),"--")</f>
        <v>#N/A Requesting Data...</v>
      </c>
      <c r="AB267" s="19" t="str">
        <f>IFERROR(_xll.BDP(E267&amp;" Corp","BLOOMBERG_MID_G_SPREAD","YAS_BOND_PX="&amp;X267,"YAS_BNCHMRK_BOND_PX="&amp;Z267),"--")</f>
        <v>#N/A Requesting Data...</v>
      </c>
      <c r="AC267" s="19" t="str">
        <f>IFERROR(_xll.BDP(D267,"LAST_PRICE"),"--")</f>
        <v>#N/A Requesting Data...</v>
      </c>
      <c r="AD267" s="20"/>
      <c r="AE267" s="19" t="str">
        <f t="shared" si="16"/>
        <v>#N/A Requesting Data...</v>
      </c>
      <c r="AF267" s="19" t="str">
        <f t="shared" si="17"/>
        <v>--</v>
      </c>
      <c r="AG267" s="21" t="str">
        <f t="shared" si="18"/>
        <v>--</v>
      </c>
      <c r="AH267" s="19" t="str">
        <f t="shared" si="19"/>
        <v>--</v>
      </c>
    </row>
    <row r="268" spans="1:34" x14ac:dyDescent="0.45">
      <c r="A268" s="22" t="s">
        <v>1097</v>
      </c>
      <c r="B268" s="31" t="s">
        <v>1057</v>
      </c>
      <c r="C268" s="22" t="s">
        <v>1098</v>
      </c>
      <c r="D268" s="23" t="s">
        <v>1099</v>
      </c>
      <c r="E268" s="23" t="s">
        <v>1100</v>
      </c>
      <c r="F268" s="24">
        <v>45659</v>
      </c>
      <c r="G268" s="24">
        <v>46226</v>
      </c>
      <c r="H268" s="24">
        <v>49115</v>
      </c>
      <c r="I268" s="25">
        <v>77.394500732421875</v>
      </c>
      <c r="J268" s="25">
        <v>54.203498840332031</v>
      </c>
      <c r="K268" s="25">
        <v>76.938000000000002</v>
      </c>
      <c r="L268" s="25">
        <v>79.968999999999994</v>
      </c>
      <c r="M268" s="26">
        <v>397</v>
      </c>
      <c r="N268" s="27">
        <v>0.45650073242187261</v>
      </c>
      <c r="O268" s="28">
        <v>-23.111400146484371</v>
      </c>
      <c r="P268" s="28">
        <v>15.35110028076171</v>
      </c>
      <c r="Q268" s="28">
        <v>-2.8558392690663368</v>
      </c>
      <c r="R268" s="29">
        <v>61.275009729245802</v>
      </c>
      <c r="S268" s="28">
        <v>-22.734501159667971</v>
      </c>
      <c r="T268" s="28">
        <v>-41.960002441406253</v>
      </c>
      <c r="U268" s="28">
        <v>-7.8727003784179743</v>
      </c>
      <c r="V268" s="28">
        <v>-23.091994300976811</v>
      </c>
      <c r="W268" s="30">
        <v>56.400771308366977</v>
      </c>
      <c r="X268" s="16" t="str">
        <f>IFERROR(_xll.BDP(E268&amp;" Corp","LAST_PRICE"),"--")</f>
        <v>#N/A Requesting Data...</v>
      </c>
      <c r="Y268" s="17" t="str">
        <f>IFERROR(_xll.BDP(E268&amp;" Corp","YAS_BENCHMARK_BOND_ISIN"),"--")</f>
        <v>#N/A Requesting Data...</v>
      </c>
      <c r="Z268" s="18" t="str">
        <f>IFERROR(_xll.BDP(Y268&amp;" CORP","LAST_PRICE"),"--")</f>
        <v>#N/A Requesting Data... CORP</v>
      </c>
      <c r="AA268" s="19" t="str">
        <f>IFERROR(_xll.BDP(E268&amp;" Corp","YAS_YLD_SPREAD","YAS_BOND_PX="&amp;X268,"YAS_BNCHMRK_BOND_PX="&amp;Z268),"--")</f>
        <v>#N/A Requesting Data...</v>
      </c>
      <c r="AB268" s="19" t="str">
        <f>IFERROR(_xll.BDP(E268&amp;" Corp","BLOOMBERG_MID_G_SPREAD","YAS_BOND_PX="&amp;X268,"YAS_BNCHMRK_BOND_PX="&amp;Z268),"--")</f>
        <v>#N/A Requesting Data...</v>
      </c>
      <c r="AC268" s="19" t="str">
        <f>IFERROR(_xll.BDP(D268,"LAST_PRICE"),"--")</f>
        <v>#N/A Requesting Data...</v>
      </c>
      <c r="AD268" s="20"/>
      <c r="AE268" s="19" t="str">
        <f t="shared" si="16"/>
        <v>#N/A Requesting Data...</v>
      </c>
      <c r="AF268" s="19" t="str">
        <f t="shared" si="17"/>
        <v>--</v>
      </c>
      <c r="AG268" s="21" t="str">
        <f t="shared" si="18"/>
        <v>--</v>
      </c>
      <c r="AH268" s="19" t="str">
        <f t="shared" si="19"/>
        <v>--</v>
      </c>
    </row>
    <row r="269" spans="1:34" x14ac:dyDescent="0.45">
      <c r="A269" s="7" t="s">
        <v>1101</v>
      </c>
      <c r="B269" s="31" t="s">
        <v>1057</v>
      </c>
      <c r="C269" s="7" t="s">
        <v>1102</v>
      </c>
      <c r="D269" s="8" t="s">
        <v>1103</v>
      </c>
      <c r="E269" s="8" t="s">
        <v>1104</v>
      </c>
      <c r="F269" s="9">
        <v>45736</v>
      </c>
      <c r="G269" s="9">
        <v>46226</v>
      </c>
      <c r="H269" s="9">
        <v>49480</v>
      </c>
      <c r="I269" s="10">
        <v>50.694099426269531</v>
      </c>
      <c r="J269" s="10">
        <v>32.007999420166023</v>
      </c>
      <c r="K269" s="10">
        <v>62.231000000000002</v>
      </c>
      <c r="L269" s="10">
        <v>58.896000000000001</v>
      </c>
      <c r="M269" s="11">
        <v>337</v>
      </c>
      <c r="N269" s="12">
        <v>-11.53690057373047</v>
      </c>
      <c r="O269" s="13">
        <v>-37.060801879882817</v>
      </c>
      <c r="P269" s="13">
        <v>-4.9910018920898409</v>
      </c>
      <c r="Q269" s="13">
        <v>-15.3331725105263</v>
      </c>
      <c r="R269" s="14">
        <v>79.588589002325378</v>
      </c>
      <c r="S269" s="13">
        <v>-30.22300057983399</v>
      </c>
      <c r="T269" s="13">
        <v>-49.248801605224607</v>
      </c>
      <c r="U269" s="13">
        <v>-20.984901641845699</v>
      </c>
      <c r="V269" s="13">
        <v>-31.04172859787252</v>
      </c>
      <c r="W269" s="15">
        <v>67.314847031167176</v>
      </c>
      <c r="X269" s="16" t="str">
        <f>IFERROR(_xll.BDP(E269&amp;" Corp","LAST_PRICE"),"--")</f>
        <v>#N/A Requesting Data...</v>
      </c>
      <c r="Y269" s="17" t="str">
        <f>IFERROR(_xll.BDP(E269&amp;" Corp","YAS_BENCHMARK_BOND_ISIN"),"--")</f>
        <v>#N/A Requesting Data...</v>
      </c>
      <c r="Z269" s="18" t="str">
        <f>IFERROR(_xll.BDP(Y269&amp;" CORP","LAST_PRICE"),"--")</f>
        <v>#N/A Requesting Data... CORP</v>
      </c>
      <c r="AA269" s="19" t="str">
        <f>IFERROR(_xll.BDP(E269&amp;" Corp","YAS_YLD_SPREAD","YAS_BOND_PX="&amp;X269,"YAS_BNCHMRK_BOND_PX="&amp;Z269),"--")</f>
        <v>#N/A Requesting Data...</v>
      </c>
      <c r="AB269" s="19" t="str">
        <f>IFERROR(_xll.BDP(E269&amp;" Corp","BLOOMBERG_MID_G_SPREAD","YAS_BOND_PX="&amp;X269,"YAS_BNCHMRK_BOND_PX="&amp;Z269),"--")</f>
        <v>#N/A Requesting Data...</v>
      </c>
      <c r="AC269" s="19" t="str">
        <f>IFERROR(_xll.BDP(D269,"LAST_PRICE"),"--")</f>
        <v>#N/A Requesting Data...</v>
      </c>
      <c r="AD269" s="20"/>
      <c r="AE269" s="19" t="str">
        <f t="shared" si="16"/>
        <v>#N/A Requesting Data...</v>
      </c>
      <c r="AF269" s="19" t="str">
        <f t="shared" si="17"/>
        <v>--</v>
      </c>
      <c r="AG269" s="21" t="str">
        <f t="shared" si="18"/>
        <v>--</v>
      </c>
      <c r="AH269" s="19" t="str">
        <f t="shared" si="19"/>
        <v>--</v>
      </c>
    </row>
    <row r="270" spans="1:34" x14ac:dyDescent="0.45">
      <c r="A270" s="22" t="s">
        <v>1105</v>
      </c>
      <c r="B270" s="31" t="s">
        <v>1057</v>
      </c>
      <c r="C270" s="22" t="s">
        <v>1106</v>
      </c>
      <c r="D270" s="23" t="s">
        <v>1107</v>
      </c>
      <c r="E270" s="23" t="s">
        <v>1108</v>
      </c>
      <c r="F270" s="24">
        <v>46044</v>
      </c>
      <c r="G270" s="24">
        <v>46226</v>
      </c>
      <c r="H270" s="24">
        <v>47837</v>
      </c>
      <c r="I270" s="25">
        <v>86.321998596191406</v>
      </c>
      <c r="J270" s="25">
        <v>95.724800109863281</v>
      </c>
      <c r="K270" s="25">
        <v>92.304000000000002</v>
      </c>
      <c r="L270" s="25">
        <v>96.433000000000007</v>
      </c>
      <c r="M270" s="26">
        <v>128</v>
      </c>
      <c r="N270" s="27">
        <v>-5.9820014038085958</v>
      </c>
      <c r="O270" s="28">
        <v>-27.81129986572266</v>
      </c>
      <c r="P270" s="28">
        <v>18.781502807617191</v>
      </c>
      <c r="Q270" s="28">
        <v>-9.2522050619125373</v>
      </c>
      <c r="R270" s="29">
        <v>46.851224243706362</v>
      </c>
      <c r="S270" s="28">
        <v>3.4208001098632792</v>
      </c>
      <c r="T270" s="28">
        <v>-20.30519635009766</v>
      </c>
      <c r="U270" s="28">
        <v>32.540597045898437</v>
      </c>
      <c r="V270" s="28">
        <v>0.82601929903030369</v>
      </c>
      <c r="W270" s="30">
        <v>44.896660519735057</v>
      </c>
      <c r="X270" s="16" t="str">
        <f>IFERROR(_xll.BDP(E270&amp;" Corp","LAST_PRICE"),"--")</f>
        <v>#N/A Requesting Data...</v>
      </c>
      <c r="Y270" s="17" t="str">
        <f>IFERROR(_xll.BDP(E270&amp;" Corp","YAS_BENCHMARK_BOND_ISIN"),"--")</f>
        <v>#N/A Requesting Data...</v>
      </c>
      <c r="Z270" s="18" t="str">
        <f>IFERROR(_xll.BDP(Y270&amp;" CORP","LAST_PRICE"),"--")</f>
        <v>#N/A Requesting Data... CORP</v>
      </c>
      <c r="AA270" s="19" t="str">
        <f>IFERROR(_xll.BDP(E270&amp;" Corp","YAS_YLD_SPREAD","YAS_BOND_PX="&amp;X270,"YAS_BNCHMRK_BOND_PX="&amp;Z270),"--")</f>
        <v>#N/A Requesting Data...</v>
      </c>
      <c r="AB270" s="19" t="str">
        <f>IFERROR(_xll.BDP(E270&amp;" Corp","BLOOMBERG_MID_G_SPREAD","YAS_BOND_PX="&amp;X270,"YAS_BNCHMRK_BOND_PX="&amp;Z270),"--")</f>
        <v>#N/A Requesting Data...</v>
      </c>
      <c r="AC270" s="19" t="str">
        <f>IFERROR(_xll.BDP(D270,"LAST_PRICE"),"--")</f>
        <v>#N/A Requesting Data...</v>
      </c>
      <c r="AD270" s="20"/>
      <c r="AE270" s="19" t="str">
        <f t="shared" si="16"/>
        <v>#N/A Requesting Data...</v>
      </c>
      <c r="AF270" s="19" t="str">
        <f t="shared" si="17"/>
        <v>--</v>
      </c>
      <c r="AG270" s="21" t="str">
        <f t="shared" si="18"/>
        <v>--</v>
      </c>
      <c r="AH270" s="19" t="str">
        <f t="shared" si="19"/>
        <v>--</v>
      </c>
    </row>
    <row r="271" spans="1:34" x14ac:dyDescent="0.45">
      <c r="A271" s="7" t="s">
        <v>1109</v>
      </c>
      <c r="B271" s="31" t="s">
        <v>1057</v>
      </c>
      <c r="C271" s="7" t="s">
        <v>1110</v>
      </c>
      <c r="D271" s="8" t="s">
        <v>1111</v>
      </c>
      <c r="E271" s="8" t="s">
        <v>1112</v>
      </c>
      <c r="F271" s="9"/>
      <c r="G271" s="9"/>
      <c r="H271" s="9">
        <v>50394</v>
      </c>
      <c r="I271" s="10"/>
      <c r="J271" s="10">
        <v>73.42669677734375</v>
      </c>
      <c r="K271" s="10"/>
      <c r="L271" s="10">
        <v>157.20099999999999</v>
      </c>
      <c r="M271" s="11">
        <v>0</v>
      </c>
      <c r="N271" s="12"/>
      <c r="O271" s="13"/>
      <c r="P271" s="13"/>
      <c r="Q271" s="13"/>
      <c r="R271" s="14"/>
      <c r="S271" s="13">
        <v>-75.152303222656258</v>
      </c>
      <c r="T271" s="13">
        <v>-126.6440017700195</v>
      </c>
      <c r="U271" s="13">
        <v>-51.710900939941411</v>
      </c>
      <c r="V271" s="13">
        <v>-80.753408342410353</v>
      </c>
      <c r="W271" s="15">
        <v>68.716892770964208</v>
      </c>
      <c r="X271" s="16" t="str">
        <f>IFERROR(_xll.BDP(E271&amp;" Corp","LAST_PRICE"),"--")</f>
        <v>#N/A Requesting Data...</v>
      </c>
      <c r="Y271" s="17" t="str">
        <f>IFERROR(_xll.BDP(E271&amp;" Corp","YAS_BENCHMARK_BOND_ISIN"),"--")</f>
        <v>#N/A Requesting Data...</v>
      </c>
      <c r="Z271" s="18" t="str">
        <f>IFERROR(_xll.BDP(Y271&amp;" CORP","LAST_PRICE"),"--")</f>
        <v>#N/A Requesting Data... CORP</v>
      </c>
      <c r="AA271" s="19" t="str">
        <f>IFERROR(_xll.BDP(E271&amp;" Corp","YAS_YLD_SPREAD","YAS_BOND_PX="&amp;X271,"YAS_BNCHMRK_BOND_PX="&amp;Z271),"--")</f>
        <v>#N/A Requesting Data...</v>
      </c>
      <c r="AB271" s="19" t="str">
        <f>IFERROR(_xll.BDP(E271&amp;" Corp","BLOOMBERG_MID_G_SPREAD","YAS_BOND_PX="&amp;X271,"YAS_BNCHMRK_BOND_PX="&amp;Z271),"--")</f>
        <v>#N/A Requesting Data...</v>
      </c>
      <c r="AC271" s="19" t="str">
        <f>IFERROR(_xll.BDP(D271,"LAST_PRICE"),"--")</f>
        <v>#N/A Requesting Data...</v>
      </c>
      <c r="AD271" s="20"/>
      <c r="AE271" s="19" t="str">
        <f t="shared" si="16"/>
        <v>#N/A Requesting Data...</v>
      </c>
      <c r="AF271" s="19" t="str">
        <f t="shared" si="17"/>
        <v>--</v>
      </c>
      <c r="AG271" s="21" t="str">
        <f t="shared" si="18"/>
        <v>--</v>
      </c>
      <c r="AH271" s="19" t="str">
        <f t="shared" si="19"/>
        <v>--</v>
      </c>
    </row>
    <row r="272" spans="1:34" x14ac:dyDescent="0.45">
      <c r="A272" s="22" t="s">
        <v>1113</v>
      </c>
      <c r="B272" s="31" t="s">
        <v>1057</v>
      </c>
      <c r="C272" s="22" t="s">
        <v>1114</v>
      </c>
      <c r="D272" s="23" t="s">
        <v>1115</v>
      </c>
      <c r="E272" s="23" t="s">
        <v>1116</v>
      </c>
      <c r="F272" s="24">
        <v>45980</v>
      </c>
      <c r="G272" s="24">
        <v>46226</v>
      </c>
      <c r="H272" s="24">
        <v>48202</v>
      </c>
      <c r="I272" s="25">
        <v>67.138298034667969</v>
      </c>
      <c r="J272" s="25">
        <v>60.093498229980469</v>
      </c>
      <c r="K272" s="25">
        <v>88.64</v>
      </c>
      <c r="L272" s="25">
        <v>92.501999999999995</v>
      </c>
      <c r="M272" s="26">
        <v>171</v>
      </c>
      <c r="N272" s="27">
        <v>-21.501701965332028</v>
      </c>
      <c r="O272" s="28">
        <v>-29.12290307617188</v>
      </c>
      <c r="P272" s="28">
        <v>-9.3769008178710891</v>
      </c>
      <c r="Q272" s="28">
        <v>-22.44969911756014</v>
      </c>
      <c r="R272" s="29">
        <v>38.596172587978209</v>
      </c>
      <c r="S272" s="28">
        <v>-28.546501770019528</v>
      </c>
      <c r="T272" s="28">
        <v>-36.546601501464849</v>
      </c>
      <c r="U272" s="28">
        <v>-14.87140002441406</v>
      </c>
      <c r="V272" s="28">
        <v>-28.78038634486505</v>
      </c>
      <c r="W272" s="30">
        <v>36.908998238912062</v>
      </c>
      <c r="X272" s="16" t="str">
        <f>IFERROR(_xll.BDP(E272&amp;" Corp","LAST_PRICE"),"--")</f>
        <v>#N/A Requesting Data...</v>
      </c>
      <c r="Y272" s="17" t="str">
        <f>IFERROR(_xll.BDP(E272&amp;" Corp","YAS_BENCHMARK_BOND_ISIN"),"--")</f>
        <v>#N/A Requesting Data...</v>
      </c>
      <c r="Z272" s="18" t="str">
        <f>IFERROR(_xll.BDP(Y272&amp;" CORP","LAST_PRICE"),"--")</f>
        <v>#N/A Requesting Data... CORP</v>
      </c>
      <c r="AA272" s="19" t="str">
        <f>IFERROR(_xll.BDP(E272&amp;" Corp","YAS_YLD_SPREAD","YAS_BOND_PX="&amp;X272,"YAS_BNCHMRK_BOND_PX="&amp;Z272),"--")</f>
        <v>#N/A Requesting Data...</v>
      </c>
      <c r="AB272" s="19" t="str">
        <f>IFERROR(_xll.BDP(E272&amp;" Corp","BLOOMBERG_MID_G_SPREAD","YAS_BOND_PX="&amp;X272,"YAS_BNCHMRK_BOND_PX="&amp;Z272),"--")</f>
        <v>#N/A Requesting Data...</v>
      </c>
      <c r="AC272" s="19" t="str">
        <f>IFERROR(_xll.BDP(D272,"LAST_PRICE"),"--")</f>
        <v>#N/A Requesting Data...</v>
      </c>
      <c r="AD272" s="20"/>
      <c r="AE272" s="19" t="str">
        <f t="shared" si="16"/>
        <v>#N/A Requesting Data...</v>
      </c>
      <c r="AF272" s="19" t="str">
        <f t="shared" si="17"/>
        <v>--</v>
      </c>
      <c r="AG272" s="21" t="str">
        <f t="shared" si="18"/>
        <v>--</v>
      </c>
      <c r="AH272" s="19" t="str">
        <f t="shared" si="19"/>
        <v>--</v>
      </c>
    </row>
    <row r="273" spans="1:34" x14ac:dyDescent="0.45">
      <c r="A273" s="7" t="s">
        <v>1117</v>
      </c>
      <c r="B273" s="31" t="s">
        <v>1057</v>
      </c>
      <c r="C273" s="7" t="s">
        <v>1118</v>
      </c>
      <c r="D273" s="8" t="s">
        <v>1119</v>
      </c>
      <c r="E273" s="8" t="s">
        <v>1120</v>
      </c>
      <c r="F273" s="9">
        <v>45659</v>
      </c>
      <c r="G273" s="9">
        <v>46226</v>
      </c>
      <c r="H273" s="9">
        <v>48202</v>
      </c>
      <c r="I273" s="10">
        <v>39.260700225830078</v>
      </c>
      <c r="J273" s="10">
        <v>34.642501831054688</v>
      </c>
      <c r="K273" s="10">
        <v>72.141000000000005</v>
      </c>
      <c r="L273" s="10">
        <v>73.646000000000001</v>
      </c>
      <c r="M273" s="11">
        <v>397</v>
      </c>
      <c r="N273" s="12">
        <v>-32.880299774169927</v>
      </c>
      <c r="O273" s="13">
        <v>-55.69910241699219</v>
      </c>
      <c r="P273" s="13">
        <v>-24.395900146484379</v>
      </c>
      <c r="Q273" s="13">
        <v>-36.356575783371618</v>
      </c>
      <c r="R273" s="14">
        <v>72.896064899791128</v>
      </c>
      <c r="S273" s="13">
        <v>-37.498498168945318</v>
      </c>
      <c r="T273" s="13">
        <v>-60.558301940917971</v>
      </c>
      <c r="U273" s="13">
        <v>-29.166499511718751</v>
      </c>
      <c r="V273" s="13">
        <v>-40.90743875148975</v>
      </c>
      <c r="W273" s="15">
        <v>73.458043143529338</v>
      </c>
      <c r="X273" s="16" t="str">
        <f>IFERROR(_xll.BDP(E273&amp;" Corp","LAST_PRICE"),"--")</f>
        <v>#N/A Requesting Data...</v>
      </c>
      <c r="Y273" s="17" t="str">
        <f>IFERROR(_xll.BDP(E273&amp;" Corp","YAS_BENCHMARK_BOND_ISIN"),"--")</f>
        <v>#N/A Requesting Data...</v>
      </c>
      <c r="Z273" s="18" t="str">
        <f>IFERROR(_xll.BDP(Y273&amp;" CORP","LAST_PRICE"),"--")</f>
        <v>#N/A Requesting Data... CORP</v>
      </c>
      <c r="AA273" s="19" t="str">
        <f>IFERROR(_xll.BDP(E273&amp;" Corp","YAS_YLD_SPREAD","YAS_BOND_PX="&amp;X273,"YAS_BNCHMRK_BOND_PX="&amp;Z273),"--")</f>
        <v>#N/A Requesting Data...</v>
      </c>
      <c r="AB273" s="19" t="str">
        <f>IFERROR(_xll.BDP(E273&amp;" Corp","BLOOMBERG_MID_G_SPREAD","YAS_BOND_PX="&amp;X273,"YAS_BNCHMRK_BOND_PX="&amp;Z273),"--")</f>
        <v>#N/A Requesting Data...</v>
      </c>
      <c r="AC273" s="19" t="str">
        <f>IFERROR(_xll.BDP(D273,"LAST_PRICE"),"--")</f>
        <v>#N/A Requesting Data...</v>
      </c>
      <c r="AD273" s="20"/>
      <c r="AE273" s="19" t="str">
        <f t="shared" si="16"/>
        <v>#N/A Requesting Data...</v>
      </c>
      <c r="AF273" s="19" t="str">
        <f t="shared" si="17"/>
        <v>--</v>
      </c>
      <c r="AG273" s="21" t="str">
        <f t="shared" si="18"/>
        <v>--</v>
      </c>
      <c r="AH273" s="19" t="str">
        <f t="shared" si="19"/>
        <v>--</v>
      </c>
    </row>
    <row r="274" spans="1:34" x14ac:dyDescent="0.45">
      <c r="A274" s="22" t="s">
        <v>1121</v>
      </c>
      <c r="B274" s="32" t="s">
        <v>1122</v>
      </c>
      <c r="C274" s="22" t="s">
        <v>1123</v>
      </c>
      <c r="D274" s="23" t="s">
        <v>1124</v>
      </c>
      <c r="E274" s="23" t="s">
        <v>1125</v>
      </c>
      <c r="F274" s="24">
        <v>46044</v>
      </c>
      <c r="G274" s="24">
        <v>46226</v>
      </c>
      <c r="H274" s="24">
        <v>48385</v>
      </c>
      <c r="I274" s="25">
        <v>304.54119873046881</v>
      </c>
      <c r="J274" s="25">
        <v>277.9053955078125</v>
      </c>
      <c r="K274" s="25">
        <v>242.321</v>
      </c>
      <c r="L274" s="25">
        <v>237.91200000000001</v>
      </c>
      <c r="M274" s="26">
        <v>128</v>
      </c>
      <c r="N274" s="27">
        <v>62.220198730468752</v>
      </c>
      <c r="O274" s="28">
        <v>31.284114257812519</v>
      </c>
      <c r="P274" s="28">
        <v>93.755713134765642</v>
      </c>
      <c r="Q274" s="28">
        <v>64.914049184799197</v>
      </c>
      <c r="R274" s="29">
        <v>49.520238042233153</v>
      </c>
      <c r="S274" s="28">
        <v>35.584395507812502</v>
      </c>
      <c r="T274" s="28">
        <v>11.19869262695312</v>
      </c>
      <c r="U274" s="28">
        <v>66.013785888671862</v>
      </c>
      <c r="V274" s="28">
        <v>41.564021862030032</v>
      </c>
      <c r="W274" s="30">
        <v>44.487204946323871</v>
      </c>
      <c r="X274" s="16" t="str">
        <f>IFERROR(_xll.BDP(E274&amp;" Corp","LAST_PRICE"),"--")</f>
        <v>#N/A Requesting Data...</v>
      </c>
      <c r="Y274" s="17" t="str">
        <f>IFERROR(_xll.BDP(E274&amp;" Corp","YAS_BENCHMARK_BOND_ISIN"),"--")</f>
        <v>#N/A Requesting Data...</v>
      </c>
      <c r="Z274" s="18" t="str">
        <f>IFERROR(_xll.BDP(Y274&amp;" CORP","LAST_PRICE"),"--")</f>
        <v>#N/A Requesting Data... CORP</v>
      </c>
      <c r="AA274" s="19" t="str">
        <f>IFERROR(_xll.BDP(E274&amp;" Corp","YAS_YLD_SPREAD","YAS_BOND_PX="&amp;X274,"YAS_BNCHMRK_BOND_PX="&amp;Z274),"--")</f>
        <v>#N/A Requesting Data...</v>
      </c>
      <c r="AB274" s="19" t="str">
        <f>IFERROR(_xll.BDP(E274&amp;" Corp","BLOOMBERG_MID_G_SPREAD","YAS_BOND_PX="&amp;X274,"YAS_BNCHMRK_BOND_PX="&amp;Z274),"--")</f>
        <v>#N/A Requesting Data...</v>
      </c>
      <c r="AC274" s="19" t="str">
        <f>IFERROR(_xll.BDP(D274,"LAST_PRICE"),"--")</f>
        <v>#N/A Requesting Data...</v>
      </c>
      <c r="AD274" s="20"/>
      <c r="AE274" s="19" t="str">
        <f t="shared" si="16"/>
        <v>#N/A Requesting Data...</v>
      </c>
      <c r="AF274" s="19" t="str">
        <f t="shared" si="17"/>
        <v>--</v>
      </c>
      <c r="AG274" s="21" t="str">
        <f t="shared" si="18"/>
        <v>--</v>
      </c>
      <c r="AH274" s="19" t="str">
        <f t="shared" si="19"/>
        <v>--</v>
      </c>
    </row>
    <row r="275" spans="1:34" x14ac:dyDescent="0.45">
      <c r="A275" s="7" t="s">
        <v>1126</v>
      </c>
      <c r="B275" s="32" t="s">
        <v>1122</v>
      </c>
      <c r="C275" s="7" t="s">
        <v>1127</v>
      </c>
      <c r="D275" s="8" t="s">
        <v>1128</v>
      </c>
      <c r="E275" s="8" t="s">
        <v>1129</v>
      </c>
      <c r="F275" s="9">
        <v>45659</v>
      </c>
      <c r="G275" s="9">
        <v>46226</v>
      </c>
      <c r="H275" s="9">
        <v>48202</v>
      </c>
      <c r="I275" s="10">
        <v>311.6802978515625</v>
      </c>
      <c r="J275" s="10">
        <v>275.29681396484381</v>
      </c>
      <c r="K275" s="10">
        <v>263.39</v>
      </c>
      <c r="L275" s="10">
        <v>265.327</v>
      </c>
      <c r="M275" s="11">
        <v>397</v>
      </c>
      <c r="N275" s="12">
        <v>48.290297851562507</v>
      </c>
      <c r="O275" s="13">
        <v>-8.4188046875000282</v>
      </c>
      <c r="P275" s="13">
        <v>68.376710205078098</v>
      </c>
      <c r="Q275" s="13">
        <v>29.1399559765871</v>
      </c>
      <c r="R275" s="14">
        <v>73.844289758832218</v>
      </c>
      <c r="S275" s="13">
        <v>11.90681396484376</v>
      </c>
      <c r="T275" s="13">
        <v>-39.415386718750028</v>
      </c>
      <c r="U275" s="13">
        <v>52.098211425781237</v>
      </c>
      <c r="V275" s="13">
        <v>2.201991217702103</v>
      </c>
      <c r="W275" s="15">
        <v>56.081502338634401</v>
      </c>
      <c r="X275" s="16" t="str">
        <f>IFERROR(_xll.BDP(E275&amp;" Corp","LAST_PRICE"),"--")</f>
        <v>#N/A Requesting Data...</v>
      </c>
      <c r="Y275" s="17" t="str">
        <f>IFERROR(_xll.BDP(E275&amp;" Corp","YAS_BENCHMARK_BOND_ISIN"),"--")</f>
        <v>#N/A Requesting Data...</v>
      </c>
      <c r="Z275" s="18" t="str">
        <f>IFERROR(_xll.BDP(Y275&amp;" CORP","LAST_PRICE"),"--")</f>
        <v>#N/A Requesting Data... CORP</v>
      </c>
      <c r="AA275" s="19" t="str">
        <f>IFERROR(_xll.BDP(E275&amp;" Corp","YAS_YLD_SPREAD","YAS_BOND_PX="&amp;X275,"YAS_BNCHMRK_BOND_PX="&amp;Z275),"--")</f>
        <v>#N/A Requesting Data...</v>
      </c>
      <c r="AB275" s="19" t="str">
        <f>IFERROR(_xll.BDP(E275&amp;" Corp","BLOOMBERG_MID_G_SPREAD","YAS_BOND_PX="&amp;X275,"YAS_BNCHMRK_BOND_PX="&amp;Z275),"--")</f>
        <v>#N/A Requesting Data...</v>
      </c>
      <c r="AC275" s="19" t="str">
        <f>IFERROR(_xll.BDP(D275,"LAST_PRICE"),"--")</f>
        <v>#N/A Requesting Data...</v>
      </c>
      <c r="AD275" s="20"/>
      <c r="AE275" s="19" t="str">
        <f t="shared" si="16"/>
        <v>#N/A Requesting Data...</v>
      </c>
      <c r="AF275" s="19" t="str">
        <f t="shared" si="17"/>
        <v>--</v>
      </c>
      <c r="AG275" s="21" t="str">
        <f t="shared" si="18"/>
        <v>--</v>
      </c>
      <c r="AH275" s="19" t="str">
        <f t="shared" si="19"/>
        <v>--</v>
      </c>
    </row>
    <row r="276" spans="1:34" x14ac:dyDescent="0.45">
      <c r="A276" s="22" t="s">
        <v>1130</v>
      </c>
      <c r="B276" s="32" t="s">
        <v>1122</v>
      </c>
      <c r="C276" s="22" t="s">
        <v>1131</v>
      </c>
      <c r="D276" s="23" t="s">
        <v>1132</v>
      </c>
      <c r="E276" s="23" t="s">
        <v>1133</v>
      </c>
      <c r="F276" s="24">
        <v>46034</v>
      </c>
      <c r="G276" s="24">
        <v>46226</v>
      </c>
      <c r="H276" s="24">
        <v>48019</v>
      </c>
      <c r="I276" s="25">
        <v>162.039306640625</v>
      </c>
      <c r="J276" s="25">
        <v>162.039306640625</v>
      </c>
      <c r="K276" s="25">
        <v>157.887</v>
      </c>
      <c r="L276" s="25">
        <v>165.83799999999999</v>
      </c>
      <c r="M276" s="26">
        <v>136</v>
      </c>
      <c r="N276" s="27">
        <v>4.1523066406250004</v>
      </c>
      <c r="O276" s="28">
        <v>-19.521597412109369</v>
      </c>
      <c r="P276" s="28">
        <v>30.931195312499991</v>
      </c>
      <c r="Q276" s="28">
        <v>5.9776380642161664</v>
      </c>
      <c r="R276" s="29">
        <v>46.922881319881718</v>
      </c>
      <c r="S276" s="28">
        <v>4.1523066406250004</v>
      </c>
      <c r="T276" s="28">
        <v>-19.521597412109369</v>
      </c>
      <c r="U276" s="28">
        <v>30.931195312499991</v>
      </c>
      <c r="V276" s="28">
        <v>5.9776380642161664</v>
      </c>
      <c r="W276" s="30">
        <v>46.922881319881718</v>
      </c>
      <c r="X276" s="16" t="str">
        <f>IFERROR(_xll.BDP(E276&amp;" Corp","LAST_PRICE"),"--")</f>
        <v>#N/A Requesting Data...</v>
      </c>
      <c r="Y276" s="17" t="str">
        <f>IFERROR(_xll.BDP(E276&amp;" Corp","YAS_BENCHMARK_BOND_ISIN"),"--")</f>
        <v>#N/A Requesting Data...</v>
      </c>
      <c r="Z276" s="18" t="str">
        <f>IFERROR(_xll.BDP(Y276&amp;" CORP","LAST_PRICE"),"--")</f>
        <v>#N/A Requesting Data... CORP</v>
      </c>
      <c r="AA276" s="19" t="str">
        <f>IFERROR(_xll.BDP(E276&amp;" Corp","YAS_YLD_SPREAD","YAS_BOND_PX="&amp;X276,"YAS_BNCHMRK_BOND_PX="&amp;Z276),"--")</f>
        <v>#N/A Requesting Data...</v>
      </c>
      <c r="AB276" s="19" t="str">
        <f>IFERROR(_xll.BDP(E276&amp;" Corp","BLOOMBERG_MID_G_SPREAD","YAS_BOND_PX="&amp;X276,"YAS_BNCHMRK_BOND_PX="&amp;Z276),"--")</f>
        <v>#N/A Requesting Data...</v>
      </c>
      <c r="AC276" s="19" t="str">
        <f>IFERROR(_xll.BDP(D276,"LAST_PRICE"),"--")</f>
        <v>#N/A Requesting Data...</v>
      </c>
      <c r="AD276" s="20"/>
      <c r="AE276" s="19" t="str">
        <f t="shared" si="16"/>
        <v>#N/A Requesting Data...</v>
      </c>
      <c r="AF276" s="19" t="str">
        <f t="shared" si="17"/>
        <v>--</v>
      </c>
      <c r="AG276" s="21" t="str">
        <f t="shared" si="18"/>
        <v>--</v>
      </c>
      <c r="AH276" s="19" t="str">
        <f t="shared" si="19"/>
        <v>--</v>
      </c>
    </row>
    <row r="277" spans="1:34" x14ac:dyDescent="0.45">
      <c r="A277" s="7" t="s">
        <v>1134</v>
      </c>
      <c r="B277" s="32" t="s">
        <v>1122</v>
      </c>
      <c r="C277" s="7" t="s">
        <v>1135</v>
      </c>
      <c r="D277" s="8" t="s">
        <v>1136</v>
      </c>
      <c r="E277" s="8" t="s">
        <v>1137</v>
      </c>
      <c r="F277" s="9">
        <v>46044</v>
      </c>
      <c r="G277" s="9">
        <v>46226</v>
      </c>
      <c r="H277" s="9">
        <v>47654</v>
      </c>
      <c r="I277" s="10">
        <v>168.17820739746091</v>
      </c>
      <c r="J277" s="10">
        <v>208.7196960449219</v>
      </c>
      <c r="K277" s="10">
        <v>177.684</v>
      </c>
      <c r="L277" s="10">
        <v>179.30099999999999</v>
      </c>
      <c r="M277" s="11">
        <v>127</v>
      </c>
      <c r="N277" s="12">
        <v>-9.50579260253906</v>
      </c>
      <c r="O277" s="13">
        <v>-14.454797851562491</v>
      </c>
      <c r="P277" s="13">
        <v>61.070911621093757</v>
      </c>
      <c r="Q277" s="13">
        <v>31.655213980607162</v>
      </c>
      <c r="R277" s="14">
        <v>6.5527424814396413</v>
      </c>
      <c r="S277" s="13">
        <v>31.035696044921881</v>
      </c>
      <c r="T277" s="13">
        <v>25.74370373535157</v>
      </c>
      <c r="U277" s="13">
        <v>116.1222116699219</v>
      </c>
      <c r="V277" s="13">
        <v>74.499012280081217</v>
      </c>
      <c r="W277" s="15">
        <v>5.8553658723835671</v>
      </c>
      <c r="X277" s="16" t="str">
        <f>IFERROR(_xll.BDP(E277&amp;" Corp","LAST_PRICE"),"--")</f>
        <v>#N/A Requesting Data...</v>
      </c>
      <c r="Y277" s="17" t="str">
        <f>IFERROR(_xll.BDP(E277&amp;" Corp","YAS_BENCHMARK_BOND_ISIN"),"--")</f>
        <v>#N/A Requesting Data...</v>
      </c>
      <c r="Z277" s="18" t="str">
        <f>IFERROR(_xll.BDP(Y277&amp;" CORP","LAST_PRICE"),"--")</f>
        <v>#N/A Requesting Data... CORP</v>
      </c>
      <c r="AA277" s="19" t="str">
        <f>IFERROR(_xll.BDP(E277&amp;" Corp","YAS_YLD_SPREAD","YAS_BOND_PX="&amp;X277,"YAS_BNCHMRK_BOND_PX="&amp;Z277),"--")</f>
        <v>#N/A Requesting Data...</v>
      </c>
      <c r="AB277" s="19" t="str">
        <f>IFERROR(_xll.BDP(E277&amp;" Corp","BLOOMBERG_MID_G_SPREAD","YAS_BOND_PX="&amp;X277,"YAS_BNCHMRK_BOND_PX="&amp;Z277),"--")</f>
        <v>#N/A Requesting Data...</v>
      </c>
      <c r="AC277" s="19" t="str">
        <f>IFERROR(_xll.BDP(D277,"LAST_PRICE"),"--")</f>
        <v>#N/A Requesting Data...</v>
      </c>
      <c r="AD277" s="20"/>
      <c r="AE277" s="19" t="str">
        <f t="shared" si="16"/>
        <v>#N/A Requesting Data...</v>
      </c>
      <c r="AF277" s="19" t="str">
        <f t="shared" si="17"/>
        <v>--</v>
      </c>
      <c r="AG277" s="21" t="str">
        <f t="shared" si="18"/>
        <v>--</v>
      </c>
      <c r="AH277" s="19" t="str">
        <f t="shared" si="19"/>
        <v>--</v>
      </c>
    </row>
    <row r="278" spans="1:34" x14ac:dyDescent="0.45">
      <c r="A278" s="22" t="s">
        <v>1138</v>
      </c>
      <c r="B278" s="32" t="s">
        <v>1122</v>
      </c>
      <c r="C278" s="22" t="s">
        <v>1139</v>
      </c>
      <c r="D278" s="23" t="s">
        <v>1140</v>
      </c>
      <c r="E278" s="23" t="s">
        <v>1141</v>
      </c>
      <c r="F278" s="24">
        <v>45735</v>
      </c>
      <c r="G278" s="24">
        <v>46226</v>
      </c>
      <c r="H278" s="24">
        <v>47472</v>
      </c>
      <c r="I278" s="25">
        <v>386.2025146484375</v>
      </c>
      <c r="J278" s="25">
        <v>474.35549926757813</v>
      </c>
      <c r="K278" s="25">
        <v>388.47800000000001</v>
      </c>
      <c r="L278" s="25">
        <v>396.03800000000001</v>
      </c>
      <c r="M278" s="26">
        <v>343</v>
      </c>
      <c r="N278" s="27">
        <v>-2.2754853515625091</v>
      </c>
      <c r="O278" s="28">
        <v>-199.0562958984375</v>
      </c>
      <c r="P278" s="28">
        <v>9.5062854003906523</v>
      </c>
      <c r="Q278" s="28">
        <v>-77.779531368155531</v>
      </c>
      <c r="R278" s="29">
        <v>94.350966180710884</v>
      </c>
      <c r="S278" s="28">
        <v>85.877499267578116</v>
      </c>
      <c r="T278" s="28">
        <v>-98.701620605468747</v>
      </c>
      <c r="U278" s="28">
        <v>121.9961938476562</v>
      </c>
      <c r="V278" s="28">
        <v>6.8890458839913062</v>
      </c>
      <c r="W278" s="30">
        <v>83.634321586021173</v>
      </c>
      <c r="X278" s="16" t="str">
        <f>IFERROR(_xll.BDP(E278&amp;" Corp","LAST_PRICE"),"--")</f>
        <v>#N/A Requesting Data...</v>
      </c>
      <c r="Y278" s="17" t="str">
        <f>IFERROR(_xll.BDP(E278&amp;" Corp","YAS_BENCHMARK_BOND_ISIN"),"--")</f>
        <v>#N/A Requesting Data...</v>
      </c>
      <c r="Z278" s="18" t="str">
        <f>IFERROR(_xll.BDP(Y278&amp;" CORP","LAST_PRICE"),"--")</f>
        <v>#N/A Requesting Data... CORP</v>
      </c>
      <c r="AA278" s="19" t="str">
        <f>IFERROR(_xll.BDP(E278&amp;" Corp","YAS_YLD_SPREAD","YAS_BOND_PX="&amp;X278,"YAS_BNCHMRK_BOND_PX="&amp;Z278),"--")</f>
        <v>#N/A Requesting Data...</v>
      </c>
      <c r="AB278" s="19" t="str">
        <f>IFERROR(_xll.BDP(E278&amp;" Corp","BLOOMBERG_MID_G_SPREAD","YAS_BOND_PX="&amp;X278,"YAS_BNCHMRK_BOND_PX="&amp;Z278),"--")</f>
        <v>#N/A Requesting Data...</v>
      </c>
      <c r="AC278" s="19" t="str">
        <f>IFERROR(_xll.BDP(D278,"LAST_PRICE"),"--")</f>
        <v>#N/A Requesting Data...</v>
      </c>
      <c r="AD278" s="20"/>
      <c r="AE278" s="19" t="str">
        <f t="shared" si="16"/>
        <v>#N/A Requesting Data...</v>
      </c>
      <c r="AF278" s="19" t="str">
        <f t="shared" si="17"/>
        <v>--</v>
      </c>
      <c r="AG278" s="21" t="str">
        <f t="shared" si="18"/>
        <v>--</v>
      </c>
      <c r="AH278" s="19" t="str">
        <f t="shared" si="19"/>
        <v>--</v>
      </c>
    </row>
    <row r="279" spans="1:34" x14ac:dyDescent="0.45">
      <c r="A279" s="7" t="s">
        <v>1142</v>
      </c>
      <c r="B279" s="32" t="s">
        <v>1122</v>
      </c>
      <c r="C279" s="7" t="s">
        <v>1143</v>
      </c>
      <c r="D279" s="8" t="s">
        <v>1144</v>
      </c>
      <c r="E279" s="8" t="s">
        <v>1145</v>
      </c>
      <c r="F279" s="9">
        <v>45828</v>
      </c>
      <c r="G279" s="9">
        <v>46226</v>
      </c>
      <c r="H279" s="9">
        <v>48202</v>
      </c>
      <c r="I279" s="10">
        <v>659.4683837890625</v>
      </c>
      <c r="J279" s="10">
        <v>632.5889892578125</v>
      </c>
      <c r="K279" s="10">
        <v>606.84199999999998</v>
      </c>
      <c r="L279" s="10">
        <v>611.62800000000004</v>
      </c>
      <c r="M279" s="11">
        <v>279</v>
      </c>
      <c r="N279" s="12">
        <v>52.626383789062523</v>
      </c>
      <c r="O279" s="13">
        <v>-73.290205566406257</v>
      </c>
      <c r="P279" s="13">
        <v>103.6969282226562</v>
      </c>
      <c r="Q279" s="13">
        <v>29.563321500826049</v>
      </c>
      <c r="R279" s="14">
        <v>71.144487545371078</v>
      </c>
      <c r="S279" s="13">
        <v>25.746989257812519</v>
      </c>
      <c r="T279" s="13">
        <v>-89.094526855468757</v>
      </c>
      <c r="U279" s="13">
        <v>88.570219238281197</v>
      </c>
      <c r="V279" s="13">
        <v>10.5566920765429</v>
      </c>
      <c r="W279" s="15">
        <v>64.639450784840463</v>
      </c>
      <c r="X279" s="16" t="str">
        <f>IFERROR(_xll.BDP(E279&amp;" Corp","LAST_PRICE"),"--")</f>
        <v>#N/A Requesting Data...</v>
      </c>
      <c r="Y279" s="17" t="str">
        <f>IFERROR(_xll.BDP(E279&amp;" Corp","YAS_BENCHMARK_BOND_ISIN"),"--")</f>
        <v>#N/A Requesting Data...</v>
      </c>
      <c r="Z279" s="18" t="str">
        <f>IFERROR(_xll.BDP(Y279&amp;" CORP","LAST_PRICE"),"--")</f>
        <v>#N/A Requesting Data... CORP</v>
      </c>
      <c r="AA279" s="19" t="str">
        <f>IFERROR(_xll.BDP(E279&amp;" Corp","YAS_YLD_SPREAD","YAS_BOND_PX="&amp;X279,"YAS_BNCHMRK_BOND_PX="&amp;Z279),"--")</f>
        <v>#N/A Requesting Data...</v>
      </c>
      <c r="AB279" s="19" t="str">
        <f>IFERROR(_xll.BDP(E279&amp;" Corp","BLOOMBERG_MID_G_SPREAD","YAS_BOND_PX="&amp;X279,"YAS_BNCHMRK_BOND_PX="&amp;Z279),"--")</f>
        <v>#N/A Requesting Data...</v>
      </c>
      <c r="AC279" s="19" t="str">
        <f>IFERROR(_xll.BDP(D279,"LAST_PRICE"),"--")</f>
        <v>#N/A Requesting Data...</v>
      </c>
      <c r="AD279" s="20"/>
      <c r="AE279" s="19" t="str">
        <f t="shared" si="16"/>
        <v>#N/A Requesting Data...</v>
      </c>
      <c r="AF279" s="19" t="str">
        <f t="shared" si="17"/>
        <v>--</v>
      </c>
      <c r="AG279" s="21" t="str">
        <f t="shared" si="18"/>
        <v>--</v>
      </c>
      <c r="AH279" s="19" t="str">
        <f t="shared" si="19"/>
        <v>--</v>
      </c>
    </row>
    <row r="280" spans="1:34" x14ac:dyDescent="0.45">
      <c r="A280" s="22" t="s">
        <v>1146</v>
      </c>
      <c r="B280" s="32" t="s">
        <v>1122</v>
      </c>
      <c r="C280" s="22" t="s">
        <v>1147</v>
      </c>
      <c r="D280" s="23" t="s">
        <v>1148</v>
      </c>
      <c r="E280" s="23" t="s">
        <v>1149</v>
      </c>
      <c r="F280" s="24">
        <v>45924</v>
      </c>
      <c r="G280" s="24">
        <v>46226</v>
      </c>
      <c r="H280" s="24">
        <v>48202</v>
      </c>
      <c r="I280" s="25">
        <v>86.438003540039063</v>
      </c>
      <c r="J280" s="25">
        <v>79.542900085449219</v>
      </c>
      <c r="K280" s="25">
        <v>121.429</v>
      </c>
      <c r="L280" s="25">
        <v>126.785</v>
      </c>
      <c r="M280" s="26">
        <v>210</v>
      </c>
      <c r="N280" s="27">
        <v>-34.99099645996094</v>
      </c>
      <c r="O280" s="28">
        <v>-56.842702453613271</v>
      </c>
      <c r="P280" s="28">
        <v>-14.93089831542969</v>
      </c>
      <c r="Q280" s="28">
        <v>-39.706974238223118</v>
      </c>
      <c r="R280" s="29">
        <v>52.137354721374123</v>
      </c>
      <c r="S280" s="28">
        <v>-41.886099914550783</v>
      </c>
      <c r="T280" s="28">
        <v>-64.489202087402333</v>
      </c>
      <c r="U280" s="28">
        <v>-22.295697814941409</v>
      </c>
      <c r="V280" s="28">
        <v>-45.978291856456927</v>
      </c>
      <c r="W280" s="30">
        <v>53.570099385189629</v>
      </c>
      <c r="X280" s="16" t="str">
        <f>IFERROR(_xll.BDP(E280&amp;" Corp","LAST_PRICE"),"--")</f>
        <v>#N/A Requesting Data...</v>
      </c>
      <c r="Y280" s="17" t="str">
        <f>IFERROR(_xll.BDP(E280&amp;" Corp","YAS_BENCHMARK_BOND_ISIN"),"--")</f>
        <v>#N/A Requesting Data...</v>
      </c>
      <c r="Z280" s="18" t="str">
        <f>IFERROR(_xll.BDP(Y280&amp;" CORP","LAST_PRICE"),"--")</f>
        <v>#N/A Requesting Data... CORP</v>
      </c>
      <c r="AA280" s="19" t="str">
        <f>IFERROR(_xll.BDP(E280&amp;" Corp","YAS_YLD_SPREAD","YAS_BOND_PX="&amp;X280,"YAS_BNCHMRK_BOND_PX="&amp;Z280),"--")</f>
        <v>#N/A Requesting Data...</v>
      </c>
      <c r="AB280" s="19" t="str">
        <f>IFERROR(_xll.BDP(E280&amp;" Corp","BLOOMBERG_MID_G_SPREAD","YAS_BOND_PX="&amp;X280,"YAS_BNCHMRK_BOND_PX="&amp;Z280),"--")</f>
        <v>#N/A Requesting Data...</v>
      </c>
      <c r="AC280" s="19" t="str">
        <f>IFERROR(_xll.BDP(D280,"LAST_PRICE"),"--")</f>
        <v>#N/A Requesting Data...</v>
      </c>
      <c r="AD280" s="20"/>
      <c r="AE280" s="19" t="str">
        <f t="shared" si="16"/>
        <v>#N/A Requesting Data...</v>
      </c>
      <c r="AF280" s="19" t="str">
        <f t="shared" si="17"/>
        <v>--</v>
      </c>
      <c r="AG280" s="21" t="str">
        <f t="shared" si="18"/>
        <v>--</v>
      </c>
      <c r="AH280" s="19" t="str">
        <f t="shared" si="19"/>
        <v>--</v>
      </c>
    </row>
    <row r="281" spans="1:34" x14ac:dyDescent="0.45">
      <c r="A281" s="7" t="s">
        <v>1150</v>
      </c>
      <c r="B281" s="32" t="s">
        <v>1122</v>
      </c>
      <c r="C281" s="7" t="s">
        <v>1151</v>
      </c>
      <c r="D281" s="8" t="s">
        <v>1152</v>
      </c>
      <c r="E281" s="8" t="s">
        <v>1153</v>
      </c>
      <c r="F281" s="9">
        <v>45659</v>
      </c>
      <c r="G281" s="9">
        <v>46226</v>
      </c>
      <c r="H281" s="9">
        <v>47472</v>
      </c>
      <c r="I281" s="10">
        <v>130.26600646972659</v>
      </c>
      <c r="J281" s="10">
        <v>178.45939636230469</v>
      </c>
      <c r="K281" s="10">
        <v>273.30099999999999</v>
      </c>
      <c r="L281" s="10">
        <v>201.446</v>
      </c>
      <c r="M281" s="11">
        <v>394</v>
      </c>
      <c r="N281" s="12">
        <v>-143.0349935302734</v>
      </c>
      <c r="O281" s="13">
        <v>-160.5825932617187</v>
      </c>
      <c r="P281" s="13">
        <v>62.941972167968743</v>
      </c>
      <c r="Q281" s="13">
        <v>-58.766562107763932</v>
      </c>
      <c r="R281" s="14">
        <v>7.8504121896906804</v>
      </c>
      <c r="S281" s="13">
        <v>-94.8416036376953</v>
      </c>
      <c r="T281" s="13">
        <v>-107.17249804687501</v>
      </c>
      <c r="U281" s="13">
        <v>103.62709960937499</v>
      </c>
      <c r="V281" s="13">
        <v>-5.1216385829557618</v>
      </c>
      <c r="W281" s="15">
        <v>5.8495815676496754</v>
      </c>
      <c r="X281" s="16" t="str">
        <f>IFERROR(_xll.BDP(E281&amp;" Corp","LAST_PRICE"),"--")</f>
        <v>#N/A Requesting Data...</v>
      </c>
      <c r="Y281" s="17" t="str">
        <f>IFERROR(_xll.BDP(E281&amp;" Corp","YAS_BENCHMARK_BOND_ISIN"),"--")</f>
        <v>#N/A Requesting Data...</v>
      </c>
      <c r="Z281" s="18" t="str">
        <f>IFERROR(_xll.BDP(Y281&amp;" CORP","LAST_PRICE"),"--")</f>
        <v>#N/A Requesting Data... CORP</v>
      </c>
      <c r="AA281" s="19" t="str">
        <f>IFERROR(_xll.BDP(E281&amp;" Corp","YAS_YLD_SPREAD","YAS_BOND_PX="&amp;X281,"YAS_BNCHMRK_BOND_PX="&amp;Z281),"--")</f>
        <v>#N/A Requesting Data...</v>
      </c>
      <c r="AB281" s="19" t="str">
        <f>IFERROR(_xll.BDP(E281&amp;" Corp","BLOOMBERG_MID_G_SPREAD","YAS_BOND_PX="&amp;X281,"YAS_BNCHMRK_BOND_PX="&amp;Z281),"--")</f>
        <v>#N/A Requesting Data...</v>
      </c>
      <c r="AC281" s="19" t="str">
        <f>IFERROR(_xll.BDP(D281,"LAST_PRICE"),"--")</f>
        <v>#N/A Requesting Data...</v>
      </c>
      <c r="AD281" s="20"/>
      <c r="AE281" s="19" t="str">
        <f t="shared" si="16"/>
        <v>#N/A Requesting Data...</v>
      </c>
      <c r="AF281" s="19" t="str">
        <f t="shared" si="17"/>
        <v>--</v>
      </c>
      <c r="AG281" s="21" t="str">
        <f t="shared" si="18"/>
        <v>--</v>
      </c>
      <c r="AH281" s="19" t="str">
        <f t="shared" si="19"/>
        <v>--</v>
      </c>
    </row>
    <row r="282" spans="1:34" x14ac:dyDescent="0.45">
      <c r="A282" s="22" t="s">
        <v>1154</v>
      </c>
      <c r="B282" s="32" t="s">
        <v>1122</v>
      </c>
      <c r="C282" s="22" t="s">
        <v>1155</v>
      </c>
      <c r="D282" s="23" t="s">
        <v>1156</v>
      </c>
      <c r="E282" s="23" t="s">
        <v>1157</v>
      </c>
      <c r="F282" s="24">
        <v>45994</v>
      </c>
      <c r="G282" s="24">
        <v>46226</v>
      </c>
      <c r="H282" s="24">
        <v>48750</v>
      </c>
      <c r="I282" s="25">
        <v>213.23320007324219</v>
      </c>
      <c r="J282" s="25">
        <v>171.55610656738281</v>
      </c>
      <c r="K282" s="25">
        <v>178.31899999999999</v>
      </c>
      <c r="L282" s="25">
        <v>177.68799999999999</v>
      </c>
      <c r="M282" s="26">
        <v>161</v>
      </c>
      <c r="N282" s="27">
        <v>34.914200073242199</v>
      </c>
      <c r="O282" s="28">
        <v>-11.567194458007799</v>
      </c>
      <c r="P282" s="28">
        <v>82.564199707031264</v>
      </c>
      <c r="Q282" s="28">
        <v>24.741148169096949</v>
      </c>
      <c r="R282" s="29">
        <v>49.379269205080419</v>
      </c>
      <c r="S282" s="28">
        <v>-6.7628934326171759</v>
      </c>
      <c r="T282" s="28">
        <v>-43.726694580078117</v>
      </c>
      <c r="U282" s="28">
        <v>37.563099365234358</v>
      </c>
      <c r="V282" s="28">
        <v>-14.590668699655479</v>
      </c>
      <c r="W282" s="30">
        <v>45.471638385906417</v>
      </c>
      <c r="X282" s="16" t="str">
        <f>IFERROR(_xll.BDP(E282&amp;" Corp","LAST_PRICE"),"--")</f>
        <v>#N/A Requesting Data...</v>
      </c>
      <c r="Y282" s="17" t="str">
        <f>IFERROR(_xll.BDP(E282&amp;" Corp","YAS_BENCHMARK_BOND_ISIN"),"--")</f>
        <v>#N/A Requesting Data...</v>
      </c>
      <c r="Z282" s="18" t="str">
        <f>IFERROR(_xll.BDP(Y282&amp;" CORP","LAST_PRICE"),"--")</f>
        <v>#N/A Requesting Data... CORP</v>
      </c>
      <c r="AA282" s="19" t="str">
        <f>IFERROR(_xll.BDP(E282&amp;" Corp","YAS_YLD_SPREAD","YAS_BOND_PX="&amp;X282,"YAS_BNCHMRK_BOND_PX="&amp;Z282),"--")</f>
        <v>#N/A Requesting Data...</v>
      </c>
      <c r="AB282" s="19" t="str">
        <f>IFERROR(_xll.BDP(E282&amp;" Corp","BLOOMBERG_MID_G_SPREAD","YAS_BOND_PX="&amp;X282,"YAS_BNCHMRK_BOND_PX="&amp;Z282),"--")</f>
        <v>#N/A Requesting Data...</v>
      </c>
      <c r="AC282" s="19" t="str">
        <f>IFERROR(_xll.BDP(D282,"LAST_PRICE"),"--")</f>
        <v>#N/A Requesting Data...</v>
      </c>
      <c r="AD282" s="20"/>
      <c r="AE282" s="19" t="str">
        <f t="shared" si="16"/>
        <v>#N/A Requesting Data...</v>
      </c>
      <c r="AF282" s="19" t="str">
        <f t="shared" si="17"/>
        <v>--</v>
      </c>
      <c r="AG282" s="21" t="str">
        <f t="shared" si="18"/>
        <v>--</v>
      </c>
      <c r="AH282" s="19" t="str">
        <f t="shared" si="19"/>
        <v>--</v>
      </c>
    </row>
    <row r="283" spans="1:34" x14ac:dyDescent="0.45">
      <c r="A283" s="7" t="s">
        <v>1158</v>
      </c>
      <c r="B283" s="32" t="s">
        <v>1122</v>
      </c>
      <c r="C283" s="7" t="s">
        <v>1159</v>
      </c>
      <c r="D283" s="8" t="s">
        <v>1160</v>
      </c>
      <c r="E283" s="8" t="s">
        <v>1161</v>
      </c>
      <c r="F283" s="9">
        <v>46192</v>
      </c>
      <c r="G283" s="9">
        <v>46226</v>
      </c>
      <c r="H283" s="9">
        <v>48202</v>
      </c>
      <c r="I283" s="10">
        <v>548.33721923828125</v>
      </c>
      <c r="J283" s="10">
        <v>536.03387451171875</v>
      </c>
      <c r="K283" s="10">
        <v>553.74400000000003</v>
      </c>
      <c r="L283" s="10">
        <v>562.54999999999995</v>
      </c>
      <c r="M283" s="11">
        <v>25</v>
      </c>
      <c r="N283" s="12">
        <v>-5.4067807617187782</v>
      </c>
      <c r="O283" s="13">
        <v>-100.3090051269531</v>
      </c>
      <c r="P283" s="13">
        <v>-5.4067807617187782</v>
      </c>
      <c r="Q283" s="13">
        <v>-67.301597763671893</v>
      </c>
      <c r="R283" s="14">
        <v>100</v>
      </c>
      <c r="S283" s="13">
        <v>-17.710125488281282</v>
      </c>
      <c r="T283" s="13">
        <v>-111.2111962890625</v>
      </c>
      <c r="U283" s="13">
        <v>-17.710125488281282</v>
      </c>
      <c r="V283" s="13">
        <v>-79.039470078125021</v>
      </c>
      <c r="W283" s="15">
        <v>100</v>
      </c>
      <c r="X283" s="16" t="str">
        <f>IFERROR(_xll.BDP(E283&amp;" Corp","LAST_PRICE"),"--")</f>
        <v>#N/A Requesting Data...</v>
      </c>
      <c r="Y283" s="17" t="str">
        <f>IFERROR(_xll.BDP(E283&amp;" Corp","YAS_BENCHMARK_BOND_ISIN"),"--")</f>
        <v>#N/A Requesting Data...</v>
      </c>
      <c r="Z283" s="18" t="str">
        <f>IFERROR(_xll.BDP(Y283&amp;" CORP","LAST_PRICE"),"--")</f>
        <v>#N/A Requesting Data... CORP</v>
      </c>
      <c r="AA283" s="19" t="str">
        <f>IFERROR(_xll.BDP(E283&amp;" Corp","YAS_YLD_SPREAD","YAS_BOND_PX="&amp;X283,"YAS_BNCHMRK_BOND_PX="&amp;Z283),"--")</f>
        <v>#N/A Requesting Data...</v>
      </c>
      <c r="AB283" s="19" t="str">
        <f>IFERROR(_xll.BDP(E283&amp;" Corp","BLOOMBERG_MID_G_SPREAD","YAS_BOND_PX="&amp;X283,"YAS_BNCHMRK_BOND_PX="&amp;Z283),"--")</f>
        <v>#N/A Requesting Data...</v>
      </c>
      <c r="AC283" s="19" t="str">
        <f>IFERROR(_xll.BDP(D283,"LAST_PRICE"),"--")</f>
        <v>#N/A Requesting Data...</v>
      </c>
      <c r="AD283" s="20"/>
      <c r="AE283" s="19" t="str">
        <f t="shared" si="16"/>
        <v>#N/A Requesting Data...</v>
      </c>
      <c r="AF283" s="19" t="str">
        <f t="shared" si="17"/>
        <v>--</v>
      </c>
      <c r="AG283" s="21" t="str">
        <f t="shared" si="18"/>
        <v>--</v>
      </c>
      <c r="AH283" s="19" t="str">
        <f t="shared" si="19"/>
        <v>--</v>
      </c>
    </row>
    <row r="284" spans="1:34" x14ac:dyDescent="0.45">
      <c r="A284" s="22" t="s">
        <v>1162</v>
      </c>
      <c r="B284" s="32" t="s">
        <v>1122</v>
      </c>
      <c r="C284" s="22" t="s">
        <v>1163</v>
      </c>
      <c r="D284" s="23" t="s">
        <v>1164</v>
      </c>
      <c r="E284" s="23" t="s">
        <v>1165</v>
      </c>
      <c r="F284" s="24">
        <v>45924</v>
      </c>
      <c r="G284" s="24">
        <v>46226</v>
      </c>
      <c r="H284" s="24">
        <v>48202</v>
      </c>
      <c r="I284" s="25">
        <v>105.46299743652339</v>
      </c>
      <c r="J284" s="25">
        <v>99.408500671386719</v>
      </c>
      <c r="K284" s="25">
        <v>96.531000000000006</v>
      </c>
      <c r="L284" s="25">
        <v>103.563</v>
      </c>
      <c r="M284" s="26">
        <v>211</v>
      </c>
      <c r="N284" s="27">
        <v>8.9319974365234316</v>
      </c>
      <c r="O284" s="28">
        <v>-28.700697509765629</v>
      </c>
      <c r="P284" s="28">
        <v>8.9319974365234316</v>
      </c>
      <c r="Q284" s="28">
        <v>-10.062399078224511</v>
      </c>
      <c r="R284" s="29">
        <v>100</v>
      </c>
      <c r="S284" s="28">
        <v>2.8775006713867128</v>
      </c>
      <c r="T284" s="28">
        <v>-34.817000000000007</v>
      </c>
      <c r="U284" s="28">
        <v>2.8775006713867128</v>
      </c>
      <c r="V284" s="28">
        <v>-16.401514130651101</v>
      </c>
      <c r="W284" s="30">
        <v>100</v>
      </c>
      <c r="X284" s="16" t="str">
        <f>IFERROR(_xll.BDP(E284&amp;" Corp","LAST_PRICE"),"--")</f>
        <v>#N/A Requesting Data...</v>
      </c>
      <c r="Y284" s="17" t="str">
        <f>IFERROR(_xll.BDP(E284&amp;" Corp","YAS_BENCHMARK_BOND_ISIN"),"--")</f>
        <v>#N/A Requesting Data...</v>
      </c>
      <c r="Z284" s="18" t="str">
        <f>IFERROR(_xll.BDP(Y284&amp;" CORP","LAST_PRICE"),"--")</f>
        <v>#N/A Requesting Data... CORP</v>
      </c>
      <c r="AA284" s="19" t="str">
        <f>IFERROR(_xll.BDP(E284&amp;" Corp","YAS_YLD_SPREAD","YAS_BOND_PX="&amp;X284,"YAS_BNCHMRK_BOND_PX="&amp;Z284),"--")</f>
        <v>#N/A Requesting Data...</v>
      </c>
      <c r="AB284" s="19" t="str">
        <f>IFERROR(_xll.BDP(E284&amp;" Corp","BLOOMBERG_MID_G_SPREAD","YAS_BOND_PX="&amp;X284,"YAS_BNCHMRK_BOND_PX="&amp;Z284),"--")</f>
        <v>#N/A Requesting Data...</v>
      </c>
      <c r="AC284" s="19" t="str">
        <f>IFERROR(_xll.BDP(D284,"LAST_PRICE"),"--")</f>
        <v>#N/A Requesting Data...</v>
      </c>
      <c r="AD284" s="20"/>
      <c r="AE284" s="19" t="str">
        <f t="shared" si="16"/>
        <v>#N/A Requesting Data...</v>
      </c>
      <c r="AF284" s="19" t="str">
        <f t="shared" si="17"/>
        <v>--</v>
      </c>
      <c r="AG284" s="21" t="str">
        <f t="shared" si="18"/>
        <v>--</v>
      </c>
      <c r="AH284" s="19" t="str">
        <f t="shared" si="19"/>
        <v>--</v>
      </c>
    </row>
    <row r="285" spans="1:34" x14ac:dyDescent="0.45">
      <c r="A285" s="7" t="s">
        <v>1166</v>
      </c>
      <c r="B285" s="32" t="s">
        <v>1122</v>
      </c>
      <c r="C285" s="7" t="s">
        <v>1167</v>
      </c>
      <c r="D285" s="8" t="s">
        <v>1168</v>
      </c>
      <c r="E285" s="8" t="s">
        <v>1169</v>
      </c>
      <c r="F285" s="9">
        <v>45659</v>
      </c>
      <c r="G285" s="9">
        <v>46226</v>
      </c>
      <c r="H285" s="9">
        <v>47472</v>
      </c>
      <c r="I285" s="10">
        <v>97.549598693847656</v>
      </c>
      <c r="J285" s="10">
        <v>132.10090637207031</v>
      </c>
      <c r="K285" s="10">
        <v>-812.35400000000004</v>
      </c>
      <c r="L285" s="10">
        <v>-1497.7090000000001</v>
      </c>
      <c r="M285" s="11">
        <v>397</v>
      </c>
      <c r="N285" s="12">
        <v>909.9035986938477</v>
      </c>
      <c r="O285" s="13">
        <v>-200.56339944458011</v>
      </c>
      <c r="P285" s="13">
        <v>909.9035986938477</v>
      </c>
      <c r="Q285" s="13">
        <v>8.2581893551920178</v>
      </c>
      <c r="R285" s="14">
        <v>100</v>
      </c>
      <c r="S285" s="13">
        <v>944.45490637207035</v>
      </c>
      <c r="T285" s="13">
        <v>-182.6292983398437</v>
      </c>
      <c r="U285" s="13">
        <v>944.45490637207035</v>
      </c>
      <c r="V285" s="13">
        <v>36.244580590851058</v>
      </c>
      <c r="W285" s="15">
        <v>100</v>
      </c>
      <c r="X285" s="16" t="str">
        <f>IFERROR(_xll.BDP(E285&amp;" Corp","LAST_PRICE"),"--")</f>
        <v>#N/A Requesting Data...</v>
      </c>
      <c r="Y285" s="17" t="str">
        <f>IFERROR(_xll.BDP(E285&amp;" Corp","YAS_BENCHMARK_BOND_ISIN"),"--")</f>
        <v>#N/A Requesting Data...</v>
      </c>
      <c r="Z285" s="18" t="str">
        <f>IFERROR(_xll.BDP(Y285&amp;" CORP","LAST_PRICE"),"--")</f>
        <v>#N/A Requesting Data... CORP</v>
      </c>
      <c r="AA285" s="19" t="str">
        <f>IFERROR(_xll.BDP(E285&amp;" Corp","YAS_YLD_SPREAD","YAS_BOND_PX="&amp;X285,"YAS_BNCHMRK_BOND_PX="&amp;Z285),"--")</f>
        <v>#N/A Requesting Data...</v>
      </c>
      <c r="AB285" s="19" t="str">
        <f>IFERROR(_xll.BDP(E285&amp;" Corp","BLOOMBERG_MID_G_SPREAD","YAS_BOND_PX="&amp;X285,"YAS_BNCHMRK_BOND_PX="&amp;Z285),"--")</f>
        <v>#N/A Requesting Data...</v>
      </c>
      <c r="AC285" s="19" t="str">
        <f>IFERROR(_xll.BDP(D285,"LAST_PRICE"),"--")</f>
        <v>#N/A Requesting Data...</v>
      </c>
      <c r="AD285" s="20"/>
      <c r="AE285" s="19" t="str">
        <f t="shared" si="16"/>
        <v>#N/A Requesting Data...</v>
      </c>
      <c r="AF285" s="19" t="str">
        <f t="shared" si="17"/>
        <v>--</v>
      </c>
      <c r="AG285" s="21" t="str">
        <f t="shared" si="18"/>
        <v>--</v>
      </c>
      <c r="AH285" s="19" t="str">
        <f t="shared" si="19"/>
        <v>--</v>
      </c>
    </row>
    <row r="286" spans="1:34" x14ac:dyDescent="0.45">
      <c r="A286" s="22" t="s">
        <v>1170</v>
      </c>
      <c r="B286" s="32" t="s">
        <v>1122</v>
      </c>
      <c r="C286" s="22" t="s">
        <v>1171</v>
      </c>
      <c r="D286" s="23" t="s">
        <v>1172</v>
      </c>
      <c r="E286" s="23" t="s">
        <v>1173</v>
      </c>
      <c r="F286" s="24">
        <v>46128</v>
      </c>
      <c r="G286" s="24">
        <v>46226</v>
      </c>
      <c r="H286" s="24">
        <v>48019</v>
      </c>
      <c r="I286" s="25">
        <v>231.61909484863281</v>
      </c>
      <c r="J286" s="25">
        <v>231.61909484863281</v>
      </c>
      <c r="K286" s="25">
        <v>238.11500000000001</v>
      </c>
      <c r="L286" s="25">
        <v>240.083</v>
      </c>
      <c r="M286" s="26">
        <v>70</v>
      </c>
      <c r="N286" s="27">
        <v>-6.4959051513671966</v>
      </c>
      <c r="O286" s="28">
        <v>-53.015195556640613</v>
      </c>
      <c r="P286" s="28">
        <v>-6.4959051513671966</v>
      </c>
      <c r="Q286" s="28">
        <v>-36.801540588378913</v>
      </c>
      <c r="R286" s="29">
        <v>100</v>
      </c>
      <c r="S286" s="28">
        <v>-6.4959051513671966</v>
      </c>
      <c r="T286" s="28">
        <v>-53.015195556640613</v>
      </c>
      <c r="U286" s="28">
        <v>-6.4959051513671966</v>
      </c>
      <c r="V286" s="28">
        <v>-36.801540588378913</v>
      </c>
      <c r="W286" s="30">
        <v>100</v>
      </c>
      <c r="X286" s="16" t="str">
        <f>IFERROR(_xll.BDP(E286&amp;" Corp","LAST_PRICE"),"--")</f>
        <v>#N/A Requesting Data...</v>
      </c>
      <c r="Y286" s="17" t="str">
        <f>IFERROR(_xll.BDP(E286&amp;" Corp","YAS_BENCHMARK_BOND_ISIN"),"--")</f>
        <v>#N/A Requesting Data...</v>
      </c>
      <c r="Z286" s="18" t="str">
        <f>IFERROR(_xll.BDP(Y286&amp;" CORP","LAST_PRICE"),"--")</f>
        <v>#N/A Requesting Data... CORP</v>
      </c>
      <c r="AA286" s="19" t="str">
        <f>IFERROR(_xll.BDP(E286&amp;" Corp","YAS_YLD_SPREAD","YAS_BOND_PX="&amp;X286,"YAS_BNCHMRK_BOND_PX="&amp;Z286),"--")</f>
        <v>#N/A Requesting Data...</v>
      </c>
      <c r="AB286" s="19" t="str">
        <f>IFERROR(_xll.BDP(E286&amp;" Corp","BLOOMBERG_MID_G_SPREAD","YAS_BOND_PX="&amp;X286,"YAS_BNCHMRK_BOND_PX="&amp;Z286),"--")</f>
        <v>#N/A Requesting Data...</v>
      </c>
      <c r="AC286" s="19" t="str">
        <f>IFERROR(_xll.BDP(D286,"LAST_PRICE"),"--")</f>
        <v>#N/A Requesting Data...</v>
      </c>
      <c r="AD286" s="20"/>
      <c r="AE286" s="19" t="str">
        <f t="shared" si="16"/>
        <v>#N/A Requesting Data...</v>
      </c>
      <c r="AF286" s="19" t="str">
        <f t="shared" si="17"/>
        <v>--</v>
      </c>
      <c r="AG286" s="21" t="str">
        <f t="shared" si="18"/>
        <v>--</v>
      </c>
      <c r="AH286" s="19" t="str">
        <f t="shared" si="19"/>
        <v>--</v>
      </c>
    </row>
    <row r="287" spans="1:34" x14ac:dyDescent="0.45">
      <c r="A287" s="7" t="s">
        <v>1174</v>
      </c>
      <c r="B287" s="32" t="s">
        <v>1122</v>
      </c>
      <c r="C287" s="7" t="s">
        <v>1175</v>
      </c>
      <c r="D287" s="8" t="s">
        <v>1176</v>
      </c>
      <c r="E287" s="8" t="s">
        <v>1177</v>
      </c>
      <c r="F287" s="9">
        <v>46051</v>
      </c>
      <c r="G287" s="9">
        <v>46226</v>
      </c>
      <c r="H287" s="9">
        <v>48385</v>
      </c>
      <c r="I287" s="10">
        <v>453.40170288085938</v>
      </c>
      <c r="J287" s="10">
        <v>413.33248901367188</v>
      </c>
      <c r="K287" s="10">
        <v>373.24</v>
      </c>
      <c r="L287" s="10">
        <v>371.16199999999998</v>
      </c>
      <c r="M287" s="11">
        <v>123</v>
      </c>
      <c r="N287" s="12">
        <v>80.161702880859366</v>
      </c>
      <c r="O287" s="13">
        <v>-30.596992431640611</v>
      </c>
      <c r="P287" s="13">
        <v>94.038590576171885</v>
      </c>
      <c r="Q287" s="13">
        <v>49.001866800447793</v>
      </c>
      <c r="R287" s="14">
        <v>88.86603058258035</v>
      </c>
      <c r="S287" s="13">
        <v>40.092489013671873</v>
      </c>
      <c r="T287" s="13">
        <v>-67.35239404296874</v>
      </c>
      <c r="U287" s="13">
        <v>45.547011718750007</v>
      </c>
      <c r="V287" s="13">
        <v>3.375558762465066</v>
      </c>
      <c r="W287" s="15">
        <v>95.16868785244958</v>
      </c>
      <c r="X287" s="16" t="str">
        <f>IFERROR(_xll.BDP(E287&amp;" Corp","LAST_PRICE"),"--")</f>
        <v>#N/A Requesting Data...</v>
      </c>
      <c r="Y287" s="17" t="str">
        <f>IFERROR(_xll.BDP(E287&amp;" Corp","YAS_BENCHMARK_BOND_ISIN"),"--")</f>
        <v>#N/A Requesting Data...</v>
      </c>
      <c r="Z287" s="18" t="str">
        <f>IFERROR(_xll.BDP(Y287&amp;" CORP","LAST_PRICE"),"--")</f>
        <v>#N/A Requesting Data... CORP</v>
      </c>
      <c r="AA287" s="19" t="str">
        <f>IFERROR(_xll.BDP(E287&amp;" Corp","YAS_YLD_SPREAD","YAS_BOND_PX="&amp;X287,"YAS_BNCHMRK_BOND_PX="&amp;Z287),"--")</f>
        <v>#N/A Requesting Data...</v>
      </c>
      <c r="AB287" s="19" t="str">
        <f>IFERROR(_xll.BDP(E287&amp;" Corp","BLOOMBERG_MID_G_SPREAD","YAS_BOND_PX="&amp;X287,"YAS_BNCHMRK_BOND_PX="&amp;Z287),"--")</f>
        <v>#N/A Requesting Data...</v>
      </c>
      <c r="AC287" s="19" t="str">
        <f>IFERROR(_xll.BDP(D287,"LAST_PRICE"),"--")</f>
        <v>#N/A Requesting Data...</v>
      </c>
      <c r="AD287" s="20"/>
      <c r="AE287" s="19" t="str">
        <f t="shared" si="16"/>
        <v>#N/A Requesting Data...</v>
      </c>
      <c r="AF287" s="19" t="str">
        <f t="shared" si="17"/>
        <v>--</v>
      </c>
      <c r="AG287" s="21" t="str">
        <f t="shared" si="18"/>
        <v>--</v>
      </c>
      <c r="AH287" s="19" t="str">
        <f t="shared" si="19"/>
        <v>--</v>
      </c>
    </row>
    <row r="288" spans="1:34" x14ac:dyDescent="0.45">
      <c r="A288" s="22" t="s">
        <v>1178</v>
      </c>
      <c r="B288" s="32" t="s">
        <v>1122</v>
      </c>
      <c r="C288" s="22" t="s">
        <v>1179</v>
      </c>
      <c r="D288" s="23" t="s">
        <v>1180</v>
      </c>
      <c r="E288" s="23" t="s">
        <v>1181</v>
      </c>
      <c r="F288" s="24">
        <v>45932</v>
      </c>
      <c r="G288" s="24">
        <v>46226</v>
      </c>
      <c r="H288" s="24">
        <v>48385</v>
      </c>
      <c r="I288" s="25">
        <v>268.11871337890619</v>
      </c>
      <c r="J288" s="25">
        <v>232.3070068359375</v>
      </c>
      <c r="K288" s="25">
        <v>230.82499999999999</v>
      </c>
      <c r="L288" s="25">
        <v>235.87</v>
      </c>
      <c r="M288" s="26">
        <v>205</v>
      </c>
      <c r="N288" s="27">
        <v>37.293713378906261</v>
      </c>
      <c r="O288" s="28">
        <v>0.79990039062499818</v>
      </c>
      <c r="P288" s="28">
        <v>95.440296875000001</v>
      </c>
      <c r="Q288" s="28">
        <v>42.207193593392716</v>
      </c>
      <c r="R288" s="29">
        <v>38.560503066263401</v>
      </c>
      <c r="S288" s="28">
        <v>1.4820068359375109</v>
      </c>
      <c r="T288" s="28">
        <v>-35.905101440429689</v>
      </c>
      <c r="U288" s="28">
        <v>48.210713134765633</v>
      </c>
      <c r="V288" s="28">
        <v>4.4591166474132997</v>
      </c>
      <c r="W288" s="30">
        <v>44.447180907871967</v>
      </c>
      <c r="X288" s="16" t="str">
        <f>IFERROR(_xll.BDP(E288&amp;" Corp","LAST_PRICE"),"--")</f>
        <v>#N/A Requesting Data...</v>
      </c>
      <c r="Y288" s="17" t="str">
        <f>IFERROR(_xll.BDP(E288&amp;" Corp","YAS_BENCHMARK_BOND_ISIN"),"--")</f>
        <v>#N/A Requesting Data...</v>
      </c>
      <c r="Z288" s="18" t="str">
        <f>IFERROR(_xll.BDP(Y288&amp;" CORP","LAST_PRICE"),"--")</f>
        <v>#N/A Requesting Data... CORP</v>
      </c>
      <c r="AA288" s="19" t="str">
        <f>IFERROR(_xll.BDP(E288&amp;" Corp","YAS_YLD_SPREAD","YAS_BOND_PX="&amp;X288,"YAS_BNCHMRK_BOND_PX="&amp;Z288),"--")</f>
        <v>#N/A Requesting Data...</v>
      </c>
      <c r="AB288" s="19" t="str">
        <f>IFERROR(_xll.BDP(E288&amp;" Corp","BLOOMBERG_MID_G_SPREAD","YAS_BOND_PX="&amp;X288,"YAS_BNCHMRK_BOND_PX="&amp;Z288),"--")</f>
        <v>#N/A Requesting Data...</v>
      </c>
      <c r="AC288" s="19" t="str">
        <f>IFERROR(_xll.BDP(D288,"LAST_PRICE"),"--")</f>
        <v>#N/A Requesting Data...</v>
      </c>
      <c r="AD288" s="20"/>
      <c r="AE288" s="19" t="str">
        <f t="shared" si="16"/>
        <v>#N/A Requesting Data...</v>
      </c>
      <c r="AF288" s="19" t="str">
        <f t="shared" si="17"/>
        <v>--</v>
      </c>
      <c r="AG288" s="21" t="str">
        <f t="shared" si="18"/>
        <v>--</v>
      </c>
      <c r="AH288" s="19" t="str">
        <f t="shared" si="19"/>
        <v>--</v>
      </c>
    </row>
    <row r="289" spans="1:34" x14ac:dyDescent="0.45">
      <c r="A289" s="7" t="s">
        <v>1182</v>
      </c>
      <c r="B289" s="32" t="s">
        <v>1122</v>
      </c>
      <c r="C289" s="7" t="s">
        <v>1183</v>
      </c>
      <c r="D289" s="8" t="s">
        <v>1184</v>
      </c>
      <c r="E289" s="8" t="s">
        <v>1185</v>
      </c>
      <c r="F289" s="9">
        <v>45659</v>
      </c>
      <c r="G289" s="9">
        <v>46226</v>
      </c>
      <c r="H289" s="9">
        <v>48385</v>
      </c>
      <c r="I289" s="10">
        <v>375.06289672851563</v>
      </c>
      <c r="J289" s="10">
        <v>362.09341430664063</v>
      </c>
      <c r="K289" s="10">
        <v>372.07600000000002</v>
      </c>
      <c r="L289" s="10">
        <v>382.69799999999998</v>
      </c>
      <c r="M289" s="11">
        <v>393</v>
      </c>
      <c r="N289" s="12">
        <v>2.9868967285156032</v>
      </c>
      <c r="O289" s="13">
        <v>-74.377296875000013</v>
      </c>
      <c r="P289" s="13">
        <v>90.741008300781232</v>
      </c>
      <c r="Q289" s="13">
        <v>-27.047957212647109</v>
      </c>
      <c r="R289" s="14">
        <v>46.853795841203343</v>
      </c>
      <c r="S289" s="13">
        <v>-9.9825856933593968</v>
      </c>
      <c r="T289" s="13">
        <v>-88.368700439453107</v>
      </c>
      <c r="U289" s="13">
        <v>78.613414306640607</v>
      </c>
      <c r="V289" s="13">
        <v>-36.539732492383813</v>
      </c>
      <c r="W289" s="15">
        <v>46.942820711837612</v>
      </c>
      <c r="X289" s="16" t="str">
        <f>IFERROR(_xll.BDP(E289&amp;" Corp","LAST_PRICE"),"--")</f>
        <v>#N/A Requesting Data...</v>
      </c>
      <c r="Y289" s="17" t="str">
        <f>IFERROR(_xll.BDP(E289&amp;" Corp","YAS_BENCHMARK_BOND_ISIN"),"--")</f>
        <v>#N/A Requesting Data...</v>
      </c>
      <c r="Z289" s="18" t="str">
        <f>IFERROR(_xll.BDP(Y289&amp;" CORP","LAST_PRICE"),"--")</f>
        <v>#N/A Requesting Data... CORP</v>
      </c>
      <c r="AA289" s="19" t="str">
        <f>IFERROR(_xll.BDP(E289&amp;" Corp","YAS_YLD_SPREAD","YAS_BOND_PX="&amp;X289,"YAS_BNCHMRK_BOND_PX="&amp;Z289),"--")</f>
        <v>#N/A Requesting Data...</v>
      </c>
      <c r="AB289" s="19" t="str">
        <f>IFERROR(_xll.BDP(E289&amp;" Corp","BLOOMBERG_MID_G_SPREAD","YAS_BOND_PX="&amp;X289,"YAS_BNCHMRK_BOND_PX="&amp;Z289),"--")</f>
        <v>#N/A Requesting Data...</v>
      </c>
      <c r="AC289" s="19" t="str">
        <f>IFERROR(_xll.BDP(D289,"LAST_PRICE"),"--")</f>
        <v>#N/A Requesting Data...</v>
      </c>
      <c r="AD289" s="20"/>
      <c r="AE289" s="19" t="str">
        <f t="shared" si="16"/>
        <v>#N/A Requesting Data...</v>
      </c>
      <c r="AF289" s="19" t="str">
        <f t="shared" si="17"/>
        <v>--</v>
      </c>
      <c r="AG289" s="21" t="str">
        <f t="shared" si="18"/>
        <v>--</v>
      </c>
      <c r="AH289" s="19" t="str">
        <f t="shared" si="19"/>
        <v>--</v>
      </c>
    </row>
    <row r="290" spans="1:34" x14ac:dyDescent="0.45">
      <c r="A290" s="22" t="s">
        <v>1186</v>
      </c>
      <c r="B290" s="32" t="s">
        <v>1122</v>
      </c>
      <c r="C290" s="22" t="s">
        <v>1187</v>
      </c>
      <c r="D290" s="23" t="s">
        <v>1188</v>
      </c>
      <c r="E290" s="23" t="s">
        <v>1189</v>
      </c>
      <c r="F290" s="24">
        <v>45659</v>
      </c>
      <c r="G290" s="24">
        <v>46226</v>
      </c>
      <c r="H290" s="24">
        <v>48568</v>
      </c>
      <c r="I290" s="25">
        <v>189.9356994628906</v>
      </c>
      <c r="J290" s="25">
        <v>130.70660400390619</v>
      </c>
      <c r="K290" s="25">
        <v>181.773</v>
      </c>
      <c r="L290" s="25">
        <v>181.19200000000001</v>
      </c>
      <c r="M290" s="26">
        <v>390</v>
      </c>
      <c r="N290" s="27">
        <v>8.1626994628906289</v>
      </c>
      <c r="O290" s="28">
        <v>-18.56380017089845</v>
      </c>
      <c r="P290" s="28">
        <v>172.5320087890625</v>
      </c>
      <c r="Q290" s="28">
        <v>90.883491869804189</v>
      </c>
      <c r="R290" s="29">
        <v>13.985916163859409</v>
      </c>
      <c r="S290" s="28">
        <v>-51.066395996093753</v>
      </c>
      <c r="T290" s="28">
        <v>-65.56840069580079</v>
      </c>
      <c r="U290" s="28">
        <v>140.3915861816406</v>
      </c>
      <c r="V290" s="28">
        <v>43.049337691869489</v>
      </c>
      <c r="W290" s="30">
        <v>7.04117577378591</v>
      </c>
      <c r="X290" s="16" t="str">
        <f>IFERROR(_xll.BDP(E290&amp;" Corp","LAST_PRICE"),"--")</f>
        <v>#N/A Requesting Data...</v>
      </c>
      <c r="Y290" s="17" t="str">
        <f>IFERROR(_xll.BDP(E290&amp;" Corp","YAS_BENCHMARK_BOND_ISIN"),"--")</f>
        <v>#N/A Requesting Data...</v>
      </c>
      <c r="Z290" s="18" t="str">
        <f>IFERROR(_xll.BDP(Y290&amp;" CORP","LAST_PRICE"),"--")</f>
        <v>#N/A Requesting Data... CORP</v>
      </c>
      <c r="AA290" s="19" t="str">
        <f>IFERROR(_xll.BDP(E290&amp;" Corp","YAS_YLD_SPREAD","YAS_BOND_PX="&amp;X290,"YAS_BNCHMRK_BOND_PX="&amp;Z290),"--")</f>
        <v>#N/A Requesting Data...</v>
      </c>
      <c r="AB290" s="19" t="str">
        <f>IFERROR(_xll.BDP(E290&amp;" Corp","BLOOMBERG_MID_G_SPREAD","YAS_BOND_PX="&amp;X290,"YAS_BNCHMRK_BOND_PX="&amp;Z290),"--")</f>
        <v>#N/A Requesting Data...</v>
      </c>
      <c r="AC290" s="19" t="str">
        <f>IFERROR(_xll.BDP(D290,"LAST_PRICE"),"--")</f>
        <v>#N/A Requesting Data...</v>
      </c>
      <c r="AD290" s="20"/>
      <c r="AE290" s="19" t="str">
        <f t="shared" si="16"/>
        <v>#N/A Requesting Data...</v>
      </c>
      <c r="AF290" s="19" t="str">
        <f t="shared" si="17"/>
        <v>--</v>
      </c>
      <c r="AG290" s="21" t="str">
        <f t="shared" si="18"/>
        <v>--</v>
      </c>
      <c r="AH290" s="19" t="str">
        <f t="shared" si="19"/>
        <v>--</v>
      </c>
    </row>
    <row r="291" spans="1:34" x14ac:dyDescent="0.45">
      <c r="A291" s="7" t="s">
        <v>1190</v>
      </c>
      <c r="B291" s="32" t="s">
        <v>1122</v>
      </c>
      <c r="C291" s="7" t="s">
        <v>1191</v>
      </c>
      <c r="D291" s="8" t="s">
        <v>1192</v>
      </c>
      <c r="E291" s="8" t="s">
        <v>1193</v>
      </c>
      <c r="F291" s="9">
        <v>45659</v>
      </c>
      <c r="G291" s="9">
        <v>46226</v>
      </c>
      <c r="H291" s="9">
        <v>48019</v>
      </c>
      <c r="I291" s="10">
        <v>141.33219909667969</v>
      </c>
      <c r="J291" s="10">
        <v>141.33219909667969</v>
      </c>
      <c r="K291" s="10">
        <v>111.55500000000001</v>
      </c>
      <c r="L291" s="10">
        <v>112.24</v>
      </c>
      <c r="M291" s="11">
        <v>396</v>
      </c>
      <c r="N291" s="12">
        <v>29.777199096679681</v>
      </c>
      <c r="O291" s="13">
        <v>-115.9691008300781</v>
      </c>
      <c r="P291" s="13">
        <v>60.451892456054679</v>
      </c>
      <c r="Q291" s="13">
        <v>-8.327332669344818</v>
      </c>
      <c r="R291" s="14">
        <v>82.61278729474985</v>
      </c>
      <c r="S291" s="13">
        <v>29.777199096679681</v>
      </c>
      <c r="T291" s="13">
        <v>-115.9691008300781</v>
      </c>
      <c r="U291" s="13">
        <v>60.451892456054679</v>
      </c>
      <c r="V291" s="13">
        <v>-8.327332669344818</v>
      </c>
      <c r="W291" s="15">
        <v>82.61278729474985</v>
      </c>
      <c r="X291" s="16" t="str">
        <f>IFERROR(_xll.BDP(E291&amp;" Corp","LAST_PRICE"),"--")</f>
        <v>#N/A Requesting Data...</v>
      </c>
      <c r="Y291" s="17" t="str">
        <f>IFERROR(_xll.BDP(E291&amp;" Corp","YAS_BENCHMARK_BOND_ISIN"),"--")</f>
        <v>#N/A Requesting Data...</v>
      </c>
      <c r="Z291" s="18" t="str">
        <f>IFERROR(_xll.BDP(Y291&amp;" CORP","LAST_PRICE"),"--")</f>
        <v>#N/A Requesting Data... CORP</v>
      </c>
      <c r="AA291" s="19" t="str">
        <f>IFERROR(_xll.BDP(E291&amp;" Corp","YAS_YLD_SPREAD","YAS_BOND_PX="&amp;X291,"YAS_BNCHMRK_BOND_PX="&amp;Z291),"--")</f>
        <v>#N/A Requesting Data...</v>
      </c>
      <c r="AB291" s="19" t="str">
        <f>IFERROR(_xll.BDP(E291&amp;" Corp","BLOOMBERG_MID_G_SPREAD","YAS_BOND_PX="&amp;X291,"YAS_BNCHMRK_BOND_PX="&amp;Z291),"--")</f>
        <v>#N/A Requesting Data...</v>
      </c>
      <c r="AC291" s="19" t="str">
        <f>IFERROR(_xll.BDP(D291,"LAST_PRICE"),"--")</f>
        <v>#N/A Requesting Data...</v>
      </c>
      <c r="AD291" s="20"/>
      <c r="AE291" s="19" t="str">
        <f t="shared" si="16"/>
        <v>#N/A Requesting Data...</v>
      </c>
      <c r="AF291" s="19" t="str">
        <f t="shared" si="17"/>
        <v>--</v>
      </c>
      <c r="AG291" s="21" t="str">
        <f t="shared" si="18"/>
        <v>--</v>
      </c>
      <c r="AH291" s="19" t="str">
        <f t="shared" si="19"/>
        <v>--</v>
      </c>
    </row>
    <row r="292" spans="1:34" x14ac:dyDescent="0.45">
      <c r="A292" s="22" t="s">
        <v>1194</v>
      </c>
      <c r="B292" s="32" t="s">
        <v>1122</v>
      </c>
      <c r="C292" s="22" t="s">
        <v>1195</v>
      </c>
      <c r="D292" s="23" t="s">
        <v>1196</v>
      </c>
      <c r="E292" s="23" t="s">
        <v>1197</v>
      </c>
      <c r="F292" s="24">
        <v>45905</v>
      </c>
      <c r="G292" s="24">
        <v>46226</v>
      </c>
      <c r="H292" s="24">
        <v>48019</v>
      </c>
      <c r="I292" s="25">
        <v>236.40919494628909</v>
      </c>
      <c r="J292" s="25">
        <v>236.40919494628909</v>
      </c>
      <c r="K292" s="25">
        <v>193.858</v>
      </c>
      <c r="L292" s="25">
        <v>198.405</v>
      </c>
      <c r="M292" s="26">
        <v>224</v>
      </c>
      <c r="N292" s="27">
        <v>42.551194946289058</v>
      </c>
      <c r="O292" s="28">
        <v>11.992994384765639</v>
      </c>
      <c r="P292" s="28">
        <v>78.615614013671859</v>
      </c>
      <c r="Q292" s="28">
        <v>43.473935352325441</v>
      </c>
      <c r="R292" s="29">
        <v>45.86760582477131</v>
      </c>
      <c r="S292" s="28">
        <v>42.551194946289058</v>
      </c>
      <c r="T292" s="28">
        <v>11.992994384765639</v>
      </c>
      <c r="U292" s="28">
        <v>78.615614013671859</v>
      </c>
      <c r="V292" s="28">
        <v>43.473935352325441</v>
      </c>
      <c r="W292" s="30">
        <v>45.86760582477131</v>
      </c>
      <c r="X292" s="16" t="str">
        <f>IFERROR(_xll.BDP(E292&amp;" Corp","LAST_PRICE"),"--")</f>
        <v>#N/A Requesting Data...</v>
      </c>
      <c r="Y292" s="17" t="str">
        <f>IFERROR(_xll.BDP(E292&amp;" Corp","YAS_BENCHMARK_BOND_ISIN"),"--")</f>
        <v>#N/A Requesting Data...</v>
      </c>
      <c r="Z292" s="18" t="str">
        <f>IFERROR(_xll.BDP(Y292&amp;" CORP","LAST_PRICE"),"--")</f>
        <v>#N/A Requesting Data... CORP</v>
      </c>
      <c r="AA292" s="19" t="str">
        <f>IFERROR(_xll.BDP(E292&amp;" Corp","YAS_YLD_SPREAD","YAS_BOND_PX="&amp;X292,"YAS_BNCHMRK_BOND_PX="&amp;Z292),"--")</f>
        <v>#N/A Requesting Data...</v>
      </c>
      <c r="AB292" s="19" t="str">
        <f>IFERROR(_xll.BDP(E292&amp;" Corp","BLOOMBERG_MID_G_SPREAD","YAS_BOND_PX="&amp;X292,"YAS_BNCHMRK_BOND_PX="&amp;Z292),"--")</f>
        <v>#N/A Requesting Data...</v>
      </c>
      <c r="AC292" s="19" t="str">
        <f>IFERROR(_xll.BDP(D292,"LAST_PRICE"),"--")</f>
        <v>#N/A Requesting Data...</v>
      </c>
      <c r="AD292" s="20"/>
      <c r="AE292" s="19" t="str">
        <f t="shared" si="16"/>
        <v>#N/A Requesting Data...</v>
      </c>
      <c r="AF292" s="19" t="str">
        <f t="shared" si="17"/>
        <v>--</v>
      </c>
      <c r="AG292" s="21" t="str">
        <f t="shared" si="18"/>
        <v>--</v>
      </c>
      <c r="AH292" s="19" t="str">
        <f t="shared" si="19"/>
        <v>--</v>
      </c>
    </row>
    <row r="293" spans="1:34" x14ac:dyDescent="0.45">
      <c r="A293" s="7" t="s">
        <v>1198</v>
      </c>
      <c r="B293" s="32" t="s">
        <v>1122</v>
      </c>
      <c r="C293" s="7" t="s">
        <v>1199</v>
      </c>
      <c r="D293" s="8" t="s">
        <v>1200</v>
      </c>
      <c r="E293" s="8" t="s">
        <v>1201</v>
      </c>
      <c r="F293" s="9">
        <v>45659</v>
      </c>
      <c r="G293" s="9">
        <v>46226</v>
      </c>
      <c r="H293" s="9">
        <v>47289</v>
      </c>
      <c r="I293" s="10">
        <v>37.231700897216797</v>
      </c>
      <c r="J293" s="10">
        <v>63.140098571777337</v>
      </c>
      <c r="K293" s="10">
        <v>59.698999999999998</v>
      </c>
      <c r="L293" s="10">
        <v>64.804000000000002</v>
      </c>
      <c r="M293" s="11">
        <v>397</v>
      </c>
      <c r="N293" s="12">
        <v>-22.467299102783201</v>
      </c>
      <c r="O293" s="13">
        <v>-72.74640112304688</v>
      </c>
      <c r="P293" s="13">
        <v>-22.467299102783201</v>
      </c>
      <c r="Q293" s="13">
        <v>-41.256911547144348</v>
      </c>
      <c r="R293" s="14">
        <v>100</v>
      </c>
      <c r="S293" s="13">
        <v>3.4410985717773461</v>
      </c>
      <c r="T293" s="13">
        <v>-42.675501159667967</v>
      </c>
      <c r="U293" s="13">
        <v>8.6714968261718752</v>
      </c>
      <c r="V293" s="13">
        <v>-11.786052086818129</v>
      </c>
      <c r="W293" s="15">
        <v>89.813624048991272</v>
      </c>
      <c r="X293" s="16" t="str">
        <f>IFERROR(_xll.BDP(E293&amp;" Corp","LAST_PRICE"),"--")</f>
        <v>#N/A Requesting Data...</v>
      </c>
      <c r="Y293" s="17" t="str">
        <f>IFERROR(_xll.BDP(E293&amp;" Corp","YAS_BENCHMARK_BOND_ISIN"),"--")</f>
        <v>#N/A Requesting Data...</v>
      </c>
      <c r="Z293" s="18" t="str">
        <f>IFERROR(_xll.BDP(Y293&amp;" CORP","LAST_PRICE"),"--")</f>
        <v>#N/A Requesting Data... CORP</v>
      </c>
      <c r="AA293" s="19" t="str">
        <f>IFERROR(_xll.BDP(E293&amp;" Corp","YAS_YLD_SPREAD","YAS_BOND_PX="&amp;X293,"YAS_BNCHMRK_BOND_PX="&amp;Z293),"--")</f>
        <v>#N/A Requesting Data...</v>
      </c>
      <c r="AB293" s="19" t="str">
        <f>IFERROR(_xll.BDP(E293&amp;" Corp","BLOOMBERG_MID_G_SPREAD","YAS_BOND_PX="&amp;X293,"YAS_BNCHMRK_BOND_PX="&amp;Z293),"--")</f>
        <v>#N/A Requesting Data...</v>
      </c>
      <c r="AC293" s="19" t="str">
        <f>IFERROR(_xll.BDP(D293,"LAST_PRICE"),"--")</f>
        <v>#N/A Requesting Data...</v>
      </c>
      <c r="AD293" s="20"/>
      <c r="AE293" s="19" t="str">
        <f t="shared" si="16"/>
        <v>#N/A Requesting Data...</v>
      </c>
      <c r="AF293" s="19" t="str">
        <f t="shared" si="17"/>
        <v>--</v>
      </c>
      <c r="AG293" s="21" t="str">
        <f t="shared" si="18"/>
        <v>--</v>
      </c>
      <c r="AH293" s="19" t="str">
        <f t="shared" si="19"/>
        <v>--</v>
      </c>
    </row>
    <row r="294" spans="1:34" x14ac:dyDescent="0.45">
      <c r="A294" s="22" t="s">
        <v>1202</v>
      </c>
      <c r="B294" s="32" t="s">
        <v>1122</v>
      </c>
      <c r="C294" s="22" t="s">
        <v>1203</v>
      </c>
      <c r="D294" s="23" t="s">
        <v>1204</v>
      </c>
      <c r="E294" s="23" t="s">
        <v>1205</v>
      </c>
      <c r="F294" s="24">
        <v>46080</v>
      </c>
      <c r="G294" s="24">
        <v>46226</v>
      </c>
      <c r="H294" s="24">
        <v>48019</v>
      </c>
      <c r="I294" s="25">
        <v>142.718994140625</v>
      </c>
      <c r="J294" s="25">
        <v>142.718994140625</v>
      </c>
      <c r="K294" s="25">
        <v>226.08600000000001</v>
      </c>
      <c r="L294" s="25">
        <v>231.87299999999999</v>
      </c>
      <c r="M294" s="26">
        <v>102</v>
      </c>
      <c r="N294" s="27">
        <v>-83.367005859375013</v>
      </c>
      <c r="O294" s="28">
        <v>-222.4004973144531</v>
      </c>
      <c r="P294" s="28">
        <v>-55.210498046874989</v>
      </c>
      <c r="Q294" s="28">
        <v>-95.553466015385652</v>
      </c>
      <c r="R294" s="29">
        <v>83.158976053683006</v>
      </c>
      <c r="S294" s="28">
        <v>-83.367005859375013</v>
      </c>
      <c r="T294" s="28">
        <v>-222.4004973144531</v>
      </c>
      <c r="U294" s="28">
        <v>-55.210498046874989</v>
      </c>
      <c r="V294" s="28">
        <v>-95.553466015385652</v>
      </c>
      <c r="W294" s="30">
        <v>83.158976053683006</v>
      </c>
      <c r="X294" s="16" t="str">
        <f>IFERROR(_xll.BDP(E294&amp;" Corp","LAST_PRICE"),"--")</f>
        <v>#N/A Requesting Data...</v>
      </c>
      <c r="Y294" s="17" t="str">
        <f>IFERROR(_xll.BDP(E294&amp;" Corp","YAS_BENCHMARK_BOND_ISIN"),"--")</f>
        <v>#N/A Requesting Data...</v>
      </c>
      <c r="Z294" s="18" t="str">
        <f>IFERROR(_xll.BDP(Y294&amp;" CORP","LAST_PRICE"),"--")</f>
        <v>#N/A Requesting Data... CORP</v>
      </c>
      <c r="AA294" s="19" t="str">
        <f>IFERROR(_xll.BDP(E294&amp;" Corp","YAS_YLD_SPREAD","YAS_BOND_PX="&amp;X294,"YAS_BNCHMRK_BOND_PX="&amp;Z294),"--")</f>
        <v>#N/A Requesting Data...</v>
      </c>
      <c r="AB294" s="19" t="str">
        <f>IFERROR(_xll.BDP(E294&amp;" Corp","BLOOMBERG_MID_G_SPREAD","YAS_BOND_PX="&amp;X294,"YAS_BNCHMRK_BOND_PX="&amp;Z294),"--")</f>
        <v>#N/A Requesting Data...</v>
      </c>
      <c r="AC294" s="19" t="str">
        <f>IFERROR(_xll.BDP(D294,"LAST_PRICE"),"--")</f>
        <v>#N/A Requesting Data...</v>
      </c>
      <c r="AD294" s="20"/>
      <c r="AE294" s="19" t="str">
        <f t="shared" si="16"/>
        <v>#N/A Requesting Data...</v>
      </c>
      <c r="AF294" s="19" t="str">
        <f t="shared" si="17"/>
        <v>--</v>
      </c>
      <c r="AG294" s="21" t="str">
        <f t="shared" si="18"/>
        <v>--</v>
      </c>
      <c r="AH294" s="19" t="str">
        <f t="shared" si="19"/>
        <v>--</v>
      </c>
    </row>
    <row r="295" spans="1:34" x14ac:dyDescent="0.45">
      <c r="A295" s="7" t="s">
        <v>1206</v>
      </c>
      <c r="B295" s="32" t="s">
        <v>1122</v>
      </c>
      <c r="C295" s="7" t="s">
        <v>1207</v>
      </c>
      <c r="D295" s="8" t="s">
        <v>1208</v>
      </c>
      <c r="E295" s="8" t="s">
        <v>1209</v>
      </c>
      <c r="F295" s="9">
        <v>45828</v>
      </c>
      <c r="G295" s="9">
        <v>46226</v>
      </c>
      <c r="H295" s="9">
        <v>48568</v>
      </c>
      <c r="I295" s="10">
        <v>218.82359313964841</v>
      </c>
      <c r="J295" s="10">
        <v>165.15789794921881</v>
      </c>
      <c r="K295" s="10">
        <v>176.45099999999999</v>
      </c>
      <c r="L295" s="10"/>
      <c r="M295" s="11">
        <v>279</v>
      </c>
      <c r="N295" s="12">
        <v>42.372593139648437</v>
      </c>
      <c r="O295" s="13">
        <v>-5.4148854980468846</v>
      </c>
      <c r="P295" s="13">
        <v>46.563993408203117</v>
      </c>
      <c r="Q295" s="13">
        <v>20.472944070358</v>
      </c>
      <c r="R295" s="14">
        <v>91.936339611875127</v>
      </c>
      <c r="S295" s="13">
        <v>-11.29310205078124</v>
      </c>
      <c r="T295" s="13">
        <v>-49.686304199218739</v>
      </c>
      <c r="U295" s="13">
        <v>11.068795898437489</v>
      </c>
      <c r="V295" s="13">
        <v>-22.307290755295838</v>
      </c>
      <c r="W295" s="15">
        <v>63.193381439130583</v>
      </c>
      <c r="X295" s="16" t="str">
        <f>IFERROR(_xll.BDP(E295&amp;" Corp","LAST_PRICE"),"--")</f>
        <v>#N/A Requesting Data...</v>
      </c>
      <c r="Y295" s="17" t="str">
        <f>IFERROR(_xll.BDP(E295&amp;" Corp","YAS_BENCHMARK_BOND_ISIN"),"--")</f>
        <v>#N/A Requesting Data...</v>
      </c>
      <c r="Z295" s="18" t="str">
        <f>IFERROR(_xll.BDP(Y295&amp;" CORP","LAST_PRICE"),"--")</f>
        <v>#N/A Requesting Data... CORP</v>
      </c>
      <c r="AA295" s="19" t="str">
        <f>IFERROR(_xll.BDP(E295&amp;" Corp","YAS_YLD_SPREAD","YAS_BOND_PX="&amp;X295,"YAS_BNCHMRK_BOND_PX="&amp;Z295),"--")</f>
        <v>#N/A Requesting Data...</v>
      </c>
      <c r="AB295" s="19" t="str">
        <f>IFERROR(_xll.BDP(E295&amp;" Corp","BLOOMBERG_MID_G_SPREAD","YAS_BOND_PX="&amp;X295,"YAS_BNCHMRK_BOND_PX="&amp;Z295),"--")</f>
        <v>#N/A Requesting Data...</v>
      </c>
      <c r="AC295" s="19" t="str">
        <f>IFERROR(_xll.BDP(D295,"LAST_PRICE"),"--")</f>
        <v>#N/A Requesting Data...</v>
      </c>
      <c r="AD295" s="20"/>
      <c r="AE295" s="19" t="str">
        <f t="shared" si="16"/>
        <v>#N/A Requesting Data...</v>
      </c>
      <c r="AF295" s="19" t="str">
        <f t="shared" si="17"/>
        <v>--</v>
      </c>
      <c r="AG295" s="21" t="str">
        <f t="shared" si="18"/>
        <v>--</v>
      </c>
      <c r="AH295" s="19" t="str">
        <f t="shared" si="19"/>
        <v>--</v>
      </c>
    </row>
    <row r="296" spans="1:34" x14ac:dyDescent="0.45">
      <c r="A296" s="22" t="s">
        <v>1210</v>
      </c>
      <c r="B296" s="32" t="s">
        <v>1122</v>
      </c>
      <c r="C296" s="22" t="s">
        <v>1211</v>
      </c>
      <c r="D296" s="23" t="s">
        <v>1212</v>
      </c>
      <c r="E296" s="23" t="s">
        <v>1213</v>
      </c>
      <c r="F296" s="24">
        <v>45917</v>
      </c>
      <c r="G296" s="24">
        <v>46226</v>
      </c>
      <c r="H296" s="24">
        <v>48385</v>
      </c>
      <c r="I296" s="25">
        <v>203.12969970703119</v>
      </c>
      <c r="J296" s="25">
        <v>161.71110534667969</v>
      </c>
      <c r="K296" s="25">
        <v>170.23699999999999</v>
      </c>
      <c r="L296" s="25">
        <v>174.39699999999999</v>
      </c>
      <c r="M296" s="26">
        <v>216</v>
      </c>
      <c r="N296" s="27">
        <v>32.892699707031262</v>
      </c>
      <c r="O296" s="28">
        <v>-3.0590930175781348</v>
      </c>
      <c r="P296" s="28">
        <v>48.279912109374997</v>
      </c>
      <c r="Q296" s="28">
        <v>25.669587361088499</v>
      </c>
      <c r="R296" s="29">
        <v>70.028222470821859</v>
      </c>
      <c r="S296" s="28">
        <v>-8.5258946533203073</v>
      </c>
      <c r="T296" s="28">
        <v>-44.506892700195323</v>
      </c>
      <c r="U296" s="28">
        <v>14.53459655761719</v>
      </c>
      <c r="V296" s="28">
        <v>-11.45928441535102</v>
      </c>
      <c r="W296" s="30">
        <v>60.941887644058582</v>
      </c>
      <c r="X296" s="16" t="str">
        <f>IFERROR(_xll.BDP(E296&amp;" Corp","LAST_PRICE"),"--")</f>
        <v>#N/A Requesting Data...</v>
      </c>
      <c r="Y296" s="17" t="str">
        <f>IFERROR(_xll.BDP(E296&amp;" Corp","YAS_BENCHMARK_BOND_ISIN"),"--")</f>
        <v>#N/A Requesting Data...</v>
      </c>
      <c r="Z296" s="18" t="str">
        <f>IFERROR(_xll.BDP(Y296&amp;" CORP","LAST_PRICE"),"--")</f>
        <v>#N/A Requesting Data... CORP</v>
      </c>
      <c r="AA296" s="19" t="str">
        <f>IFERROR(_xll.BDP(E296&amp;" Corp","YAS_YLD_SPREAD","YAS_BOND_PX="&amp;X296,"YAS_BNCHMRK_BOND_PX="&amp;Z296),"--")</f>
        <v>#N/A Requesting Data...</v>
      </c>
      <c r="AB296" s="19" t="str">
        <f>IFERROR(_xll.BDP(E296&amp;" Corp","BLOOMBERG_MID_G_SPREAD","YAS_BOND_PX="&amp;X296,"YAS_BNCHMRK_BOND_PX="&amp;Z296),"--")</f>
        <v>#N/A Requesting Data...</v>
      </c>
      <c r="AC296" s="19" t="str">
        <f>IFERROR(_xll.BDP(D296,"LAST_PRICE"),"--")</f>
        <v>#N/A Requesting Data...</v>
      </c>
      <c r="AD296" s="20"/>
      <c r="AE296" s="19" t="str">
        <f t="shared" si="16"/>
        <v>#N/A Requesting Data...</v>
      </c>
      <c r="AF296" s="19" t="str">
        <f t="shared" si="17"/>
        <v>--</v>
      </c>
      <c r="AG296" s="21" t="str">
        <f t="shared" si="18"/>
        <v>--</v>
      </c>
      <c r="AH296" s="19" t="str">
        <f t="shared" si="19"/>
        <v>--</v>
      </c>
    </row>
    <row r="297" spans="1:34" x14ac:dyDescent="0.45">
      <c r="A297" s="7" t="s">
        <v>1214</v>
      </c>
      <c r="B297" s="32" t="s">
        <v>1122</v>
      </c>
      <c r="C297" s="7" t="s">
        <v>1215</v>
      </c>
      <c r="D297" s="8" t="s">
        <v>1216</v>
      </c>
      <c r="E297" s="8" t="s">
        <v>1217</v>
      </c>
      <c r="F297" s="9">
        <v>45659</v>
      </c>
      <c r="G297" s="9">
        <v>46226</v>
      </c>
      <c r="H297" s="9">
        <v>47654</v>
      </c>
      <c r="I297" s="10">
        <v>197.2633056640625</v>
      </c>
      <c r="J297" s="10">
        <v>235.38490295410159</v>
      </c>
      <c r="K297" s="10">
        <v>-77.311000000000007</v>
      </c>
      <c r="L297" s="10">
        <v>-371.95499999999998</v>
      </c>
      <c r="M297" s="11">
        <v>397</v>
      </c>
      <c r="N297" s="12">
        <v>274.57430566406248</v>
      </c>
      <c r="O297" s="13">
        <v>-80.961801391601568</v>
      </c>
      <c r="P297" s="13">
        <v>533.89630090332025</v>
      </c>
      <c r="Q297" s="13">
        <v>70.631869104957104</v>
      </c>
      <c r="R297" s="14">
        <v>57.82409075014975</v>
      </c>
      <c r="S297" s="13">
        <v>312.6959029541016</v>
      </c>
      <c r="T297" s="13">
        <v>-36.150293212890631</v>
      </c>
      <c r="U297" s="13">
        <v>576.531493774414</v>
      </c>
      <c r="V297" s="13">
        <v>104.10031923323849</v>
      </c>
      <c r="W297" s="15">
        <v>56.937582212513313</v>
      </c>
      <c r="X297" s="16" t="str">
        <f>IFERROR(_xll.BDP(E297&amp;" Corp","LAST_PRICE"),"--")</f>
        <v>#N/A Requesting Data...</v>
      </c>
      <c r="Y297" s="17" t="str">
        <f>IFERROR(_xll.BDP(E297&amp;" Corp","YAS_BENCHMARK_BOND_ISIN"),"--")</f>
        <v>#N/A Requesting Data...</v>
      </c>
      <c r="Z297" s="18" t="str">
        <f>IFERROR(_xll.BDP(Y297&amp;" CORP","LAST_PRICE"),"--")</f>
        <v>#N/A Requesting Data... CORP</v>
      </c>
      <c r="AA297" s="19" t="str">
        <f>IFERROR(_xll.BDP(E297&amp;" Corp","YAS_YLD_SPREAD","YAS_BOND_PX="&amp;X297,"YAS_BNCHMRK_BOND_PX="&amp;Z297),"--")</f>
        <v>#N/A Requesting Data...</v>
      </c>
      <c r="AB297" s="19" t="str">
        <f>IFERROR(_xll.BDP(E297&amp;" Corp","BLOOMBERG_MID_G_SPREAD","YAS_BOND_PX="&amp;X297,"YAS_BNCHMRK_BOND_PX="&amp;Z297),"--")</f>
        <v>#N/A Requesting Data...</v>
      </c>
      <c r="AC297" s="19" t="str">
        <f>IFERROR(_xll.BDP(D297,"LAST_PRICE"),"--")</f>
        <v>#N/A Requesting Data...</v>
      </c>
      <c r="AD297" s="20"/>
      <c r="AE297" s="19" t="str">
        <f t="shared" si="16"/>
        <v>#N/A Requesting Data...</v>
      </c>
      <c r="AF297" s="19" t="str">
        <f t="shared" si="17"/>
        <v>--</v>
      </c>
      <c r="AG297" s="21" t="str">
        <f t="shared" si="18"/>
        <v>--</v>
      </c>
      <c r="AH297" s="19" t="str">
        <f t="shared" si="19"/>
        <v>--</v>
      </c>
    </row>
    <row r="298" spans="1:34" x14ac:dyDescent="0.45">
      <c r="A298" s="22" t="s">
        <v>1218</v>
      </c>
      <c r="B298" s="32" t="s">
        <v>1122</v>
      </c>
      <c r="C298" s="22" t="s">
        <v>1219</v>
      </c>
      <c r="D298" s="23" t="s">
        <v>1220</v>
      </c>
      <c r="E298" s="23" t="s">
        <v>1221</v>
      </c>
      <c r="F298" s="24">
        <v>45659</v>
      </c>
      <c r="G298" s="24">
        <v>46226</v>
      </c>
      <c r="H298" s="24">
        <v>46924</v>
      </c>
      <c r="I298" s="25">
        <v>73.46600341796875</v>
      </c>
      <c r="J298" s="25">
        <v>164.37139892578119</v>
      </c>
      <c r="K298" s="25">
        <v>62.088000000000001</v>
      </c>
      <c r="L298" s="25">
        <v>67.149000000000001</v>
      </c>
      <c r="M298" s="26">
        <v>397</v>
      </c>
      <c r="N298" s="27">
        <v>11.378003417968751</v>
      </c>
      <c r="O298" s="28">
        <v>-36.83849658203124</v>
      </c>
      <c r="P298" s="28">
        <v>40.923197509765629</v>
      </c>
      <c r="Q298" s="28">
        <v>7.3867055770143759</v>
      </c>
      <c r="R298" s="29">
        <v>62.005464982644177</v>
      </c>
      <c r="S298" s="28">
        <v>102.2833989257813</v>
      </c>
      <c r="T298" s="28">
        <v>58.096896240234372</v>
      </c>
      <c r="U298" s="28">
        <v>154.65860058593751</v>
      </c>
      <c r="V298" s="28">
        <v>106.9153850091507</v>
      </c>
      <c r="W298" s="30">
        <v>45.759862033248297</v>
      </c>
      <c r="X298" s="16" t="str">
        <f>IFERROR(_xll.BDP(E298&amp;" Corp","LAST_PRICE"),"--")</f>
        <v>#N/A Requesting Data...</v>
      </c>
      <c r="Y298" s="17" t="str">
        <f>IFERROR(_xll.BDP(E298&amp;" Corp","YAS_BENCHMARK_BOND_ISIN"),"--")</f>
        <v>#N/A Requesting Data...</v>
      </c>
      <c r="Z298" s="18" t="str">
        <f>IFERROR(_xll.BDP(Y298&amp;" CORP","LAST_PRICE"),"--")</f>
        <v>#N/A Requesting Data... CORP</v>
      </c>
      <c r="AA298" s="19" t="str">
        <f>IFERROR(_xll.BDP(E298&amp;" Corp","YAS_YLD_SPREAD","YAS_BOND_PX="&amp;X298,"YAS_BNCHMRK_BOND_PX="&amp;Z298),"--")</f>
        <v>#N/A Requesting Data...</v>
      </c>
      <c r="AB298" s="19" t="str">
        <f>IFERROR(_xll.BDP(E298&amp;" Corp","BLOOMBERG_MID_G_SPREAD","YAS_BOND_PX="&amp;X298,"YAS_BNCHMRK_BOND_PX="&amp;Z298),"--")</f>
        <v>#N/A Requesting Data...</v>
      </c>
      <c r="AC298" s="19" t="str">
        <f>IFERROR(_xll.BDP(D298,"LAST_PRICE"),"--")</f>
        <v>#N/A Requesting Data...</v>
      </c>
      <c r="AD298" s="20"/>
      <c r="AE298" s="19" t="str">
        <f t="shared" si="16"/>
        <v>#N/A Requesting Data...</v>
      </c>
      <c r="AF298" s="19" t="str">
        <f t="shared" si="17"/>
        <v>--</v>
      </c>
      <c r="AG298" s="21" t="str">
        <f t="shared" si="18"/>
        <v>--</v>
      </c>
      <c r="AH298" s="19" t="str">
        <f t="shared" si="19"/>
        <v>--</v>
      </c>
    </row>
    <row r="299" spans="1:34" x14ac:dyDescent="0.45">
      <c r="A299" s="7" t="s">
        <v>1222</v>
      </c>
      <c r="B299" s="32" t="s">
        <v>1122</v>
      </c>
      <c r="C299" s="7" t="s">
        <v>1223</v>
      </c>
      <c r="D299" s="8" t="s">
        <v>1224</v>
      </c>
      <c r="E299" s="8" t="s">
        <v>1225</v>
      </c>
      <c r="F299" s="9">
        <v>45659</v>
      </c>
      <c r="G299" s="9">
        <v>46226</v>
      </c>
      <c r="H299" s="9">
        <v>46924</v>
      </c>
      <c r="I299" s="10">
        <v>180.1694030761719</v>
      </c>
      <c r="J299" s="10">
        <v>355.86279296875</v>
      </c>
      <c r="K299" s="10">
        <v>47.997</v>
      </c>
      <c r="L299" s="10">
        <v>46.668999999999997</v>
      </c>
      <c r="M299" s="11">
        <v>394</v>
      </c>
      <c r="N299" s="12">
        <v>132.17240307617189</v>
      </c>
      <c r="O299" s="13">
        <v>-41.682085205078117</v>
      </c>
      <c r="P299" s="13">
        <v>163.01660217285149</v>
      </c>
      <c r="Q299" s="13">
        <v>80.643270796257838</v>
      </c>
      <c r="R299" s="14">
        <v>84.931901864259203</v>
      </c>
      <c r="S299" s="13">
        <v>307.86579296874999</v>
      </c>
      <c r="T299" s="13">
        <v>149.7104013671875</v>
      </c>
      <c r="U299" s="13">
        <v>353.82420410156249</v>
      </c>
      <c r="V299" s="13">
        <v>255.94755300887829</v>
      </c>
      <c r="W299" s="15">
        <v>77.48392782989751</v>
      </c>
      <c r="X299" s="16" t="str">
        <f>IFERROR(_xll.BDP(E299&amp;" Corp","LAST_PRICE"),"--")</f>
        <v>#N/A Requesting Data...</v>
      </c>
      <c r="Y299" s="17" t="str">
        <f>IFERROR(_xll.BDP(E299&amp;" Corp","YAS_BENCHMARK_BOND_ISIN"),"--")</f>
        <v>#N/A Requesting Data...</v>
      </c>
      <c r="Z299" s="18" t="str">
        <f>IFERROR(_xll.BDP(Y299&amp;" CORP","LAST_PRICE"),"--")</f>
        <v>#N/A Requesting Data... CORP</v>
      </c>
      <c r="AA299" s="19" t="str">
        <f>IFERROR(_xll.BDP(E299&amp;" Corp","YAS_YLD_SPREAD","YAS_BOND_PX="&amp;X299,"YAS_BNCHMRK_BOND_PX="&amp;Z299),"--")</f>
        <v>#N/A Requesting Data...</v>
      </c>
      <c r="AB299" s="19" t="str">
        <f>IFERROR(_xll.BDP(E299&amp;" Corp","BLOOMBERG_MID_G_SPREAD","YAS_BOND_PX="&amp;X299,"YAS_BNCHMRK_BOND_PX="&amp;Z299),"--")</f>
        <v>#N/A Requesting Data...</v>
      </c>
      <c r="AC299" s="19" t="str">
        <f>IFERROR(_xll.BDP(D299,"LAST_PRICE"),"--")</f>
        <v>#N/A Requesting Data...</v>
      </c>
      <c r="AD299" s="20"/>
      <c r="AE299" s="19" t="str">
        <f t="shared" si="16"/>
        <v>#N/A Requesting Data...</v>
      </c>
      <c r="AF299" s="19" t="str">
        <f t="shared" si="17"/>
        <v>--</v>
      </c>
      <c r="AG299" s="21" t="str">
        <f t="shared" si="18"/>
        <v>--</v>
      </c>
      <c r="AH299" s="19" t="str">
        <f t="shared" si="19"/>
        <v>--</v>
      </c>
    </row>
    <row r="300" spans="1:34" x14ac:dyDescent="0.45">
      <c r="A300" s="22" t="s">
        <v>1226</v>
      </c>
      <c r="B300" s="32" t="s">
        <v>1122</v>
      </c>
      <c r="C300" s="22" t="s">
        <v>1227</v>
      </c>
      <c r="D300" s="23" t="s">
        <v>1228</v>
      </c>
      <c r="E300" s="23" t="s">
        <v>1229</v>
      </c>
      <c r="F300" s="24">
        <v>45939</v>
      </c>
      <c r="G300" s="24">
        <v>46226</v>
      </c>
      <c r="H300" s="24">
        <v>48019</v>
      </c>
      <c r="I300" s="25">
        <v>199.5556945800781</v>
      </c>
      <c r="J300" s="25">
        <v>199.5556945800781</v>
      </c>
      <c r="K300" s="25">
        <v>187.72499999999999</v>
      </c>
      <c r="L300" s="25">
        <v>179.92</v>
      </c>
      <c r="M300" s="26">
        <v>198</v>
      </c>
      <c r="N300" s="27">
        <v>11.830694580078131</v>
      </c>
      <c r="O300" s="28">
        <v>-38.794600097656257</v>
      </c>
      <c r="P300" s="28">
        <v>83.006991943359367</v>
      </c>
      <c r="Q300" s="28">
        <v>37.920102865199851</v>
      </c>
      <c r="R300" s="29">
        <v>41.563738067304371</v>
      </c>
      <c r="S300" s="28">
        <v>11.830694580078131</v>
      </c>
      <c r="T300" s="28">
        <v>-38.794600097656257</v>
      </c>
      <c r="U300" s="28">
        <v>83.006991943359367</v>
      </c>
      <c r="V300" s="28">
        <v>37.920102865199851</v>
      </c>
      <c r="W300" s="30">
        <v>41.563738067304371</v>
      </c>
      <c r="X300" s="16" t="str">
        <f>IFERROR(_xll.BDP(E300&amp;" Corp","LAST_PRICE"),"--")</f>
        <v>#N/A Requesting Data...</v>
      </c>
      <c r="Y300" s="17" t="str">
        <f>IFERROR(_xll.BDP(E300&amp;" Corp","YAS_BENCHMARK_BOND_ISIN"),"--")</f>
        <v>#N/A Requesting Data...</v>
      </c>
      <c r="Z300" s="18" t="str">
        <f>IFERROR(_xll.BDP(Y300&amp;" CORP","LAST_PRICE"),"--")</f>
        <v>#N/A Requesting Data... CORP</v>
      </c>
      <c r="AA300" s="19" t="str">
        <f>IFERROR(_xll.BDP(E300&amp;" Corp","YAS_YLD_SPREAD","YAS_BOND_PX="&amp;X300,"YAS_BNCHMRK_BOND_PX="&amp;Z300),"--")</f>
        <v>#N/A Requesting Data...</v>
      </c>
      <c r="AB300" s="19" t="str">
        <f>IFERROR(_xll.BDP(E300&amp;" Corp","BLOOMBERG_MID_G_SPREAD","YAS_BOND_PX="&amp;X300,"YAS_BNCHMRK_BOND_PX="&amp;Z300),"--")</f>
        <v>#N/A Requesting Data...</v>
      </c>
      <c r="AC300" s="19" t="str">
        <f>IFERROR(_xll.BDP(D300,"LAST_PRICE"),"--")</f>
        <v>#N/A Requesting Data...</v>
      </c>
      <c r="AD300" s="20"/>
      <c r="AE300" s="19" t="str">
        <f t="shared" si="16"/>
        <v>#N/A Requesting Data...</v>
      </c>
      <c r="AF300" s="19" t="str">
        <f t="shared" si="17"/>
        <v>--</v>
      </c>
      <c r="AG300" s="21" t="str">
        <f t="shared" si="18"/>
        <v>--</v>
      </c>
      <c r="AH300" s="19" t="str">
        <f t="shared" si="19"/>
        <v>--</v>
      </c>
    </row>
    <row r="301" spans="1:34" x14ac:dyDescent="0.45">
      <c r="A301" s="7" t="s">
        <v>1230</v>
      </c>
      <c r="B301" s="32" t="s">
        <v>1122</v>
      </c>
      <c r="C301" s="7" t="s">
        <v>1231</v>
      </c>
      <c r="D301" s="8" t="s">
        <v>1232</v>
      </c>
      <c r="E301" s="8" t="s">
        <v>1233</v>
      </c>
      <c r="F301" s="9">
        <v>45735</v>
      </c>
      <c r="G301" s="9">
        <v>46226</v>
      </c>
      <c r="H301" s="9">
        <v>46924</v>
      </c>
      <c r="I301" s="10">
        <v>118.8117980957031</v>
      </c>
      <c r="J301" s="10">
        <v>288.23208618164063</v>
      </c>
      <c r="K301" s="10">
        <v>153.15299999999999</v>
      </c>
      <c r="L301" s="10">
        <v>-809.54399999999998</v>
      </c>
      <c r="M301" s="11">
        <v>343</v>
      </c>
      <c r="N301" s="12">
        <v>-34.341201904296867</v>
      </c>
      <c r="O301" s="13">
        <v>-138.74719458007809</v>
      </c>
      <c r="P301" s="13">
        <v>2142.3854035644531</v>
      </c>
      <c r="Q301" s="13">
        <v>200.9898165452251</v>
      </c>
      <c r="R301" s="14">
        <v>4.5769365954747609</v>
      </c>
      <c r="S301" s="13">
        <v>135.0790861816406</v>
      </c>
      <c r="T301" s="13">
        <v>-3.47758496093752</v>
      </c>
      <c r="U301" s="13">
        <v>2263.1119050292968</v>
      </c>
      <c r="V301" s="13">
        <v>336.69923023493033</v>
      </c>
      <c r="W301" s="15">
        <v>6.1130024538839249</v>
      </c>
      <c r="X301" s="16" t="str">
        <f>IFERROR(_xll.BDP(E301&amp;" Corp","LAST_PRICE"),"--")</f>
        <v>#N/A Requesting Data...</v>
      </c>
      <c r="Y301" s="17" t="str">
        <f>IFERROR(_xll.BDP(E301&amp;" Corp","YAS_BENCHMARK_BOND_ISIN"),"--")</f>
        <v>#N/A Requesting Data...</v>
      </c>
      <c r="Z301" s="18" t="str">
        <f>IFERROR(_xll.BDP(Y301&amp;" CORP","LAST_PRICE"),"--")</f>
        <v>#N/A Requesting Data... CORP</v>
      </c>
      <c r="AA301" s="19" t="str">
        <f>IFERROR(_xll.BDP(E301&amp;" Corp","YAS_YLD_SPREAD","YAS_BOND_PX="&amp;X301,"YAS_BNCHMRK_BOND_PX="&amp;Z301),"--")</f>
        <v>#N/A Requesting Data...</v>
      </c>
      <c r="AB301" s="19" t="str">
        <f>IFERROR(_xll.BDP(E301&amp;" Corp","BLOOMBERG_MID_G_SPREAD","YAS_BOND_PX="&amp;X301,"YAS_BNCHMRK_BOND_PX="&amp;Z301),"--")</f>
        <v>#N/A Requesting Data...</v>
      </c>
      <c r="AC301" s="19" t="str">
        <f>IFERROR(_xll.BDP(D301,"LAST_PRICE"),"--")</f>
        <v>#N/A Requesting Data...</v>
      </c>
      <c r="AD301" s="20"/>
      <c r="AE301" s="19" t="str">
        <f t="shared" si="16"/>
        <v>#N/A Requesting Data...</v>
      </c>
      <c r="AF301" s="19" t="str">
        <f t="shared" si="17"/>
        <v>--</v>
      </c>
      <c r="AG301" s="21" t="str">
        <f t="shared" si="18"/>
        <v>--</v>
      </c>
      <c r="AH301" s="19" t="str">
        <f t="shared" si="19"/>
        <v>--</v>
      </c>
    </row>
    <row r="302" spans="1:34" x14ac:dyDescent="0.45">
      <c r="A302" s="22" t="s">
        <v>1234</v>
      </c>
      <c r="B302" s="32" t="s">
        <v>1122</v>
      </c>
      <c r="C302" s="22" t="s">
        <v>1235</v>
      </c>
      <c r="D302" s="23" t="s">
        <v>1236</v>
      </c>
      <c r="E302" s="23" t="s">
        <v>1237</v>
      </c>
      <c r="F302" s="24">
        <v>45925</v>
      </c>
      <c r="G302" s="24">
        <v>46226</v>
      </c>
      <c r="H302" s="24">
        <v>48019</v>
      </c>
      <c r="I302" s="25">
        <v>628.36468505859375</v>
      </c>
      <c r="J302" s="25">
        <v>628.36468505859375</v>
      </c>
      <c r="K302" s="25">
        <v>544.80799999999999</v>
      </c>
      <c r="L302" s="25">
        <v>559.47799999999995</v>
      </c>
      <c r="M302" s="26">
        <v>210</v>
      </c>
      <c r="N302" s="27">
        <v>83.556685058593757</v>
      </c>
      <c r="O302" s="28">
        <v>-61.822478027343777</v>
      </c>
      <c r="P302" s="28">
        <v>227.9689799804687</v>
      </c>
      <c r="Q302" s="28">
        <v>77.242998644438259</v>
      </c>
      <c r="R302" s="29">
        <v>50.16682137056582</v>
      </c>
      <c r="S302" s="28">
        <v>83.556685058593757</v>
      </c>
      <c r="T302" s="28">
        <v>-61.822478027343777</v>
      </c>
      <c r="U302" s="28">
        <v>227.9689799804687</v>
      </c>
      <c r="V302" s="28">
        <v>77.242998644438259</v>
      </c>
      <c r="W302" s="30">
        <v>50.16682137056582</v>
      </c>
      <c r="X302" s="16" t="str">
        <f>IFERROR(_xll.BDP(E302&amp;" Corp","LAST_PRICE"),"--")</f>
        <v>#N/A Requesting Data...</v>
      </c>
      <c r="Y302" s="17" t="str">
        <f>IFERROR(_xll.BDP(E302&amp;" Corp","YAS_BENCHMARK_BOND_ISIN"),"--")</f>
        <v>#N/A Requesting Data...</v>
      </c>
      <c r="Z302" s="18" t="str">
        <f>IFERROR(_xll.BDP(Y302&amp;" CORP","LAST_PRICE"),"--")</f>
        <v>#N/A Requesting Data... CORP</v>
      </c>
      <c r="AA302" s="19" t="str">
        <f>IFERROR(_xll.BDP(E302&amp;" Corp","YAS_YLD_SPREAD","YAS_BOND_PX="&amp;X302,"YAS_BNCHMRK_BOND_PX="&amp;Z302),"--")</f>
        <v>#N/A Requesting Data...</v>
      </c>
      <c r="AB302" s="19" t="str">
        <f>IFERROR(_xll.BDP(E302&amp;" Corp","BLOOMBERG_MID_G_SPREAD","YAS_BOND_PX="&amp;X302,"YAS_BNCHMRK_BOND_PX="&amp;Z302),"--")</f>
        <v>#N/A Requesting Data...</v>
      </c>
      <c r="AC302" s="19" t="str">
        <f>IFERROR(_xll.BDP(D302,"LAST_PRICE"),"--")</f>
        <v>#N/A Requesting Data...</v>
      </c>
      <c r="AD302" s="20"/>
      <c r="AE302" s="19" t="str">
        <f t="shared" si="16"/>
        <v>#N/A Requesting Data...</v>
      </c>
      <c r="AF302" s="19" t="str">
        <f t="shared" si="17"/>
        <v>--</v>
      </c>
      <c r="AG302" s="21" t="str">
        <f t="shared" si="18"/>
        <v>--</v>
      </c>
      <c r="AH302" s="19" t="str">
        <f t="shared" si="19"/>
        <v>--</v>
      </c>
    </row>
    <row r="303" spans="1:34" x14ac:dyDescent="0.45">
      <c r="A303" s="7" t="s">
        <v>1238</v>
      </c>
      <c r="B303" s="32" t="s">
        <v>1122</v>
      </c>
      <c r="C303" s="7" t="s">
        <v>1239</v>
      </c>
      <c r="D303" s="8" t="s">
        <v>1240</v>
      </c>
      <c r="E303" s="8" t="s">
        <v>1241</v>
      </c>
      <c r="F303" s="9">
        <v>46099</v>
      </c>
      <c r="G303" s="9">
        <v>46226</v>
      </c>
      <c r="H303" s="9">
        <v>48568</v>
      </c>
      <c r="I303" s="10">
        <v>216.93879699707031</v>
      </c>
      <c r="J303" s="10">
        <v>192.98309326171881</v>
      </c>
      <c r="K303" s="10">
        <v>175.553</v>
      </c>
      <c r="L303" s="10">
        <v>176.16300000000001</v>
      </c>
      <c r="M303" s="11">
        <v>89</v>
      </c>
      <c r="N303" s="12">
        <v>41.385796997070322</v>
      </c>
      <c r="O303" s="13">
        <v>-85.742996948242194</v>
      </c>
      <c r="P303" s="13">
        <v>86.471907714843752</v>
      </c>
      <c r="Q303" s="13">
        <v>48.674290362754569</v>
      </c>
      <c r="R303" s="14">
        <v>73.819855600780883</v>
      </c>
      <c r="S303" s="13">
        <v>17.430093261718749</v>
      </c>
      <c r="T303" s="13">
        <v>-105.5243003540039</v>
      </c>
      <c r="U303" s="13">
        <v>55.33199987792969</v>
      </c>
      <c r="V303" s="13">
        <v>23.057517507488811</v>
      </c>
      <c r="W303" s="15">
        <v>76.437412422415917</v>
      </c>
      <c r="X303" s="16" t="str">
        <f>IFERROR(_xll.BDP(E303&amp;" Corp","LAST_PRICE"),"--")</f>
        <v>#N/A Requesting Data...</v>
      </c>
      <c r="Y303" s="17" t="str">
        <f>IFERROR(_xll.BDP(E303&amp;" Corp","YAS_BENCHMARK_BOND_ISIN"),"--")</f>
        <v>#N/A Requesting Data...</v>
      </c>
      <c r="Z303" s="18" t="str">
        <f>IFERROR(_xll.BDP(Y303&amp;" CORP","LAST_PRICE"),"--")</f>
        <v>#N/A Requesting Data... CORP</v>
      </c>
      <c r="AA303" s="19" t="str">
        <f>IFERROR(_xll.BDP(E303&amp;" Corp","YAS_YLD_SPREAD","YAS_BOND_PX="&amp;X303,"YAS_BNCHMRK_BOND_PX="&amp;Z303),"--")</f>
        <v>#N/A Requesting Data...</v>
      </c>
      <c r="AB303" s="19" t="str">
        <f>IFERROR(_xll.BDP(E303&amp;" Corp","BLOOMBERG_MID_G_SPREAD","YAS_BOND_PX="&amp;X303,"YAS_BNCHMRK_BOND_PX="&amp;Z303),"--")</f>
        <v>#N/A Requesting Data...</v>
      </c>
      <c r="AC303" s="19" t="str">
        <f>IFERROR(_xll.BDP(D303,"LAST_PRICE"),"--")</f>
        <v>#N/A Requesting Data...</v>
      </c>
      <c r="AD303" s="20"/>
      <c r="AE303" s="19" t="str">
        <f t="shared" si="16"/>
        <v>#N/A Requesting Data...</v>
      </c>
      <c r="AF303" s="19" t="str">
        <f t="shared" si="17"/>
        <v>--</v>
      </c>
      <c r="AG303" s="21" t="str">
        <f t="shared" si="18"/>
        <v>--</v>
      </c>
      <c r="AH303" s="19" t="str">
        <f t="shared" si="19"/>
        <v>--</v>
      </c>
    </row>
    <row r="304" spans="1:34" x14ac:dyDescent="0.45">
      <c r="A304" s="22" t="s">
        <v>1242</v>
      </c>
      <c r="B304" s="32" t="s">
        <v>1122</v>
      </c>
      <c r="C304" s="22" t="s">
        <v>1243</v>
      </c>
      <c r="D304" s="23" t="s">
        <v>1244</v>
      </c>
      <c r="E304" s="23" t="s">
        <v>1245</v>
      </c>
      <c r="F304" s="24">
        <v>46100</v>
      </c>
      <c r="G304" s="24">
        <v>46226</v>
      </c>
      <c r="H304" s="24">
        <v>48568</v>
      </c>
      <c r="I304" s="25">
        <v>1165.586059570312</v>
      </c>
      <c r="J304" s="25">
        <v>1058.808837890625</v>
      </c>
      <c r="K304" s="25">
        <v>877.38</v>
      </c>
      <c r="L304" s="25">
        <v>875.279</v>
      </c>
      <c r="M304" s="26">
        <v>86</v>
      </c>
      <c r="N304" s="27">
        <v>288.2060595703125</v>
      </c>
      <c r="O304" s="28">
        <v>59.964178710937396</v>
      </c>
      <c r="P304" s="28">
        <v>332.14747558593751</v>
      </c>
      <c r="Q304" s="28">
        <v>209.69084045694041</v>
      </c>
      <c r="R304" s="29">
        <v>83.855946885746974</v>
      </c>
      <c r="S304" s="28">
        <v>181.428837890625</v>
      </c>
      <c r="T304" s="28">
        <v>84.882176757812431</v>
      </c>
      <c r="U304" s="28">
        <v>353.14771972656251</v>
      </c>
      <c r="V304" s="28">
        <v>229.9461363213118</v>
      </c>
      <c r="W304" s="30">
        <v>35.98921429281701</v>
      </c>
      <c r="X304" s="16" t="str">
        <f>IFERROR(_xll.BDP(E304&amp;" Corp","LAST_PRICE"),"--")</f>
        <v>#N/A Requesting Data...</v>
      </c>
      <c r="Y304" s="17" t="str">
        <f>IFERROR(_xll.BDP(E304&amp;" Corp","YAS_BENCHMARK_BOND_ISIN"),"--")</f>
        <v>#N/A Requesting Data...</v>
      </c>
      <c r="Z304" s="18" t="str">
        <f>IFERROR(_xll.BDP(Y304&amp;" CORP","LAST_PRICE"),"--")</f>
        <v>#N/A Requesting Data... CORP</v>
      </c>
      <c r="AA304" s="19" t="str">
        <f>IFERROR(_xll.BDP(E304&amp;" Corp","YAS_YLD_SPREAD","YAS_BOND_PX="&amp;X304,"YAS_BNCHMRK_BOND_PX="&amp;Z304),"--")</f>
        <v>#N/A Requesting Data...</v>
      </c>
      <c r="AB304" s="19" t="str">
        <f>IFERROR(_xll.BDP(E304&amp;" Corp","BLOOMBERG_MID_G_SPREAD","YAS_BOND_PX="&amp;X304,"YAS_BNCHMRK_BOND_PX="&amp;Z304),"--")</f>
        <v>#N/A Requesting Data...</v>
      </c>
      <c r="AC304" s="19" t="str">
        <f>IFERROR(_xll.BDP(D304,"LAST_PRICE"),"--")</f>
        <v>#N/A Requesting Data...</v>
      </c>
      <c r="AD304" s="20"/>
      <c r="AE304" s="19" t="str">
        <f t="shared" si="16"/>
        <v>#N/A Requesting Data...</v>
      </c>
      <c r="AF304" s="19" t="str">
        <f t="shared" si="17"/>
        <v>--</v>
      </c>
      <c r="AG304" s="21" t="str">
        <f t="shared" si="18"/>
        <v>--</v>
      </c>
      <c r="AH304" s="19" t="str">
        <f t="shared" si="19"/>
        <v>--</v>
      </c>
    </row>
    <row r="305" spans="1:34" x14ac:dyDescent="0.45">
      <c r="A305" s="7" t="s">
        <v>1246</v>
      </c>
      <c r="B305" s="32" t="s">
        <v>1122</v>
      </c>
      <c r="C305" s="7" t="s">
        <v>1247</v>
      </c>
      <c r="D305" s="8" t="s">
        <v>1248</v>
      </c>
      <c r="E305" s="8" t="s">
        <v>1249</v>
      </c>
      <c r="F305" s="9">
        <v>45833</v>
      </c>
      <c r="G305" s="9">
        <v>46226</v>
      </c>
      <c r="H305" s="9">
        <v>48202</v>
      </c>
      <c r="I305" s="10">
        <v>167.9743957519531</v>
      </c>
      <c r="J305" s="10">
        <v>153.30900573730469</v>
      </c>
      <c r="K305" s="10">
        <v>121.422</v>
      </c>
      <c r="L305" s="10">
        <v>126.255</v>
      </c>
      <c r="M305" s="11">
        <v>273</v>
      </c>
      <c r="N305" s="12">
        <v>46.552395751953128</v>
      </c>
      <c r="O305" s="13">
        <v>-9.7328952636718782</v>
      </c>
      <c r="P305" s="13">
        <v>71.966796997070304</v>
      </c>
      <c r="Q305" s="13">
        <v>26.795851914849479</v>
      </c>
      <c r="R305" s="14">
        <v>68.892904560756662</v>
      </c>
      <c r="S305" s="13">
        <v>31.88700573730469</v>
      </c>
      <c r="T305" s="13">
        <v>-15.978699096679691</v>
      </c>
      <c r="U305" s="13">
        <v>60.445495727539047</v>
      </c>
      <c r="V305" s="13">
        <v>19.933137196299789</v>
      </c>
      <c r="W305" s="15">
        <v>62.631611551916272</v>
      </c>
      <c r="X305" s="16" t="str">
        <f>IFERROR(_xll.BDP(E305&amp;" Corp","LAST_PRICE"),"--")</f>
        <v>#N/A Requesting Data...</v>
      </c>
      <c r="Y305" s="17" t="str">
        <f>IFERROR(_xll.BDP(E305&amp;" Corp","YAS_BENCHMARK_BOND_ISIN"),"--")</f>
        <v>#N/A Requesting Data...</v>
      </c>
      <c r="Z305" s="18" t="str">
        <f>IFERROR(_xll.BDP(Y305&amp;" CORP","LAST_PRICE"),"--")</f>
        <v>#N/A Requesting Data... CORP</v>
      </c>
      <c r="AA305" s="19" t="str">
        <f>IFERROR(_xll.BDP(E305&amp;" Corp","YAS_YLD_SPREAD","YAS_BOND_PX="&amp;X305,"YAS_BNCHMRK_BOND_PX="&amp;Z305),"--")</f>
        <v>#N/A Requesting Data...</v>
      </c>
      <c r="AB305" s="19" t="str">
        <f>IFERROR(_xll.BDP(E305&amp;" Corp","BLOOMBERG_MID_G_SPREAD","YAS_BOND_PX="&amp;X305,"YAS_BNCHMRK_BOND_PX="&amp;Z305),"--")</f>
        <v>#N/A Requesting Data...</v>
      </c>
      <c r="AC305" s="19" t="str">
        <f>IFERROR(_xll.BDP(D305,"LAST_PRICE"),"--")</f>
        <v>#N/A Requesting Data...</v>
      </c>
      <c r="AD305" s="20"/>
      <c r="AE305" s="19" t="str">
        <f t="shared" si="16"/>
        <v>#N/A Requesting Data...</v>
      </c>
      <c r="AF305" s="19" t="str">
        <f t="shared" si="17"/>
        <v>--</v>
      </c>
      <c r="AG305" s="21" t="str">
        <f t="shared" si="18"/>
        <v>--</v>
      </c>
      <c r="AH305" s="19" t="str">
        <f t="shared" si="19"/>
        <v>--</v>
      </c>
    </row>
    <row r="306" spans="1:34" x14ac:dyDescent="0.45">
      <c r="A306" s="22" t="s">
        <v>1250</v>
      </c>
      <c r="B306" s="32" t="s">
        <v>1122</v>
      </c>
      <c r="C306" s="22" t="s">
        <v>1251</v>
      </c>
      <c r="D306" s="23" t="s">
        <v>1252</v>
      </c>
      <c r="E306" s="23" t="s">
        <v>1253</v>
      </c>
      <c r="F306" s="24">
        <v>45946</v>
      </c>
      <c r="G306" s="24">
        <v>46226</v>
      </c>
      <c r="H306" s="24">
        <v>48202</v>
      </c>
      <c r="I306" s="25">
        <v>184.37049865722659</v>
      </c>
      <c r="J306" s="25">
        <v>168.6495056152344</v>
      </c>
      <c r="K306" s="25">
        <v>151.518</v>
      </c>
      <c r="L306" s="25">
        <v>150.67699999999999</v>
      </c>
      <c r="M306" s="26">
        <v>195</v>
      </c>
      <c r="N306" s="27">
        <v>32.852498657226562</v>
      </c>
      <c r="O306" s="28">
        <v>-39.775903076171858</v>
      </c>
      <c r="P306" s="28">
        <v>85.260692382812493</v>
      </c>
      <c r="Q306" s="28">
        <v>33.448169839242787</v>
      </c>
      <c r="R306" s="29">
        <v>58.085715999219317</v>
      </c>
      <c r="S306" s="28">
        <v>17.131505615234371</v>
      </c>
      <c r="T306" s="28">
        <v>-49.968194335937483</v>
      </c>
      <c r="U306" s="28">
        <v>82.911113525390618</v>
      </c>
      <c r="V306" s="28">
        <v>21.72480440767729</v>
      </c>
      <c r="W306" s="30">
        <v>50.496725962176612</v>
      </c>
      <c r="X306" s="16" t="str">
        <f>IFERROR(_xll.BDP(E306&amp;" Corp","LAST_PRICE"),"--")</f>
        <v>#N/A Requesting Data...</v>
      </c>
      <c r="Y306" s="17" t="str">
        <f>IFERROR(_xll.BDP(E306&amp;" Corp","YAS_BENCHMARK_BOND_ISIN"),"--")</f>
        <v>#N/A Requesting Data...</v>
      </c>
      <c r="Z306" s="18" t="str">
        <f>IFERROR(_xll.BDP(Y306&amp;" CORP","LAST_PRICE"),"--")</f>
        <v>#N/A Requesting Data... CORP</v>
      </c>
      <c r="AA306" s="19" t="str">
        <f>IFERROR(_xll.BDP(E306&amp;" Corp","YAS_YLD_SPREAD","YAS_BOND_PX="&amp;X306,"YAS_BNCHMRK_BOND_PX="&amp;Z306),"--")</f>
        <v>#N/A Requesting Data...</v>
      </c>
      <c r="AB306" s="19" t="str">
        <f>IFERROR(_xll.BDP(E306&amp;" Corp","BLOOMBERG_MID_G_SPREAD","YAS_BOND_PX="&amp;X306,"YAS_BNCHMRK_BOND_PX="&amp;Z306),"--")</f>
        <v>#N/A Requesting Data...</v>
      </c>
      <c r="AC306" s="19" t="str">
        <f>IFERROR(_xll.BDP(D306,"LAST_PRICE"),"--")</f>
        <v>#N/A Requesting Data...</v>
      </c>
      <c r="AD306" s="20"/>
      <c r="AE306" s="19" t="str">
        <f t="shared" si="16"/>
        <v>#N/A Requesting Data...</v>
      </c>
      <c r="AF306" s="19" t="str">
        <f t="shared" si="17"/>
        <v>--</v>
      </c>
      <c r="AG306" s="21" t="str">
        <f t="shared" si="18"/>
        <v>--</v>
      </c>
      <c r="AH306" s="19" t="str">
        <f t="shared" si="19"/>
        <v>--</v>
      </c>
    </row>
    <row r="307" spans="1:34" x14ac:dyDescent="0.45">
      <c r="A307" s="7" t="s">
        <v>1254</v>
      </c>
      <c r="B307" s="32" t="s">
        <v>1122</v>
      </c>
      <c r="C307" s="7" t="s">
        <v>1255</v>
      </c>
      <c r="D307" s="8" t="s">
        <v>1256</v>
      </c>
      <c r="E307" s="8" t="s">
        <v>1257</v>
      </c>
      <c r="F307" s="9">
        <v>45698</v>
      </c>
      <c r="G307" s="9">
        <v>46226</v>
      </c>
      <c r="H307" s="9">
        <v>47654</v>
      </c>
      <c r="I307" s="10">
        <v>165.27619934082031</v>
      </c>
      <c r="J307" s="10">
        <v>217.2655944824219</v>
      </c>
      <c r="K307" s="10">
        <v>150.23500000000001</v>
      </c>
      <c r="L307" s="10">
        <v>155.16300000000001</v>
      </c>
      <c r="M307" s="11">
        <v>370</v>
      </c>
      <c r="N307" s="12">
        <v>15.041199340820301</v>
      </c>
      <c r="O307" s="13">
        <v>-6.5944971923828177</v>
      </c>
      <c r="P307" s="13">
        <v>80.165705078125001</v>
      </c>
      <c r="Q307" s="13">
        <v>35.423139267380172</v>
      </c>
      <c r="R307" s="14">
        <v>24.937351420350119</v>
      </c>
      <c r="S307" s="13">
        <v>67.030594482421861</v>
      </c>
      <c r="T307" s="13">
        <v>39.903702270507807</v>
      </c>
      <c r="U307" s="13">
        <v>115.91799438476561</v>
      </c>
      <c r="V307" s="13">
        <v>84.304607839223507</v>
      </c>
      <c r="W307" s="15">
        <v>35.686568219486098</v>
      </c>
      <c r="X307" s="16" t="str">
        <f>IFERROR(_xll.BDP(E307&amp;" Corp","LAST_PRICE"),"--")</f>
        <v>#N/A Requesting Data...</v>
      </c>
      <c r="Y307" s="17" t="str">
        <f>IFERROR(_xll.BDP(E307&amp;" Corp","YAS_BENCHMARK_BOND_ISIN"),"--")</f>
        <v>#N/A Requesting Data...</v>
      </c>
      <c r="Z307" s="18" t="str">
        <f>IFERROR(_xll.BDP(Y307&amp;" CORP","LAST_PRICE"),"--")</f>
        <v>#N/A Requesting Data... CORP</v>
      </c>
      <c r="AA307" s="19" t="str">
        <f>IFERROR(_xll.BDP(E307&amp;" Corp","YAS_YLD_SPREAD","YAS_BOND_PX="&amp;X307,"YAS_BNCHMRK_BOND_PX="&amp;Z307),"--")</f>
        <v>#N/A Requesting Data...</v>
      </c>
      <c r="AB307" s="19" t="str">
        <f>IFERROR(_xll.BDP(E307&amp;" Corp","BLOOMBERG_MID_G_SPREAD","YAS_BOND_PX="&amp;X307,"YAS_BNCHMRK_BOND_PX="&amp;Z307),"--")</f>
        <v>#N/A Requesting Data...</v>
      </c>
      <c r="AC307" s="19" t="str">
        <f>IFERROR(_xll.BDP(D307,"LAST_PRICE"),"--")</f>
        <v>#N/A Requesting Data...</v>
      </c>
      <c r="AD307" s="20"/>
      <c r="AE307" s="19" t="str">
        <f t="shared" si="16"/>
        <v>#N/A Requesting Data...</v>
      </c>
      <c r="AF307" s="19" t="str">
        <f t="shared" si="17"/>
        <v>--</v>
      </c>
      <c r="AG307" s="21" t="str">
        <f t="shared" si="18"/>
        <v>--</v>
      </c>
      <c r="AH307" s="19" t="str">
        <f t="shared" si="19"/>
        <v>--</v>
      </c>
    </row>
    <row r="308" spans="1:34" x14ac:dyDescent="0.45">
      <c r="A308" s="22" t="s">
        <v>1258</v>
      </c>
      <c r="B308" s="32" t="s">
        <v>1122</v>
      </c>
      <c r="C308" s="22" t="s">
        <v>1259</v>
      </c>
      <c r="D308" s="23" t="s">
        <v>1260</v>
      </c>
      <c r="E308" s="23" t="s">
        <v>1261</v>
      </c>
      <c r="F308" s="24">
        <v>45775</v>
      </c>
      <c r="G308" s="24">
        <v>46226</v>
      </c>
      <c r="H308" s="24">
        <v>48019</v>
      </c>
      <c r="I308" s="25">
        <v>173.8385009765625</v>
      </c>
      <c r="J308" s="25">
        <v>173.8385009765625</v>
      </c>
      <c r="K308" s="25">
        <v>133.19800000000001</v>
      </c>
      <c r="L308" s="25">
        <v>136.81</v>
      </c>
      <c r="M308" s="26">
        <v>317</v>
      </c>
      <c r="N308" s="27">
        <v>40.640500976562492</v>
      </c>
      <c r="O308" s="28">
        <v>2.787602294921868</v>
      </c>
      <c r="P308" s="28">
        <v>93.267700805664049</v>
      </c>
      <c r="Q308" s="28">
        <v>45.685263327998697</v>
      </c>
      <c r="R308" s="29">
        <v>41.835607282353443</v>
      </c>
      <c r="S308" s="28">
        <v>40.640500976562492</v>
      </c>
      <c r="T308" s="28">
        <v>2.787602294921868</v>
      </c>
      <c r="U308" s="28">
        <v>93.267700805664049</v>
      </c>
      <c r="V308" s="28">
        <v>45.685263327998697</v>
      </c>
      <c r="W308" s="30">
        <v>41.835607282353443</v>
      </c>
      <c r="X308" s="16" t="str">
        <f>IFERROR(_xll.BDP(E308&amp;" Corp","LAST_PRICE"),"--")</f>
        <v>#N/A Requesting Data...</v>
      </c>
      <c r="Y308" s="17" t="str">
        <f>IFERROR(_xll.BDP(E308&amp;" Corp","YAS_BENCHMARK_BOND_ISIN"),"--")</f>
        <v>#N/A Requesting Data...</v>
      </c>
      <c r="Z308" s="18" t="str">
        <f>IFERROR(_xll.BDP(Y308&amp;" CORP","LAST_PRICE"),"--")</f>
        <v>#N/A Requesting Data... CORP</v>
      </c>
      <c r="AA308" s="19" t="str">
        <f>IFERROR(_xll.BDP(E308&amp;" Corp","YAS_YLD_SPREAD","YAS_BOND_PX="&amp;X308,"YAS_BNCHMRK_BOND_PX="&amp;Z308),"--")</f>
        <v>#N/A Requesting Data...</v>
      </c>
      <c r="AB308" s="19" t="str">
        <f>IFERROR(_xll.BDP(E308&amp;" Corp","BLOOMBERG_MID_G_SPREAD","YAS_BOND_PX="&amp;X308,"YAS_BNCHMRK_BOND_PX="&amp;Z308),"--")</f>
        <v>#N/A Requesting Data...</v>
      </c>
      <c r="AC308" s="19" t="str">
        <f>IFERROR(_xll.BDP(D308,"LAST_PRICE"),"--")</f>
        <v>#N/A Requesting Data...</v>
      </c>
      <c r="AD308" s="20"/>
      <c r="AE308" s="19" t="str">
        <f t="shared" si="16"/>
        <v>#N/A Requesting Data...</v>
      </c>
      <c r="AF308" s="19" t="str">
        <f t="shared" si="17"/>
        <v>--</v>
      </c>
      <c r="AG308" s="21" t="str">
        <f t="shared" si="18"/>
        <v>--</v>
      </c>
      <c r="AH308" s="19" t="str">
        <f t="shared" si="19"/>
        <v>--</v>
      </c>
    </row>
    <row r="309" spans="1:34" x14ac:dyDescent="0.45">
      <c r="A309" s="7" t="s">
        <v>1262</v>
      </c>
      <c r="B309" s="32" t="s">
        <v>1122</v>
      </c>
      <c r="C309" s="7" t="s">
        <v>1263</v>
      </c>
      <c r="D309" s="8" t="s">
        <v>1264</v>
      </c>
      <c r="E309" s="8" t="s">
        <v>1265</v>
      </c>
      <c r="F309" s="9">
        <v>46191</v>
      </c>
      <c r="G309" s="9">
        <v>46226</v>
      </c>
      <c r="H309" s="9">
        <v>48202</v>
      </c>
      <c r="I309" s="10">
        <v>211.20860290527341</v>
      </c>
      <c r="J309" s="10">
        <v>193.59700012207031</v>
      </c>
      <c r="K309" s="10">
        <v>198.161</v>
      </c>
      <c r="L309" s="10">
        <v>201.15799999999999</v>
      </c>
      <c r="M309" s="11">
        <v>26</v>
      </c>
      <c r="N309" s="12">
        <v>13.04760290527344</v>
      </c>
      <c r="O309" s="13">
        <v>-11.51340637207031</v>
      </c>
      <c r="P309" s="13">
        <v>13.04760290527344</v>
      </c>
      <c r="Q309" s="13">
        <v>-1.9919161799504199</v>
      </c>
      <c r="R309" s="14">
        <v>100</v>
      </c>
      <c r="S309" s="13">
        <v>-4.5639998779296889</v>
      </c>
      <c r="T309" s="13">
        <v>-28.979803710937489</v>
      </c>
      <c r="U309" s="13">
        <v>-4.5639998779296889</v>
      </c>
      <c r="V309" s="13">
        <v>-19.265846069335939</v>
      </c>
      <c r="W309" s="15">
        <v>100</v>
      </c>
      <c r="X309" s="16" t="str">
        <f>IFERROR(_xll.BDP(E309&amp;" Corp","LAST_PRICE"),"--")</f>
        <v>#N/A Requesting Data...</v>
      </c>
      <c r="Y309" s="17" t="str">
        <f>IFERROR(_xll.BDP(E309&amp;" Corp","YAS_BENCHMARK_BOND_ISIN"),"--")</f>
        <v>#N/A Requesting Data...</v>
      </c>
      <c r="Z309" s="18" t="str">
        <f>IFERROR(_xll.BDP(Y309&amp;" CORP","LAST_PRICE"),"--")</f>
        <v>#N/A Requesting Data... CORP</v>
      </c>
      <c r="AA309" s="19" t="str">
        <f>IFERROR(_xll.BDP(E309&amp;" Corp","YAS_YLD_SPREAD","YAS_BOND_PX="&amp;X309,"YAS_BNCHMRK_BOND_PX="&amp;Z309),"--")</f>
        <v>#N/A Requesting Data...</v>
      </c>
      <c r="AB309" s="19" t="str">
        <f>IFERROR(_xll.BDP(E309&amp;" Corp","BLOOMBERG_MID_G_SPREAD","YAS_BOND_PX="&amp;X309,"YAS_BNCHMRK_BOND_PX="&amp;Z309),"--")</f>
        <v>#N/A Requesting Data...</v>
      </c>
      <c r="AC309" s="19" t="str">
        <f>IFERROR(_xll.BDP(D309,"LAST_PRICE"),"--")</f>
        <v>#N/A Requesting Data...</v>
      </c>
      <c r="AD309" s="20"/>
      <c r="AE309" s="19" t="str">
        <f t="shared" si="16"/>
        <v>#N/A Requesting Data...</v>
      </c>
      <c r="AF309" s="19" t="str">
        <f t="shared" si="17"/>
        <v>--</v>
      </c>
      <c r="AG309" s="21" t="str">
        <f t="shared" si="18"/>
        <v>--</v>
      </c>
      <c r="AH309" s="19" t="str">
        <f t="shared" si="19"/>
        <v>--</v>
      </c>
    </row>
    <row r="310" spans="1:34" x14ac:dyDescent="0.45">
      <c r="A310" s="22" t="s">
        <v>1266</v>
      </c>
      <c r="B310" s="32" t="s">
        <v>1122</v>
      </c>
      <c r="C310" s="22" t="s">
        <v>1267</v>
      </c>
      <c r="D310" s="23" t="s">
        <v>1268</v>
      </c>
      <c r="E310" s="23" t="s">
        <v>1269</v>
      </c>
      <c r="F310" s="24">
        <v>45678</v>
      </c>
      <c r="G310" s="24">
        <v>46226</v>
      </c>
      <c r="H310" s="24">
        <v>47654</v>
      </c>
      <c r="I310" s="25">
        <v>111.61109924316411</v>
      </c>
      <c r="J310" s="25">
        <v>141.34910583496091</v>
      </c>
      <c r="K310" s="25">
        <v>103.497</v>
      </c>
      <c r="L310" s="25">
        <v>109.25700000000001</v>
      </c>
      <c r="M310" s="26">
        <v>384</v>
      </c>
      <c r="N310" s="27">
        <v>8.1140992431640626</v>
      </c>
      <c r="O310" s="28">
        <v>-63.759500732421877</v>
      </c>
      <c r="P310" s="28">
        <v>40.312696289062501</v>
      </c>
      <c r="Q310" s="28">
        <v>-2.4418619200388592</v>
      </c>
      <c r="R310" s="29">
        <v>69.061288252374027</v>
      </c>
      <c r="S310" s="28">
        <v>37.852105834960938</v>
      </c>
      <c r="T310" s="28">
        <v>-31.127704711914081</v>
      </c>
      <c r="U310" s="28">
        <v>70.84399987792969</v>
      </c>
      <c r="V310" s="28">
        <v>33.165926523526522</v>
      </c>
      <c r="W310" s="30">
        <v>67.646030655591588</v>
      </c>
      <c r="X310" s="16" t="str">
        <f>IFERROR(_xll.BDP(E310&amp;" Corp","LAST_PRICE"),"--")</f>
        <v>#N/A Requesting Data...</v>
      </c>
      <c r="Y310" s="17" t="str">
        <f>IFERROR(_xll.BDP(E310&amp;" Corp","YAS_BENCHMARK_BOND_ISIN"),"--")</f>
        <v>#N/A Requesting Data...</v>
      </c>
      <c r="Z310" s="18" t="str">
        <f>IFERROR(_xll.BDP(Y310&amp;" CORP","LAST_PRICE"),"--")</f>
        <v>#N/A Requesting Data... CORP</v>
      </c>
      <c r="AA310" s="19" t="str">
        <f>IFERROR(_xll.BDP(E310&amp;" Corp","YAS_YLD_SPREAD","YAS_BOND_PX="&amp;X310,"YAS_BNCHMRK_BOND_PX="&amp;Z310),"--")</f>
        <v>#N/A Requesting Data...</v>
      </c>
      <c r="AB310" s="19" t="str">
        <f>IFERROR(_xll.BDP(E310&amp;" Corp","BLOOMBERG_MID_G_SPREAD","YAS_BOND_PX="&amp;X310,"YAS_BNCHMRK_BOND_PX="&amp;Z310),"--")</f>
        <v>#N/A Requesting Data...</v>
      </c>
      <c r="AC310" s="19" t="str">
        <f>IFERROR(_xll.BDP(D310,"LAST_PRICE"),"--")</f>
        <v>#N/A Requesting Data...</v>
      </c>
      <c r="AD310" s="20"/>
      <c r="AE310" s="19" t="str">
        <f t="shared" si="16"/>
        <v>#N/A Requesting Data...</v>
      </c>
      <c r="AF310" s="19" t="str">
        <f t="shared" si="17"/>
        <v>--</v>
      </c>
      <c r="AG310" s="21" t="str">
        <f t="shared" si="18"/>
        <v>--</v>
      </c>
      <c r="AH310" s="19" t="str">
        <f t="shared" si="19"/>
        <v>--</v>
      </c>
    </row>
    <row r="311" spans="1:34" x14ac:dyDescent="0.45">
      <c r="A311" s="7" t="s">
        <v>1270</v>
      </c>
      <c r="B311" s="32" t="s">
        <v>1122</v>
      </c>
      <c r="C311" s="7" t="s">
        <v>1271</v>
      </c>
      <c r="D311" s="8" t="s">
        <v>1272</v>
      </c>
      <c r="E311" s="8" t="s">
        <v>1273</v>
      </c>
      <c r="F311" s="9">
        <v>45799</v>
      </c>
      <c r="G311" s="9">
        <v>46226</v>
      </c>
      <c r="H311" s="9">
        <v>48019</v>
      </c>
      <c r="I311" s="10">
        <v>144.939697265625</v>
      </c>
      <c r="J311" s="10">
        <v>144.939697265625</v>
      </c>
      <c r="K311" s="10">
        <v>183.239</v>
      </c>
      <c r="L311" s="10">
        <v>187.53700000000001</v>
      </c>
      <c r="M311" s="11">
        <v>300</v>
      </c>
      <c r="N311" s="12">
        <v>-38.299302734374997</v>
      </c>
      <c r="O311" s="13">
        <v>-81.11989733886719</v>
      </c>
      <c r="P311" s="13">
        <v>15.742696166992181</v>
      </c>
      <c r="Q311" s="13">
        <v>-44.133369010620108</v>
      </c>
      <c r="R311" s="14">
        <v>44.207565639776</v>
      </c>
      <c r="S311" s="13">
        <v>-38.299302734374997</v>
      </c>
      <c r="T311" s="13">
        <v>-81.11989733886719</v>
      </c>
      <c r="U311" s="13">
        <v>15.742696166992181</v>
      </c>
      <c r="V311" s="13">
        <v>-44.133369010620108</v>
      </c>
      <c r="W311" s="15">
        <v>44.207565639776</v>
      </c>
      <c r="X311" s="16" t="str">
        <f>IFERROR(_xll.BDP(E311&amp;" Corp","LAST_PRICE"),"--")</f>
        <v>#N/A Requesting Data...</v>
      </c>
      <c r="Y311" s="17" t="str">
        <f>IFERROR(_xll.BDP(E311&amp;" Corp","YAS_BENCHMARK_BOND_ISIN"),"--")</f>
        <v>#N/A Requesting Data...</v>
      </c>
      <c r="Z311" s="18" t="str">
        <f>IFERROR(_xll.BDP(Y311&amp;" CORP","LAST_PRICE"),"--")</f>
        <v>#N/A Requesting Data... CORP</v>
      </c>
      <c r="AA311" s="19" t="str">
        <f>IFERROR(_xll.BDP(E311&amp;" Corp","YAS_YLD_SPREAD","YAS_BOND_PX="&amp;X311,"YAS_BNCHMRK_BOND_PX="&amp;Z311),"--")</f>
        <v>#N/A Requesting Data...</v>
      </c>
      <c r="AB311" s="19" t="str">
        <f>IFERROR(_xll.BDP(E311&amp;" Corp","BLOOMBERG_MID_G_SPREAD","YAS_BOND_PX="&amp;X311,"YAS_BNCHMRK_BOND_PX="&amp;Z311),"--")</f>
        <v>#N/A Requesting Data...</v>
      </c>
      <c r="AC311" s="19" t="str">
        <f>IFERROR(_xll.BDP(D311,"LAST_PRICE"),"--")</f>
        <v>#N/A Requesting Data...</v>
      </c>
      <c r="AD311" s="20"/>
      <c r="AE311" s="19" t="str">
        <f t="shared" si="16"/>
        <v>#N/A Requesting Data...</v>
      </c>
      <c r="AF311" s="19" t="str">
        <f t="shared" si="17"/>
        <v>--</v>
      </c>
      <c r="AG311" s="21" t="str">
        <f t="shared" si="18"/>
        <v>--</v>
      </c>
      <c r="AH311" s="19" t="str">
        <f t="shared" si="19"/>
        <v>--</v>
      </c>
    </row>
    <row r="312" spans="1:34" x14ac:dyDescent="0.45">
      <c r="A312" s="22" t="s">
        <v>1274</v>
      </c>
      <c r="B312" s="32" t="s">
        <v>1122</v>
      </c>
      <c r="C312" s="22" t="s">
        <v>1275</v>
      </c>
      <c r="D312" s="23" t="s">
        <v>1276</v>
      </c>
      <c r="E312" s="23" t="s">
        <v>1277</v>
      </c>
      <c r="F312" s="24">
        <v>45659</v>
      </c>
      <c r="G312" s="24">
        <v>46226</v>
      </c>
      <c r="H312" s="24">
        <v>48019</v>
      </c>
      <c r="I312" s="25">
        <v>340.406494140625</v>
      </c>
      <c r="J312" s="25">
        <v>340.406494140625</v>
      </c>
      <c r="K312" s="25">
        <v>315.14600000000002</v>
      </c>
      <c r="L312" s="25">
        <v>312.56900000000002</v>
      </c>
      <c r="M312" s="26">
        <v>396</v>
      </c>
      <c r="N312" s="27">
        <v>25.260494140624981</v>
      </c>
      <c r="O312" s="28">
        <v>-117.9469873046875</v>
      </c>
      <c r="P312" s="28">
        <v>81.354807617187475</v>
      </c>
      <c r="Q312" s="28">
        <v>-4.3264928558041378</v>
      </c>
      <c r="R312" s="29">
        <v>71.854586909991909</v>
      </c>
      <c r="S312" s="28">
        <v>25.260494140624981</v>
      </c>
      <c r="T312" s="28">
        <v>-117.9469873046875</v>
      </c>
      <c r="U312" s="28">
        <v>81.354807617187475</v>
      </c>
      <c r="V312" s="28">
        <v>-4.3264928558041378</v>
      </c>
      <c r="W312" s="30">
        <v>71.854586909991909</v>
      </c>
      <c r="X312" s="16" t="str">
        <f>IFERROR(_xll.BDP(E312&amp;" Corp","LAST_PRICE"),"--")</f>
        <v>#N/A Requesting Data...</v>
      </c>
      <c r="Y312" s="17" t="str">
        <f>IFERROR(_xll.BDP(E312&amp;" Corp","YAS_BENCHMARK_BOND_ISIN"),"--")</f>
        <v>#N/A Requesting Data...</v>
      </c>
      <c r="Z312" s="18" t="str">
        <f>IFERROR(_xll.BDP(Y312&amp;" CORP","LAST_PRICE"),"--")</f>
        <v>#N/A Requesting Data... CORP</v>
      </c>
      <c r="AA312" s="19" t="str">
        <f>IFERROR(_xll.BDP(E312&amp;" Corp","YAS_YLD_SPREAD","YAS_BOND_PX="&amp;X312,"YAS_BNCHMRK_BOND_PX="&amp;Z312),"--")</f>
        <v>#N/A Requesting Data...</v>
      </c>
      <c r="AB312" s="19" t="str">
        <f>IFERROR(_xll.BDP(E312&amp;" Corp","BLOOMBERG_MID_G_SPREAD","YAS_BOND_PX="&amp;X312,"YAS_BNCHMRK_BOND_PX="&amp;Z312),"--")</f>
        <v>#N/A Requesting Data...</v>
      </c>
      <c r="AC312" s="19" t="str">
        <f>IFERROR(_xll.BDP(D312,"LAST_PRICE"),"--")</f>
        <v>#N/A Requesting Data...</v>
      </c>
      <c r="AD312" s="20">
        <v>350</v>
      </c>
      <c r="AE312" s="19">
        <f t="shared" si="16"/>
        <v>350</v>
      </c>
      <c r="AF312" s="19" t="str">
        <f t="shared" si="17"/>
        <v>--</v>
      </c>
      <c r="AG312" s="21" t="str">
        <f t="shared" si="18"/>
        <v>--</v>
      </c>
      <c r="AH312" s="19" t="str">
        <f t="shared" si="19"/>
        <v>--</v>
      </c>
    </row>
    <row r="313" spans="1:34" x14ac:dyDescent="0.45">
      <c r="A313" s="7" t="s">
        <v>1278</v>
      </c>
      <c r="B313" s="32" t="s">
        <v>1122</v>
      </c>
      <c r="C313" s="7" t="s">
        <v>1279</v>
      </c>
      <c r="D313" s="8" t="s">
        <v>1280</v>
      </c>
      <c r="E313" s="8" t="s">
        <v>1281</v>
      </c>
      <c r="F313" s="9">
        <v>45814</v>
      </c>
      <c r="G313" s="9">
        <v>46226</v>
      </c>
      <c r="H313" s="9">
        <v>47654</v>
      </c>
      <c r="I313" s="10">
        <v>109.88169860839839</v>
      </c>
      <c r="J313" s="10">
        <v>140.32080078125</v>
      </c>
      <c r="K313" s="10">
        <v>151.04499999999999</v>
      </c>
      <c r="L313" s="10">
        <v>150.08500000000001</v>
      </c>
      <c r="M313" s="11">
        <v>289</v>
      </c>
      <c r="N313" s="12">
        <v>-41.16330139160155</v>
      </c>
      <c r="O313" s="13">
        <v>-112.771302734375</v>
      </c>
      <c r="P313" s="13">
        <v>-21.245101867675771</v>
      </c>
      <c r="Q313" s="13">
        <v>-72.219582599573897</v>
      </c>
      <c r="R313" s="14">
        <v>78.237707524935857</v>
      </c>
      <c r="S313" s="13">
        <v>-10.724199218749989</v>
      </c>
      <c r="T313" s="13">
        <v>-92.864707031249992</v>
      </c>
      <c r="U313" s="13">
        <v>14.653500732421859</v>
      </c>
      <c r="V313" s="13">
        <v>-48.040839560538423</v>
      </c>
      <c r="W313" s="15">
        <v>76.396835030069724</v>
      </c>
      <c r="X313" s="16" t="str">
        <f>IFERROR(_xll.BDP(E313&amp;" Corp","LAST_PRICE"),"--")</f>
        <v>#N/A Requesting Data...</v>
      </c>
      <c r="Y313" s="17" t="str">
        <f>IFERROR(_xll.BDP(E313&amp;" Corp","YAS_BENCHMARK_BOND_ISIN"),"--")</f>
        <v>#N/A Requesting Data...</v>
      </c>
      <c r="Z313" s="18" t="str">
        <f>IFERROR(_xll.BDP(Y313&amp;" CORP","LAST_PRICE"),"--")</f>
        <v>#N/A Requesting Data... CORP</v>
      </c>
      <c r="AA313" s="19" t="str">
        <f>IFERROR(_xll.BDP(E313&amp;" Corp","YAS_YLD_SPREAD","YAS_BOND_PX="&amp;X313,"YAS_BNCHMRK_BOND_PX="&amp;Z313),"--")</f>
        <v>#N/A Requesting Data...</v>
      </c>
      <c r="AB313" s="19" t="str">
        <f>IFERROR(_xll.BDP(E313&amp;" Corp","BLOOMBERG_MID_G_SPREAD","YAS_BOND_PX="&amp;X313,"YAS_BNCHMRK_BOND_PX="&amp;Z313),"--")</f>
        <v>#N/A Requesting Data...</v>
      </c>
      <c r="AC313" s="19" t="str">
        <f>IFERROR(_xll.BDP(D313,"LAST_PRICE"),"--")</f>
        <v>#N/A Requesting Data...</v>
      </c>
      <c r="AD313" s="20"/>
      <c r="AE313" s="19" t="str">
        <f t="shared" si="16"/>
        <v>#N/A Requesting Data...</v>
      </c>
      <c r="AF313" s="19" t="str">
        <f t="shared" si="17"/>
        <v>--</v>
      </c>
      <c r="AG313" s="21" t="str">
        <f t="shared" si="18"/>
        <v>--</v>
      </c>
      <c r="AH313" s="19" t="str">
        <f t="shared" si="19"/>
        <v>--</v>
      </c>
    </row>
    <row r="314" spans="1:34" x14ac:dyDescent="0.45">
      <c r="A314" s="22" t="s">
        <v>1282</v>
      </c>
      <c r="B314" s="32" t="s">
        <v>1122</v>
      </c>
      <c r="C314" s="22" t="s">
        <v>1283</v>
      </c>
      <c r="D314" s="23" t="s">
        <v>1284</v>
      </c>
      <c r="E314" s="23" t="s">
        <v>1285</v>
      </c>
      <c r="F314" s="24">
        <v>45792</v>
      </c>
      <c r="G314" s="24">
        <v>46226</v>
      </c>
      <c r="H314" s="24">
        <v>48019</v>
      </c>
      <c r="I314" s="25">
        <v>174.8518981933594</v>
      </c>
      <c r="J314" s="25">
        <v>174.8518981933594</v>
      </c>
      <c r="K314" s="25">
        <v>82.207999999999998</v>
      </c>
      <c r="L314" s="25">
        <v>89.055999999999997</v>
      </c>
      <c r="M314" s="26">
        <v>305</v>
      </c>
      <c r="N314" s="27">
        <v>92.643898193359377</v>
      </c>
      <c r="O314" s="28">
        <v>5.3895002441406348</v>
      </c>
      <c r="P314" s="28">
        <v>144.1725026855469</v>
      </c>
      <c r="Q314" s="28">
        <v>61.573484095639081</v>
      </c>
      <c r="R314" s="29">
        <v>62.87109834365868</v>
      </c>
      <c r="S314" s="28">
        <v>92.643898193359377</v>
      </c>
      <c r="T314" s="28">
        <v>5.3895002441406348</v>
      </c>
      <c r="U314" s="28">
        <v>144.1725026855469</v>
      </c>
      <c r="V314" s="28">
        <v>61.573484095639081</v>
      </c>
      <c r="W314" s="30">
        <v>62.87109834365868</v>
      </c>
      <c r="X314" s="16" t="str">
        <f>IFERROR(_xll.BDP(E314&amp;" Corp","LAST_PRICE"),"--")</f>
        <v>#N/A Requesting Data...</v>
      </c>
      <c r="Y314" s="17" t="str">
        <f>IFERROR(_xll.BDP(E314&amp;" Corp","YAS_BENCHMARK_BOND_ISIN"),"--")</f>
        <v>#N/A Requesting Data...</v>
      </c>
      <c r="Z314" s="18" t="str">
        <f>IFERROR(_xll.BDP(Y314&amp;" CORP","LAST_PRICE"),"--")</f>
        <v>#N/A Requesting Data... CORP</v>
      </c>
      <c r="AA314" s="19" t="str">
        <f>IFERROR(_xll.BDP(E314&amp;" Corp","YAS_YLD_SPREAD","YAS_BOND_PX="&amp;X314,"YAS_BNCHMRK_BOND_PX="&amp;Z314),"--")</f>
        <v>#N/A Requesting Data...</v>
      </c>
      <c r="AB314" s="19" t="str">
        <f>IFERROR(_xll.BDP(E314&amp;" Corp","BLOOMBERG_MID_G_SPREAD","YAS_BOND_PX="&amp;X314,"YAS_BNCHMRK_BOND_PX="&amp;Z314),"--")</f>
        <v>#N/A Requesting Data...</v>
      </c>
      <c r="AC314" s="19" t="str">
        <f>IFERROR(_xll.BDP(D314,"LAST_PRICE"),"--")</f>
        <v>#N/A Requesting Data...</v>
      </c>
      <c r="AD314" s="20"/>
      <c r="AE314" s="19" t="str">
        <f t="shared" si="16"/>
        <v>#N/A Requesting Data...</v>
      </c>
      <c r="AF314" s="19" t="str">
        <f t="shared" si="17"/>
        <v>--</v>
      </c>
      <c r="AG314" s="21" t="str">
        <f t="shared" si="18"/>
        <v>--</v>
      </c>
      <c r="AH314" s="19" t="str">
        <f t="shared" si="19"/>
        <v>--</v>
      </c>
    </row>
    <row r="315" spans="1:34" x14ac:dyDescent="0.45">
      <c r="A315" s="7" t="s">
        <v>1286</v>
      </c>
      <c r="B315" s="32" t="s">
        <v>1122</v>
      </c>
      <c r="C315" s="7" t="s">
        <v>1287</v>
      </c>
      <c r="D315" s="8" t="s">
        <v>1288</v>
      </c>
      <c r="E315" s="8" t="s">
        <v>1289</v>
      </c>
      <c r="F315" s="9">
        <v>45659</v>
      </c>
      <c r="G315" s="9">
        <v>46226</v>
      </c>
      <c r="H315" s="9">
        <v>48202</v>
      </c>
      <c r="I315" s="10">
        <v>70.410102844238281</v>
      </c>
      <c r="J315" s="10">
        <v>60.942699432373047</v>
      </c>
      <c r="K315" s="10">
        <v>81.656000000000006</v>
      </c>
      <c r="L315" s="10">
        <v>83.623000000000005</v>
      </c>
      <c r="M315" s="11">
        <v>397</v>
      </c>
      <c r="N315" s="12">
        <v>-11.245897155761719</v>
      </c>
      <c r="O315" s="13">
        <v>-51.441000183105473</v>
      </c>
      <c r="P315" s="13">
        <v>-2.4977035522460942</v>
      </c>
      <c r="Q315" s="13">
        <v>-21.743060902939039</v>
      </c>
      <c r="R315" s="14">
        <v>82.125859503301655</v>
      </c>
      <c r="S315" s="13">
        <v>-20.713300567626959</v>
      </c>
      <c r="T315" s="13">
        <v>-58.87329693603516</v>
      </c>
      <c r="U315" s="13">
        <v>-9.9455032348632813</v>
      </c>
      <c r="V315" s="13">
        <v>-29.76370274871903</v>
      </c>
      <c r="W315" s="15">
        <v>77.992473156406035</v>
      </c>
      <c r="X315" s="16" t="str">
        <f>IFERROR(_xll.BDP(E315&amp;" Corp","LAST_PRICE"),"--")</f>
        <v>#N/A Requesting Data...</v>
      </c>
      <c r="Y315" s="17" t="str">
        <f>IFERROR(_xll.BDP(E315&amp;" Corp","YAS_BENCHMARK_BOND_ISIN"),"--")</f>
        <v>#N/A Requesting Data...</v>
      </c>
      <c r="Z315" s="18" t="str">
        <f>IFERROR(_xll.BDP(Y315&amp;" CORP","LAST_PRICE"),"--")</f>
        <v>#N/A Requesting Data... CORP</v>
      </c>
      <c r="AA315" s="19" t="str">
        <f>IFERROR(_xll.BDP(E315&amp;" Corp","YAS_YLD_SPREAD","YAS_BOND_PX="&amp;X315,"YAS_BNCHMRK_BOND_PX="&amp;Z315),"--")</f>
        <v>#N/A Requesting Data...</v>
      </c>
      <c r="AB315" s="19" t="str">
        <f>IFERROR(_xll.BDP(E315&amp;" Corp","BLOOMBERG_MID_G_SPREAD","YAS_BOND_PX="&amp;X315,"YAS_BNCHMRK_BOND_PX="&amp;Z315),"--")</f>
        <v>#N/A Requesting Data...</v>
      </c>
      <c r="AC315" s="19" t="str">
        <f>IFERROR(_xll.BDP(D315,"LAST_PRICE"),"--")</f>
        <v>#N/A Requesting Data...</v>
      </c>
      <c r="AD315" s="20"/>
      <c r="AE315" s="19" t="str">
        <f t="shared" si="16"/>
        <v>#N/A Requesting Data...</v>
      </c>
      <c r="AF315" s="19" t="str">
        <f t="shared" si="17"/>
        <v>--</v>
      </c>
      <c r="AG315" s="21" t="str">
        <f t="shared" si="18"/>
        <v>--</v>
      </c>
      <c r="AH315" s="19" t="str">
        <f t="shared" si="19"/>
        <v>--</v>
      </c>
    </row>
    <row r="316" spans="1:34" x14ac:dyDescent="0.45">
      <c r="A316" s="22" t="s">
        <v>1290</v>
      </c>
      <c r="B316" s="32" t="s">
        <v>1122</v>
      </c>
      <c r="C316" s="22" t="s">
        <v>1291</v>
      </c>
      <c r="D316" s="23" t="s">
        <v>1292</v>
      </c>
      <c r="E316" s="23" t="s">
        <v>1293</v>
      </c>
      <c r="F316" s="24">
        <v>45659</v>
      </c>
      <c r="G316" s="24">
        <v>46226</v>
      </c>
      <c r="H316" s="24">
        <v>47654</v>
      </c>
      <c r="I316" s="25">
        <v>292.56219482421881</v>
      </c>
      <c r="J316" s="25">
        <v>340.2080078125</v>
      </c>
      <c r="K316" s="25">
        <v>258.209</v>
      </c>
      <c r="L316" s="25">
        <v>255.04900000000001</v>
      </c>
      <c r="M316" s="26">
        <v>390</v>
      </c>
      <c r="N316" s="27">
        <v>34.353194824218747</v>
      </c>
      <c r="O316" s="28">
        <v>-16.242306762695311</v>
      </c>
      <c r="P316" s="28">
        <v>142.1931882324219</v>
      </c>
      <c r="Q316" s="28">
        <v>40.982053597005198</v>
      </c>
      <c r="R316" s="29">
        <v>31.934448520183778</v>
      </c>
      <c r="S316" s="28">
        <v>81.999007812499997</v>
      </c>
      <c r="T316" s="28">
        <v>19.12279028320313</v>
      </c>
      <c r="U316" s="28">
        <v>200.09049658203131</v>
      </c>
      <c r="V316" s="28">
        <v>80.918953809219758</v>
      </c>
      <c r="W316" s="30">
        <v>34.744440770813931</v>
      </c>
      <c r="X316" s="16" t="str">
        <f>IFERROR(_xll.BDP(E316&amp;" Corp","LAST_PRICE"),"--")</f>
        <v>#N/A Requesting Data...</v>
      </c>
      <c r="Y316" s="17" t="str">
        <f>IFERROR(_xll.BDP(E316&amp;" Corp","YAS_BENCHMARK_BOND_ISIN"),"--")</f>
        <v>#N/A Requesting Data...</v>
      </c>
      <c r="Z316" s="18" t="str">
        <f>IFERROR(_xll.BDP(Y316&amp;" CORP","LAST_PRICE"),"--")</f>
        <v>#N/A Requesting Data... CORP</v>
      </c>
      <c r="AA316" s="19" t="str">
        <f>IFERROR(_xll.BDP(E316&amp;" Corp","YAS_YLD_SPREAD","YAS_BOND_PX="&amp;X316,"YAS_BNCHMRK_BOND_PX="&amp;Z316),"--")</f>
        <v>#N/A Requesting Data...</v>
      </c>
      <c r="AB316" s="19" t="str">
        <f>IFERROR(_xll.BDP(E316&amp;" Corp","BLOOMBERG_MID_G_SPREAD","YAS_BOND_PX="&amp;X316,"YAS_BNCHMRK_BOND_PX="&amp;Z316),"--")</f>
        <v>#N/A Requesting Data...</v>
      </c>
      <c r="AC316" s="19" t="str">
        <f>IFERROR(_xll.BDP(D316,"LAST_PRICE"),"--")</f>
        <v>#N/A Requesting Data...</v>
      </c>
      <c r="AD316" s="20"/>
      <c r="AE316" s="19" t="str">
        <f t="shared" si="16"/>
        <v>#N/A Requesting Data...</v>
      </c>
      <c r="AF316" s="19" t="str">
        <f t="shared" si="17"/>
        <v>--</v>
      </c>
      <c r="AG316" s="21" t="str">
        <f t="shared" si="18"/>
        <v>--</v>
      </c>
      <c r="AH316" s="19" t="str">
        <f t="shared" si="19"/>
        <v>--</v>
      </c>
    </row>
    <row r="317" spans="1:34" x14ac:dyDescent="0.45">
      <c r="A317" s="7" t="s">
        <v>1294</v>
      </c>
      <c r="B317" s="32" t="s">
        <v>1122</v>
      </c>
      <c r="C317" s="7" t="s">
        <v>1295</v>
      </c>
      <c r="D317" s="8" t="s">
        <v>1296</v>
      </c>
      <c r="E317" s="8" t="s">
        <v>1297</v>
      </c>
      <c r="F317" s="9">
        <v>46099</v>
      </c>
      <c r="G317" s="9">
        <v>46226</v>
      </c>
      <c r="H317" s="9">
        <v>48385</v>
      </c>
      <c r="I317" s="10">
        <v>223.533203125</v>
      </c>
      <c r="J317" s="10">
        <v>210.8912048339844</v>
      </c>
      <c r="K317" s="10">
        <v>185.965</v>
      </c>
      <c r="L317" s="10">
        <v>185.739</v>
      </c>
      <c r="M317" s="11">
        <v>89</v>
      </c>
      <c r="N317" s="12">
        <v>37.568203124999997</v>
      </c>
      <c r="O317" s="13">
        <v>9.7261004638671977</v>
      </c>
      <c r="P317" s="13">
        <v>124.54049780273439</v>
      </c>
      <c r="Q317" s="13">
        <v>80.780822662010621</v>
      </c>
      <c r="R317" s="14">
        <v>24.24966145923203</v>
      </c>
      <c r="S317" s="13">
        <v>24.926204833984372</v>
      </c>
      <c r="T317" s="13">
        <v>2.9519025878906291</v>
      </c>
      <c r="U317" s="13">
        <v>114.37859033203129</v>
      </c>
      <c r="V317" s="13">
        <v>68.880881228329088</v>
      </c>
      <c r="W317" s="15">
        <v>19.72086103515112</v>
      </c>
      <c r="X317" s="16" t="str">
        <f>IFERROR(_xll.BDP(E317&amp;" Corp","LAST_PRICE"),"--")</f>
        <v>#N/A Requesting Data...</v>
      </c>
      <c r="Y317" s="17" t="str">
        <f>IFERROR(_xll.BDP(E317&amp;" Corp","YAS_BENCHMARK_BOND_ISIN"),"--")</f>
        <v>#N/A Requesting Data...</v>
      </c>
      <c r="Z317" s="18" t="str">
        <f>IFERROR(_xll.BDP(Y317&amp;" CORP","LAST_PRICE"),"--")</f>
        <v>#N/A Requesting Data... CORP</v>
      </c>
      <c r="AA317" s="19" t="str">
        <f>IFERROR(_xll.BDP(E317&amp;" Corp","YAS_YLD_SPREAD","YAS_BOND_PX="&amp;X317,"YAS_BNCHMRK_BOND_PX="&amp;Z317),"--")</f>
        <v>#N/A Requesting Data...</v>
      </c>
      <c r="AB317" s="19" t="str">
        <f>IFERROR(_xll.BDP(E317&amp;" Corp","BLOOMBERG_MID_G_SPREAD","YAS_BOND_PX="&amp;X317,"YAS_BNCHMRK_BOND_PX="&amp;Z317),"--")</f>
        <v>#N/A Requesting Data...</v>
      </c>
      <c r="AC317" s="19" t="str">
        <f>IFERROR(_xll.BDP(D317,"LAST_PRICE"),"--")</f>
        <v>#N/A Requesting Data...</v>
      </c>
      <c r="AD317" s="20"/>
      <c r="AE317" s="19" t="str">
        <f t="shared" si="16"/>
        <v>#N/A Requesting Data...</v>
      </c>
      <c r="AF317" s="19" t="str">
        <f t="shared" si="17"/>
        <v>--</v>
      </c>
      <c r="AG317" s="21" t="str">
        <f t="shared" si="18"/>
        <v>--</v>
      </c>
      <c r="AH317" s="19" t="str">
        <f t="shared" si="19"/>
        <v>--</v>
      </c>
    </row>
    <row r="318" spans="1:34" x14ac:dyDescent="0.45">
      <c r="A318" s="22" t="s">
        <v>1298</v>
      </c>
      <c r="B318" s="32" t="s">
        <v>1122</v>
      </c>
      <c r="C318" s="22" t="s">
        <v>1299</v>
      </c>
      <c r="D318" s="23" t="s">
        <v>1300</v>
      </c>
      <c r="E318" s="23" t="s">
        <v>1301</v>
      </c>
      <c r="F318" s="24">
        <v>45659</v>
      </c>
      <c r="G318" s="24">
        <v>46226</v>
      </c>
      <c r="H318" s="24">
        <v>46376</v>
      </c>
      <c r="I318" s="25">
        <v>46.919498443603523</v>
      </c>
      <c r="J318" s="25">
        <v>152.20350646972659</v>
      </c>
      <c r="K318" s="25">
        <v>110.736</v>
      </c>
      <c r="L318" s="25">
        <v>128.476</v>
      </c>
      <c r="M318" s="26">
        <v>394</v>
      </c>
      <c r="N318" s="27">
        <v>-63.816501556396489</v>
      </c>
      <c r="O318" s="28">
        <v>-84.412899963378919</v>
      </c>
      <c r="P318" s="28">
        <v>117.635102355957</v>
      </c>
      <c r="Q318" s="28">
        <v>33.904668123661558</v>
      </c>
      <c r="R318" s="29">
        <v>10.19381442555909</v>
      </c>
      <c r="S318" s="28">
        <v>41.467506469726558</v>
      </c>
      <c r="T318" s="28">
        <v>33.818493774414073</v>
      </c>
      <c r="U318" s="28">
        <v>283.83299584960929</v>
      </c>
      <c r="V318" s="28">
        <v>186.1618769332963</v>
      </c>
      <c r="W318" s="30">
        <v>3.0594276059282151</v>
      </c>
      <c r="X318" s="16" t="str">
        <f>IFERROR(_xll.BDP(E318&amp;" Corp","LAST_PRICE"),"--")</f>
        <v>#N/A Requesting Data...</v>
      </c>
      <c r="Y318" s="17" t="str">
        <f>IFERROR(_xll.BDP(E318&amp;" Corp","YAS_BENCHMARK_BOND_ISIN"),"--")</f>
        <v>#N/A Requesting Data...</v>
      </c>
      <c r="Z318" s="18" t="str">
        <f>IFERROR(_xll.BDP(Y318&amp;" CORP","LAST_PRICE"),"--")</f>
        <v>#N/A Requesting Data... CORP</v>
      </c>
      <c r="AA318" s="19" t="str">
        <f>IFERROR(_xll.BDP(E318&amp;" Corp","YAS_YLD_SPREAD","YAS_BOND_PX="&amp;X318,"YAS_BNCHMRK_BOND_PX="&amp;Z318),"--")</f>
        <v>#N/A Requesting Data...</v>
      </c>
      <c r="AB318" s="19" t="str">
        <f>IFERROR(_xll.BDP(E318&amp;" Corp","BLOOMBERG_MID_G_SPREAD","YAS_BOND_PX="&amp;X318,"YAS_BNCHMRK_BOND_PX="&amp;Z318),"--")</f>
        <v>#N/A Requesting Data...</v>
      </c>
      <c r="AC318" s="19" t="str">
        <f>IFERROR(_xll.BDP(D318,"LAST_PRICE"),"--")</f>
        <v>#N/A Requesting Data...</v>
      </c>
      <c r="AD318" s="20"/>
      <c r="AE318" s="19" t="str">
        <f t="shared" si="16"/>
        <v>#N/A Requesting Data...</v>
      </c>
      <c r="AF318" s="19" t="str">
        <f t="shared" si="17"/>
        <v>--</v>
      </c>
      <c r="AG318" s="21" t="str">
        <f t="shared" si="18"/>
        <v>--</v>
      </c>
      <c r="AH318" s="19" t="str">
        <f t="shared" si="19"/>
        <v>--</v>
      </c>
    </row>
    <row r="319" spans="1:34" x14ac:dyDescent="0.45">
      <c r="A319" s="7" t="s">
        <v>1302</v>
      </c>
      <c r="B319" s="32" t="s">
        <v>1122</v>
      </c>
      <c r="C319" s="7" t="s">
        <v>1303</v>
      </c>
      <c r="D319" s="8" t="s">
        <v>1304</v>
      </c>
      <c r="E319" s="8" t="s">
        <v>1305</v>
      </c>
      <c r="F319" s="9">
        <v>45968</v>
      </c>
      <c r="G319" s="9">
        <v>46226</v>
      </c>
      <c r="H319" s="9">
        <v>48568</v>
      </c>
      <c r="I319" s="10">
        <v>172.33709716796881</v>
      </c>
      <c r="J319" s="10">
        <v>119.7575988769531</v>
      </c>
      <c r="K319" s="10">
        <v>356.149</v>
      </c>
      <c r="L319" s="10">
        <v>354.16399999999999</v>
      </c>
      <c r="M319" s="11">
        <v>179</v>
      </c>
      <c r="N319" s="12">
        <v>-183.81190283203131</v>
      </c>
      <c r="O319" s="13">
        <v>-316.82069519042972</v>
      </c>
      <c r="P319" s="13">
        <v>-168.76360644531249</v>
      </c>
      <c r="Q319" s="13">
        <v>-256.38083843755447</v>
      </c>
      <c r="R319" s="14">
        <v>89.836152720370833</v>
      </c>
      <c r="S319" s="13">
        <v>-236.3914011230469</v>
      </c>
      <c r="T319" s="13">
        <v>-346.82640197753898</v>
      </c>
      <c r="U319" s="13">
        <v>-228.40798510742189</v>
      </c>
      <c r="V319" s="13">
        <v>-298.04749420711579</v>
      </c>
      <c r="W319" s="15">
        <v>93.258298644220773</v>
      </c>
      <c r="X319" s="16" t="str">
        <f>IFERROR(_xll.BDP(E319&amp;" Corp","LAST_PRICE"),"--")</f>
        <v>#N/A Requesting Data...</v>
      </c>
      <c r="Y319" s="17" t="str">
        <f>IFERROR(_xll.BDP(E319&amp;" Corp","YAS_BENCHMARK_BOND_ISIN"),"--")</f>
        <v>#N/A Requesting Data...</v>
      </c>
      <c r="Z319" s="18" t="str">
        <f>IFERROR(_xll.BDP(Y319&amp;" CORP","LAST_PRICE"),"--")</f>
        <v>#N/A Requesting Data... CORP</v>
      </c>
      <c r="AA319" s="19" t="str">
        <f>IFERROR(_xll.BDP(E319&amp;" Corp","YAS_YLD_SPREAD","YAS_BOND_PX="&amp;X319,"YAS_BNCHMRK_BOND_PX="&amp;Z319),"--")</f>
        <v>#N/A Requesting Data...</v>
      </c>
      <c r="AB319" s="19" t="str">
        <f>IFERROR(_xll.BDP(E319&amp;" Corp","BLOOMBERG_MID_G_SPREAD","YAS_BOND_PX="&amp;X319,"YAS_BNCHMRK_BOND_PX="&amp;Z319),"--")</f>
        <v>#N/A Requesting Data...</v>
      </c>
      <c r="AC319" s="19" t="str">
        <f>IFERROR(_xll.BDP(D319,"LAST_PRICE"),"--")</f>
        <v>#N/A Requesting Data...</v>
      </c>
      <c r="AD319" s="20"/>
      <c r="AE319" s="19" t="str">
        <f t="shared" si="16"/>
        <v>#N/A Requesting Data...</v>
      </c>
      <c r="AF319" s="19" t="str">
        <f t="shared" si="17"/>
        <v>--</v>
      </c>
      <c r="AG319" s="21" t="str">
        <f t="shared" si="18"/>
        <v>--</v>
      </c>
      <c r="AH319" s="19" t="str">
        <f t="shared" si="19"/>
        <v>--</v>
      </c>
    </row>
    <row r="320" spans="1:34" x14ac:dyDescent="0.45">
      <c r="A320" s="22" t="s">
        <v>1306</v>
      </c>
      <c r="B320" s="32" t="s">
        <v>1122</v>
      </c>
      <c r="C320" s="22" t="s">
        <v>1307</v>
      </c>
      <c r="D320" s="23" t="s">
        <v>1308</v>
      </c>
      <c r="E320" s="23" t="s">
        <v>1309</v>
      </c>
      <c r="F320" s="24">
        <v>45733</v>
      </c>
      <c r="G320" s="24">
        <v>46226</v>
      </c>
      <c r="H320" s="24">
        <v>48202</v>
      </c>
      <c r="I320" s="25">
        <v>188.9118957519531</v>
      </c>
      <c r="J320" s="25">
        <v>175.3345947265625</v>
      </c>
      <c r="K320" s="25">
        <v>137.685</v>
      </c>
      <c r="L320" s="25">
        <v>132.459</v>
      </c>
      <c r="M320" s="26">
        <v>345</v>
      </c>
      <c r="N320" s="27">
        <v>51.226895751953123</v>
      </c>
      <c r="O320" s="28">
        <v>-33.257193603515653</v>
      </c>
      <c r="P320" s="28">
        <v>105.530607421875</v>
      </c>
      <c r="Q320" s="28">
        <v>57.927315935660097</v>
      </c>
      <c r="R320" s="29">
        <v>60.872849581363973</v>
      </c>
      <c r="S320" s="28">
        <v>37.649594726562498</v>
      </c>
      <c r="T320" s="28">
        <v>-36.831305541992208</v>
      </c>
      <c r="U320" s="28">
        <v>93.755506713867192</v>
      </c>
      <c r="V320" s="28">
        <v>47.572095749122518</v>
      </c>
      <c r="W320" s="30">
        <v>57.035545153383403</v>
      </c>
      <c r="X320" s="16" t="str">
        <f>IFERROR(_xll.BDP(E320&amp;" Corp","LAST_PRICE"),"--")</f>
        <v>#N/A Requesting Data...</v>
      </c>
      <c r="Y320" s="17" t="str">
        <f>IFERROR(_xll.BDP(E320&amp;" Corp","YAS_BENCHMARK_BOND_ISIN"),"--")</f>
        <v>#N/A Requesting Data...</v>
      </c>
      <c r="Z320" s="18" t="str">
        <f>IFERROR(_xll.BDP(Y320&amp;" CORP","LAST_PRICE"),"--")</f>
        <v>#N/A Requesting Data... CORP</v>
      </c>
      <c r="AA320" s="19" t="str">
        <f>IFERROR(_xll.BDP(E320&amp;" Corp","YAS_YLD_SPREAD","YAS_BOND_PX="&amp;X320,"YAS_BNCHMRK_BOND_PX="&amp;Z320),"--")</f>
        <v>#N/A Requesting Data...</v>
      </c>
      <c r="AB320" s="19" t="str">
        <f>IFERROR(_xll.BDP(E320&amp;" Corp","BLOOMBERG_MID_G_SPREAD","YAS_BOND_PX="&amp;X320,"YAS_BNCHMRK_BOND_PX="&amp;Z320),"--")</f>
        <v>#N/A Requesting Data...</v>
      </c>
      <c r="AC320" s="19" t="str">
        <f>IFERROR(_xll.BDP(D320,"LAST_PRICE"),"--")</f>
        <v>#N/A Requesting Data...</v>
      </c>
      <c r="AD320" s="20"/>
      <c r="AE320" s="19" t="str">
        <f t="shared" si="16"/>
        <v>#N/A Requesting Data...</v>
      </c>
      <c r="AF320" s="19" t="str">
        <f t="shared" si="17"/>
        <v>--</v>
      </c>
      <c r="AG320" s="21" t="str">
        <f t="shared" si="18"/>
        <v>--</v>
      </c>
      <c r="AH320" s="19" t="str">
        <f t="shared" si="19"/>
        <v>--</v>
      </c>
    </row>
    <row r="321" spans="1:34" x14ac:dyDescent="0.45">
      <c r="A321" s="7" t="s">
        <v>1310</v>
      </c>
      <c r="B321" s="32" t="s">
        <v>1122</v>
      </c>
      <c r="C321" s="7" t="s">
        <v>1311</v>
      </c>
      <c r="D321" s="8" t="s">
        <v>1312</v>
      </c>
      <c r="E321" s="8" t="s">
        <v>1313</v>
      </c>
      <c r="F321" s="9">
        <v>46037</v>
      </c>
      <c r="G321" s="9">
        <v>46226</v>
      </c>
      <c r="H321" s="9">
        <v>48202</v>
      </c>
      <c r="I321" s="10">
        <v>159.82440185546881</v>
      </c>
      <c r="J321" s="10">
        <v>151.73100280761719</v>
      </c>
      <c r="K321" s="10">
        <v>127.892</v>
      </c>
      <c r="L321" s="10">
        <v>134.00700000000001</v>
      </c>
      <c r="M321" s="11">
        <v>133</v>
      </c>
      <c r="N321" s="12">
        <v>31.932401855468751</v>
      </c>
      <c r="O321" s="13">
        <v>3.0138962402343741</v>
      </c>
      <c r="P321" s="13">
        <v>58.14650390624999</v>
      </c>
      <c r="Q321" s="13">
        <v>24.189621055201481</v>
      </c>
      <c r="R321" s="14">
        <v>52.452635272428957</v>
      </c>
      <c r="S321" s="13">
        <v>23.839002807617192</v>
      </c>
      <c r="T321" s="13">
        <v>-6.9859053955078139</v>
      </c>
      <c r="U321" s="13">
        <v>43.463796508789073</v>
      </c>
      <c r="V321" s="13">
        <v>14.09721795883752</v>
      </c>
      <c r="W321" s="15">
        <v>61.100278177262332</v>
      </c>
      <c r="X321" s="16" t="str">
        <f>IFERROR(_xll.BDP(E321&amp;" Corp","LAST_PRICE"),"--")</f>
        <v>#N/A Requesting Data...</v>
      </c>
      <c r="Y321" s="17" t="str">
        <f>IFERROR(_xll.BDP(E321&amp;" Corp","YAS_BENCHMARK_BOND_ISIN"),"--")</f>
        <v>#N/A Requesting Data...</v>
      </c>
      <c r="Z321" s="18" t="str">
        <f>IFERROR(_xll.BDP(Y321&amp;" CORP","LAST_PRICE"),"--")</f>
        <v>#N/A Requesting Data... CORP</v>
      </c>
      <c r="AA321" s="19" t="str">
        <f>IFERROR(_xll.BDP(E321&amp;" Corp","YAS_YLD_SPREAD","YAS_BOND_PX="&amp;X321,"YAS_BNCHMRK_BOND_PX="&amp;Z321),"--")</f>
        <v>#N/A Requesting Data...</v>
      </c>
      <c r="AB321" s="19" t="str">
        <f>IFERROR(_xll.BDP(E321&amp;" Corp","BLOOMBERG_MID_G_SPREAD","YAS_BOND_PX="&amp;X321,"YAS_BNCHMRK_BOND_PX="&amp;Z321),"--")</f>
        <v>#N/A Requesting Data...</v>
      </c>
      <c r="AC321" s="19" t="str">
        <f>IFERROR(_xll.BDP(D321,"LAST_PRICE"),"--")</f>
        <v>#N/A Requesting Data...</v>
      </c>
      <c r="AD321" s="20"/>
      <c r="AE321" s="19" t="str">
        <f t="shared" si="16"/>
        <v>#N/A Requesting Data...</v>
      </c>
      <c r="AF321" s="19" t="str">
        <f t="shared" si="17"/>
        <v>--</v>
      </c>
      <c r="AG321" s="21" t="str">
        <f t="shared" si="18"/>
        <v>--</v>
      </c>
      <c r="AH321" s="19" t="str">
        <f t="shared" si="19"/>
        <v>--</v>
      </c>
    </row>
    <row r="322" spans="1:34" x14ac:dyDescent="0.45">
      <c r="A322" s="22" t="s">
        <v>1314</v>
      </c>
      <c r="B322" s="32" t="s">
        <v>1122</v>
      </c>
      <c r="C322" s="22" t="s">
        <v>1315</v>
      </c>
      <c r="D322" s="23" t="s">
        <v>1316</v>
      </c>
      <c r="E322" s="23" t="s">
        <v>1317</v>
      </c>
      <c r="F322" s="24">
        <v>45924</v>
      </c>
      <c r="G322" s="24">
        <v>46226</v>
      </c>
      <c r="H322" s="24">
        <v>47837</v>
      </c>
      <c r="I322" s="25">
        <v>108.1762008666992</v>
      </c>
      <c r="J322" s="25">
        <v>122.40920257568359</v>
      </c>
      <c r="K322" s="25">
        <v>116.932</v>
      </c>
      <c r="L322" s="25">
        <v>121.736</v>
      </c>
      <c r="M322" s="26">
        <v>211</v>
      </c>
      <c r="N322" s="27">
        <v>-8.7557991333007834</v>
      </c>
      <c r="O322" s="28">
        <v>-56.665896240234389</v>
      </c>
      <c r="P322" s="28">
        <v>-5.2079983520507804</v>
      </c>
      <c r="Q322" s="28">
        <v>-22.516361565901772</v>
      </c>
      <c r="R322" s="29">
        <v>93.105430017838543</v>
      </c>
      <c r="S322" s="28">
        <v>5.4772025756835916</v>
      </c>
      <c r="T322" s="28">
        <v>-41.388705078125007</v>
      </c>
      <c r="U322" s="28">
        <v>12.37050048828125</v>
      </c>
      <c r="V322" s="28">
        <v>-6.4706676034068602</v>
      </c>
      <c r="W322" s="30">
        <v>87.177455767863449</v>
      </c>
      <c r="X322" s="16" t="str">
        <f>IFERROR(_xll.BDP(E322&amp;" Corp","LAST_PRICE"),"--")</f>
        <v>#N/A Requesting Data...</v>
      </c>
      <c r="Y322" s="17" t="str">
        <f>IFERROR(_xll.BDP(E322&amp;" Corp","YAS_BENCHMARK_BOND_ISIN"),"--")</f>
        <v>#N/A Requesting Data...</v>
      </c>
      <c r="Z322" s="18" t="str">
        <f>IFERROR(_xll.BDP(Y322&amp;" CORP","LAST_PRICE"),"--")</f>
        <v>#N/A Requesting Data... CORP</v>
      </c>
      <c r="AA322" s="19" t="str">
        <f>IFERROR(_xll.BDP(E322&amp;" Corp","YAS_YLD_SPREAD","YAS_BOND_PX="&amp;X322,"YAS_BNCHMRK_BOND_PX="&amp;Z322),"--")</f>
        <v>#N/A Requesting Data...</v>
      </c>
      <c r="AB322" s="19" t="str">
        <f>IFERROR(_xll.BDP(E322&amp;" Corp","BLOOMBERG_MID_G_SPREAD","YAS_BOND_PX="&amp;X322,"YAS_BNCHMRK_BOND_PX="&amp;Z322),"--")</f>
        <v>#N/A Requesting Data...</v>
      </c>
      <c r="AC322" s="19" t="str">
        <f>IFERROR(_xll.BDP(D322,"LAST_PRICE"),"--")</f>
        <v>#N/A Requesting Data...</v>
      </c>
      <c r="AD322" s="20"/>
      <c r="AE322" s="19" t="str">
        <f t="shared" si="16"/>
        <v>#N/A Requesting Data...</v>
      </c>
      <c r="AF322" s="19" t="str">
        <f t="shared" si="17"/>
        <v>--</v>
      </c>
      <c r="AG322" s="21" t="str">
        <f t="shared" si="18"/>
        <v>--</v>
      </c>
      <c r="AH322" s="19" t="str">
        <f t="shared" si="19"/>
        <v>--</v>
      </c>
    </row>
    <row r="323" spans="1:34" x14ac:dyDescent="0.45">
      <c r="A323" s="7" t="s">
        <v>1318</v>
      </c>
      <c r="B323" s="32" t="s">
        <v>1122</v>
      </c>
      <c r="C323" s="7" t="s">
        <v>1319</v>
      </c>
      <c r="D323" s="8" t="s">
        <v>1320</v>
      </c>
      <c r="E323" s="8" t="s">
        <v>1321</v>
      </c>
      <c r="F323" s="9">
        <v>45659</v>
      </c>
      <c r="G323" s="9">
        <v>46226</v>
      </c>
      <c r="H323" s="9">
        <v>47837</v>
      </c>
      <c r="I323" s="10">
        <v>95.767196655273438</v>
      </c>
      <c r="J323" s="10">
        <v>107.8897018432617</v>
      </c>
      <c r="K323" s="10">
        <v>154.727</v>
      </c>
      <c r="L323" s="10">
        <v>-6.508</v>
      </c>
      <c r="M323" s="11">
        <v>397</v>
      </c>
      <c r="N323" s="12">
        <v>-58.959803344726573</v>
      </c>
      <c r="O323" s="13">
        <v>-85.537696899414073</v>
      </c>
      <c r="P323" s="13">
        <v>87.708903320312501</v>
      </c>
      <c r="Q323" s="13">
        <v>-0.5069019209623935</v>
      </c>
      <c r="R323" s="14">
        <v>15.34107654694469</v>
      </c>
      <c r="S323" s="13">
        <v>-46.837298156738292</v>
      </c>
      <c r="T323" s="13">
        <v>-69.547493041992198</v>
      </c>
      <c r="U323" s="13">
        <v>100.21799755859379</v>
      </c>
      <c r="V323" s="13">
        <v>12.798680312918179</v>
      </c>
      <c r="W323" s="15">
        <v>13.377391839125361</v>
      </c>
      <c r="X323" s="16" t="str">
        <f>IFERROR(_xll.BDP(E323&amp;" Corp","LAST_PRICE"),"--")</f>
        <v>#N/A Requesting Data...</v>
      </c>
      <c r="Y323" s="17" t="str">
        <f>IFERROR(_xll.BDP(E323&amp;" Corp","YAS_BENCHMARK_BOND_ISIN"),"--")</f>
        <v>#N/A Requesting Data...</v>
      </c>
      <c r="Z323" s="18" t="str">
        <f>IFERROR(_xll.BDP(Y323&amp;" CORP","LAST_PRICE"),"--")</f>
        <v>#N/A Requesting Data... CORP</v>
      </c>
      <c r="AA323" s="19" t="str">
        <f>IFERROR(_xll.BDP(E323&amp;" Corp","YAS_YLD_SPREAD","YAS_BOND_PX="&amp;X323,"YAS_BNCHMRK_BOND_PX="&amp;Z323),"--")</f>
        <v>#N/A Requesting Data...</v>
      </c>
      <c r="AB323" s="19" t="str">
        <f>IFERROR(_xll.BDP(E323&amp;" Corp","BLOOMBERG_MID_G_SPREAD","YAS_BOND_PX="&amp;X323,"YAS_BNCHMRK_BOND_PX="&amp;Z323),"--")</f>
        <v>#N/A Requesting Data...</v>
      </c>
      <c r="AC323" s="19" t="str">
        <f>IFERROR(_xll.BDP(D323,"LAST_PRICE"),"--")</f>
        <v>#N/A Requesting Data...</v>
      </c>
      <c r="AD323" s="20"/>
      <c r="AE323" s="19" t="str">
        <f t="shared" si="16"/>
        <v>#N/A Requesting Data...</v>
      </c>
      <c r="AF323" s="19" t="str">
        <f t="shared" si="17"/>
        <v>--</v>
      </c>
      <c r="AG323" s="21" t="str">
        <f t="shared" si="18"/>
        <v>--</v>
      </c>
      <c r="AH323" s="19" t="str">
        <f t="shared" si="19"/>
        <v>--</v>
      </c>
    </row>
    <row r="324" spans="1:34" x14ac:dyDescent="0.45">
      <c r="A324" s="22" t="s">
        <v>1322</v>
      </c>
      <c r="B324" s="32" t="s">
        <v>1122</v>
      </c>
      <c r="C324" s="22" t="s">
        <v>1323</v>
      </c>
      <c r="D324" s="23" t="s">
        <v>1324</v>
      </c>
      <c r="E324" s="23" t="s">
        <v>1325</v>
      </c>
      <c r="F324" s="24">
        <v>45659</v>
      </c>
      <c r="G324" s="24">
        <v>46226</v>
      </c>
      <c r="H324" s="24">
        <v>47654</v>
      </c>
      <c r="I324" s="25">
        <v>239.1911926269531</v>
      </c>
      <c r="J324" s="25">
        <v>276.6741943359375</v>
      </c>
      <c r="K324" s="25">
        <v>230.328</v>
      </c>
      <c r="L324" s="25">
        <v>229.44399999999999</v>
      </c>
      <c r="M324" s="26">
        <v>397</v>
      </c>
      <c r="N324" s="27">
        <v>8.863192626953122</v>
      </c>
      <c r="O324" s="28">
        <v>-96.063398193359376</v>
      </c>
      <c r="P324" s="28">
        <v>207.59839868164059</v>
      </c>
      <c r="Q324" s="28">
        <v>-8.333478946407137</v>
      </c>
      <c r="R324" s="29">
        <v>34.55376734910935</v>
      </c>
      <c r="S324" s="28">
        <v>46.346194335937497</v>
      </c>
      <c r="T324" s="28">
        <v>-82.564100097656251</v>
      </c>
      <c r="U324" s="28">
        <v>232.4505104980469</v>
      </c>
      <c r="V324" s="28">
        <v>16.579135198559509</v>
      </c>
      <c r="W324" s="30">
        <v>40.922004915841868</v>
      </c>
      <c r="X324" s="16" t="str">
        <f>IFERROR(_xll.BDP(E324&amp;" Corp","LAST_PRICE"),"--")</f>
        <v>#N/A Requesting Data...</v>
      </c>
      <c r="Y324" s="17" t="str">
        <f>IFERROR(_xll.BDP(E324&amp;" Corp","YAS_BENCHMARK_BOND_ISIN"),"--")</f>
        <v>#N/A Requesting Data...</v>
      </c>
      <c r="Z324" s="18" t="str">
        <f>IFERROR(_xll.BDP(Y324&amp;" CORP","LAST_PRICE"),"--")</f>
        <v>#N/A Requesting Data... CORP</v>
      </c>
      <c r="AA324" s="19" t="str">
        <f>IFERROR(_xll.BDP(E324&amp;" Corp","YAS_YLD_SPREAD","YAS_BOND_PX="&amp;X324,"YAS_BNCHMRK_BOND_PX="&amp;Z324),"--")</f>
        <v>#N/A Requesting Data...</v>
      </c>
      <c r="AB324" s="19" t="str">
        <f>IFERROR(_xll.BDP(E324&amp;" Corp","BLOOMBERG_MID_G_SPREAD","YAS_BOND_PX="&amp;X324,"YAS_BNCHMRK_BOND_PX="&amp;Z324),"--")</f>
        <v>#N/A Requesting Data...</v>
      </c>
      <c r="AC324" s="19" t="str">
        <f>IFERROR(_xll.BDP(D324,"LAST_PRICE"),"--")</f>
        <v>#N/A Requesting Data...</v>
      </c>
      <c r="AD324" s="20"/>
      <c r="AE324" s="19" t="str">
        <f t="shared" si="16"/>
        <v>#N/A Requesting Data...</v>
      </c>
      <c r="AF324" s="19" t="str">
        <f t="shared" si="17"/>
        <v>--</v>
      </c>
      <c r="AG324" s="21" t="str">
        <f t="shared" si="18"/>
        <v>--</v>
      </c>
      <c r="AH324" s="19" t="str">
        <f t="shared" si="19"/>
        <v>--</v>
      </c>
    </row>
    <row r="325" spans="1:34" x14ac:dyDescent="0.45">
      <c r="A325" s="7" t="s">
        <v>1326</v>
      </c>
      <c r="B325" s="32" t="s">
        <v>1122</v>
      </c>
      <c r="C325" s="7" t="s">
        <v>1327</v>
      </c>
      <c r="D325" s="8" t="s">
        <v>1328</v>
      </c>
      <c r="E325" s="8" t="s">
        <v>1329</v>
      </c>
      <c r="F325" s="9">
        <v>46069</v>
      </c>
      <c r="G325" s="9">
        <v>46226</v>
      </c>
      <c r="H325" s="9">
        <v>48202</v>
      </c>
      <c r="I325" s="10">
        <v>212.21080017089841</v>
      </c>
      <c r="J325" s="10">
        <v>183.25</v>
      </c>
      <c r="K325" s="10">
        <v>186.006</v>
      </c>
      <c r="L325" s="10">
        <v>189.65600000000001</v>
      </c>
      <c r="M325" s="11">
        <v>110</v>
      </c>
      <c r="N325" s="12">
        <v>26.204800170898441</v>
      </c>
      <c r="O325" s="13">
        <v>4.5431850585937346</v>
      </c>
      <c r="P325" s="13">
        <v>113.268509765625</v>
      </c>
      <c r="Q325" s="13">
        <v>48.492227860884228</v>
      </c>
      <c r="R325" s="14">
        <v>19.923247109791198</v>
      </c>
      <c r="S325" s="13">
        <v>-2.7559999999999998</v>
      </c>
      <c r="T325" s="13">
        <v>-20.896002929687508</v>
      </c>
      <c r="U325" s="13">
        <v>73.286695312500001</v>
      </c>
      <c r="V325" s="13">
        <v>18.645552196155901</v>
      </c>
      <c r="W325" s="15">
        <v>19.260440896523399</v>
      </c>
      <c r="X325" s="16" t="str">
        <f>IFERROR(_xll.BDP(E325&amp;" Corp","LAST_PRICE"),"--")</f>
        <v>#N/A Requesting Data...</v>
      </c>
      <c r="Y325" s="17" t="str">
        <f>IFERROR(_xll.BDP(E325&amp;" Corp","YAS_BENCHMARK_BOND_ISIN"),"--")</f>
        <v>#N/A Requesting Data...</v>
      </c>
      <c r="Z325" s="18" t="str">
        <f>IFERROR(_xll.BDP(Y325&amp;" CORP","LAST_PRICE"),"--")</f>
        <v>#N/A Requesting Data... CORP</v>
      </c>
      <c r="AA325" s="19" t="str">
        <f>IFERROR(_xll.BDP(E325&amp;" Corp","YAS_YLD_SPREAD","YAS_BOND_PX="&amp;X325,"YAS_BNCHMRK_BOND_PX="&amp;Z325),"--")</f>
        <v>#N/A Requesting Data...</v>
      </c>
      <c r="AB325" s="19" t="str">
        <f>IFERROR(_xll.BDP(E325&amp;" Corp","BLOOMBERG_MID_G_SPREAD","YAS_BOND_PX="&amp;X325,"YAS_BNCHMRK_BOND_PX="&amp;Z325),"--")</f>
        <v>#N/A Requesting Data...</v>
      </c>
      <c r="AC325" s="19" t="str">
        <f>IFERROR(_xll.BDP(D325,"LAST_PRICE"),"--")</f>
        <v>#N/A Requesting Data...</v>
      </c>
      <c r="AD325" s="20"/>
      <c r="AE325" s="19" t="str">
        <f t="shared" ref="AE325:AE388" si="20">IFERROR(IF(ISBLANK(AD325),AC325,AD325),"--")</f>
        <v>#N/A Requesting Data...</v>
      </c>
      <c r="AF325" s="19" t="str">
        <f t="shared" ref="AF325:AF388" si="21">IFERROR(MAX(-500,MIN(500,AE325-AB325)),"--")</f>
        <v>--</v>
      </c>
      <c r="AG325" s="21" t="str">
        <f t="shared" ref="AG325:AG388" si="22">IFERROR((AF325-T325)/(U325-T325)*100,"--")</f>
        <v>--</v>
      </c>
      <c r="AH325" s="19" t="str">
        <f t="shared" ref="AH325:AH346" si="23">IFERROR(AF325-V325,"--")</f>
        <v>--</v>
      </c>
    </row>
    <row r="326" spans="1:34" x14ac:dyDescent="0.45">
      <c r="A326" s="22" t="s">
        <v>1330</v>
      </c>
      <c r="B326" s="32" t="s">
        <v>1122</v>
      </c>
      <c r="C326" s="22" t="s">
        <v>1331</v>
      </c>
      <c r="D326" s="23" t="s">
        <v>1332</v>
      </c>
      <c r="E326" s="23" t="s">
        <v>1333</v>
      </c>
      <c r="F326" s="24">
        <v>45659</v>
      </c>
      <c r="G326" s="24">
        <v>46226</v>
      </c>
      <c r="H326" s="24">
        <v>47472</v>
      </c>
      <c r="I326" s="25">
        <v>447.99481201171881</v>
      </c>
      <c r="J326" s="25">
        <v>500.2041015625</v>
      </c>
      <c r="K326" s="25">
        <v>369.08699999999999</v>
      </c>
      <c r="L326" s="25">
        <v>376.678</v>
      </c>
      <c r="M326" s="26">
        <v>397</v>
      </c>
      <c r="N326" s="27">
        <v>78.907812011718761</v>
      </c>
      <c r="O326" s="28">
        <v>-8.59400927734373</v>
      </c>
      <c r="P326" s="28">
        <v>590.34614160156252</v>
      </c>
      <c r="Q326" s="28">
        <v>116.0605699638155</v>
      </c>
      <c r="R326" s="29">
        <v>14.609443224111651</v>
      </c>
      <c r="S326" s="28">
        <v>131.11710156250001</v>
      </c>
      <c r="T326" s="28">
        <v>19.427919433593729</v>
      </c>
      <c r="U326" s="28">
        <v>540.35944726562502</v>
      </c>
      <c r="V326" s="28">
        <v>125.9410558656635</v>
      </c>
      <c r="W326" s="30">
        <v>21.440280758917559</v>
      </c>
      <c r="X326" s="16" t="str">
        <f>IFERROR(_xll.BDP(E326&amp;" Corp","LAST_PRICE"),"--")</f>
        <v>#N/A Requesting Data...</v>
      </c>
      <c r="Y326" s="17" t="str">
        <f>IFERROR(_xll.BDP(E326&amp;" Corp","YAS_BENCHMARK_BOND_ISIN"),"--")</f>
        <v>#N/A Requesting Data...</v>
      </c>
      <c r="Z326" s="18" t="str">
        <f>IFERROR(_xll.BDP(Y326&amp;" CORP","LAST_PRICE"),"--")</f>
        <v>#N/A Requesting Data... CORP</v>
      </c>
      <c r="AA326" s="19" t="str">
        <f>IFERROR(_xll.BDP(E326&amp;" Corp","YAS_YLD_SPREAD","YAS_BOND_PX="&amp;X326,"YAS_BNCHMRK_BOND_PX="&amp;Z326),"--")</f>
        <v>#N/A Requesting Data...</v>
      </c>
      <c r="AB326" s="19" t="str">
        <f>IFERROR(_xll.BDP(E326&amp;" Corp","BLOOMBERG_MID_G_SPREAD","YAS_BOND_PX="&amp;X326,"YAS_BNCHMRK_BOND_PX="&amp;Z326),"--")</f>
        <v>#N/A Requesting Data...</v>
      </c>
      <c r="AC326" s="19" t="str">
        <f>IFERROR(_xll.BDP(D326,"LAST_PRICE"),"--")</f>
        <v>#N/A Requesting Data...</v>
      </c>
      <c r="AD326" s="20"/>
      <c r="AE326" s="19" t="str">
        <f t="shared" si="20"/>
        <v>#N/A Requesting Data...</v>
      </c>
      <c r="AF326" s="19" t="str">
        <f t="shared" si="21"/>
        <v>--</v>
      </c>
      <c r="AG326" s="21" t="str">
        <f t="shared" si="22"/>
        <v>--</v>
      </c>
      <c r="AH326" s="19" t="str">
        <f t="shared" si="23"/>
        <v>--</v>
      </c>
    </row>
    <row r="327" spans="1:34" x14ac:dyDescent="0.45">
      <c r="A327" s="7" t="s">
        <v>1334</v>
      </c>
      <c r="B327" s="32" t="s">
        <v>1122</v>
      </c>
      <c r="C327" s="7" t="s">
        <v>1335</v>
      </c>
      <c r="D327" s="8" t="s">
        <v>1336</v>
      </c>
      <c r="E327" s="8" t="s">
        <v>1337</v>
      </c>
      <c r="F327" s="9">
        <v>45827</v>
      </c>
      <c r="G327" s="9">
        <v>46226</v>
      </c>
      <c r="H327" s="9">
        <v>48933</v>
      </c>
      <c r="I327" s="10">
        <v>255.397705078125</v>
      </c>
      <c r="J327" s="10">
        <v>175.11369323730469</v>
      </c>
      <c r="K327" s="10">
        <v>182.84399999999999</v>
      </c>
      <c r="L327" s="10">
        <v>187.066</v>
      </c>
      <c r="M327" s="11">
        <v>280</v>
      </c>
      <c r="N327" s="12">
        <v>72.553705078125006</v>
      </c>
      <c r="O327" s="13">
        <v>46.384394531250003</v>
      </c>
      <c r="P327" s="13">
        <v>116.55090747070309</v>
      </c>
      <c r="Q327" s="13">
        <v>74.206000782121933</v>
      </c>
      <c r="R327" s="14">
        <v>37.296011231820202</v>
      </c>
      <c r="S327" s="13">
        <v>-7.7303067626953066</v>
      </c>
      <c r="T327" s="13">
        <v>-34.258203491210928</v>
      </c>
      <c r="U327" s="13">
        <v>66.689213134765623</v>
      </c>
      <c r="V327" s="13">
        <v>9.1330013183593763</v>
      </c>
      <c r="W327" s="15">
        <v>26.278925816204861</v>
      </c>
      <c r="X327" s="16" t="str">
        <f>IFERROR(_xll.BDP(E327&amp;" Corp","LAST_PRICE"),"--")</f>
        <v>#N/A Requesting Data...</v>
      </c>
      <c r="Y327" s="17" t="str">
        <f>IFERROR(_xll.BDP(E327&amp;" Corp","YAS_BENCHMARK_BOND_ISIN"),"--")</f>
        <v>#N/A Requesting Data...</v>
      </c>
      <c r="Z327" s="18" t="str">
        <f>IFERROR(_xll.BDP(Y327&amp;" CORP","LAST_PRICE"),"--")</f>
        <v>#N/A Requesting Data... CORP</v>
      </c>
      <c r="AA327" s="19" t="str">
        <f>IFERROR(_xll.BDP(E327&amp;" Corp","YAS_YLD_SPREAD","YAS_BOND_PX="&amp;X327,"YAS_BNCHMRK_BOND_PX="&amp;Z327),"--")</f>
        <v>#N/A Requesting Data...</v>
      </c>
      <c r="AB327" s="19" t="str">
        <f>IFERROR(_xll.BDP(E327&amp;" Corp","BLOOMBERG_MID_G_SPREAD","YAS_BOND_PX="&amp;X327,"YAS_BNCHMRK_BOND_PX="&amp;Z327),"--")</f>
        <v>#N/A Requesting Data...</v>
      </c>
      <c r="AC327" s="19" t="str">
        <f>IFERROR(_xll.BDP(D327,"LAST_PRICE"),"--")</f>
        <v>#N/A Requesting Data...</v>
      </c>
      <c r="AD327" s="20"/>
      <c r="AE327" s="19" t="str">
        <f t="shared" si="20"/>
        <v>#N/A Requesting Data...</v>
      </c>
      <c r="AF327" s="19" t="str">
        <f t="shared" si="21"/>
        <v>--</v>
      </c>
      <c r="AG327" s="21" t="str">
        <f t="shared" si="22"/>
        <v>--</v>
      </c>
      <c r="AH327" s="19" t="str">
        <f t="shared" si="23"/>
        <v>--</v>
      </c>
    </row>
    <row r="328" spans="1:34" x14ac:dyDescent="0.45">
      <c r="A328" s="22" t="s">
        <v>1338</v>
      </c>
      <c r="B328" s="32" t="s">
        <v>1122</v>
      </c>
      <c r="C328" s="22" t="s">
        <v>1339</v>
      </c>
      <c r="D328" s="23" t="s">
        <v>1340</v>
      </c>
      <c r="E328" s="23" t="s">
        <v>1341</v>
      </c>
      <c r="F328" s="24">
        <v>45743</v>
      </c>
      <c r="G328" s="24">
        <v>46226</v>
      </c>
      <c r="H328" s="24">
        <v>48019</v>
      </c>
      <c r="I328" s="25">
        <v>161.06269836425781</v>
      </c>
      <c r="J328" s="25">
        <v>161.06269836425781</v>
      </c>
      <c r="K328" s="25">
        <v>147.453</v>
      </c>
      <c r="L328" s="25">
        <v>152.56</v>
      </c>
      <c r="M328" s="26">
        <v>337</v>
      </c>
      <c r="N328" s="27">
        <v>13.60969836425781</v>
      </c>
      <c r="O328" s="28">
        <v>-29.3741964111328</v>
      </c>
      <c r="P328" s="28">
        <v>57.061989501953121</v>
      </c>
      <c r="Q328" s="28">
        <v>8.4572151447601769</v>
      </c>
      <c r="R328" s="29">
        <v>49.72905076886682</v>
      </c>
      <c r="S328" s="28">
        <v>13.60969836425781</v>
      </c>
      <c r="T328" s="28">
        <v>-29.3741964111328</v>
      </c>
      <c r="U328" s="28">
        <v>57.061989501953121</v>
      </c>
      <c r="V328" s="28">
        <v>8.4572151447601769</v>
      </c>
      <c r="W328" s="30">
        <v>49.72905076886682</v>
      </c>
      <c r="X328" s="16" t="str">
        <f>IFERROR(_xll.BDP(E328&amp;" Corp","LAST_PRICE"),"--")</f>
        <v>#N/A Requesting Data...</v>
      </c>
      <c r="Y328" s="17" t="str">
        <f>IFERROR(_xll.BDP(E328&amp;" Corp","YAS_BENCHMARK_BOND_ISIN"),"--")</f>
        <v>#N/A Requesting Data...</v>
      </c>
      <c r="Z328" s="18" t="str">
        <f>IFERROR(_xll.BDP(Y328&amp;" CORP","LAST_PRICE"),"--")</f>
        <v>#N/A Requesting Data... CORP</v>
      </c>
      <c r="AA328" s="19" t="str">
        <f>IFERROR(_xll.BDP(E328&amp;" Corp","YAS_YLD_SPREAD","YAS_BOND_PX="&amp;X328,"YAS_BNCHMRK_BOND_PX="&amp;Z328),"--")</f>
        <v>#N/A Requesting Data...</v>
      </c>
      <c r="AB328" s="19" t="str">
        <f>IFERROR(_xll.BDP(E328&amp;" Corp","BLOOMBERG_MID_G_SPREAD","YAS_BOND_PX="&amp;X328,"YAS_BNCHMRK_BOND_PX="&amp;Z328),"--")</f>
        <v>#N/A Requesting Data...</v>
      </c>
      <c r="AC328" s="19" t="str">
        <f>IFERROR(_xll.BDP(D328,"LAST_PRICE"),"--")</f>
        <v>#N/A Requesting Data...</v>
      </c>
      <c r="AD328" s="20"/>
      <c r="AE328" s="19" t="str">
        <f t="shared" si="20"/>
        <v>#N/A Requesting Data...</v>
      </c>
      <c r="AF328" s="19" t="str">
        <f t="shared" si="21"/>
        <v>--</v>
      </c>
      <c r="AG328" s="21" t="str">
        <f t="shared" si="22"/>
        <v>--</v>
      </c>
      <c r="AH328" s="19" t="str">
        <f t="shared" si="23"/>
        <v>--</v>
      </c>
    </row>
    <row r="329" spans="1:34" x14ac:dyDescent="0.45">
      <c r="A329" s="7" t="s">
        <v>1342</v>
      </c>
      <c r="B329" s="32" t="s">
        <v>1122</v>
      </c>
      <c r="C329" s="7" t="s">
        <v>1343</v>
      </c>
      <c r="D329" s="8" t="s">
        <v>1344</v>
      </c>
      <c r="E329" s="8" t="s">
        <v>1345</v>
      </c>
      <c r="F329" s="9">
        <v>45659</v>
      </c>
      <c r="G329" s="9">
        <v>46226</v>
      </c>
      <c r="H329" s="9">
        <v>47654</v>
      </c>
      <c r="I329" s="10">
        <v>79.404502868652344</v>
      </c>
      <c r="J329" s="10">
        <v>96.408500671386719</v>
      </c>
      <c r="K329" s="10">
        <v>81.447999999999993</v>
      </c>
      <c r="L329" s="10">
        <v>89.832999999999998</v>
      </c>
      <c r="M329" s="11">
        <v>397</v>
      </c>
      <c r="N329" s="12">
        <v>-2.04349713134765</v>
      </c>
      <c r="O329" s="13">
        <v>-36.689304077148449</v>
      </c>
      <c r="P329" s="13">
        <v>43.829098754882807</v>
      </c>
      <c r="Q329" s="13">
        <v>-3.6328501986640531</v>
      </c>
      <c r="R329" s="14">
        <v>43.028432913746578</v>
      </c>
      <c r="S329" s="13">
        <v>14.960500671386731</v>
      </c>
      <c r="T329" s="13">
        <v>-17.615207397460949</v>
      </c>
      <c r="U329" s="13">
        <v>64.126996093749995</v>
      </c>
      <c r="V329" s="13">
        <v>14.4624324448439</v>
      </c>
      <c r="W329" s="15">
        <v>39.851761608494279</v>
      </c>
      <c r="X329" s="16" t="str">
        <f>IFERROR(_xll.BDP(E329&amp;" Corp","LAST_PRICE"),"--")</f>
        <v>#N/A Requesting Data...</v>
      </c>
      <c r="Y329" s="17" t="str">
        <f>IFERROR(_xll.BDP(E329&amp;" Corp","YAS_BENCHMARK_BOND_ISIN"),"--")</f>
        <v>#N/A Requesting Data...</v>
      </c>
      <c r="Z329" s="18" t="str">
        <f>IFERROR(_xll.BDP(Y329&amp;" CORP","LAST_PRICE"),"--")</f>
        <v>#N/A Requesting Data... CORP</v>
      </c>
      <c r="AA329" s="19" t="str">
        <f>IFERROR(_xll.BDP(E329&amp;" Corp","YAS_YLD_SPREAD","YAS_BOND_PX="&amp;X329,"YAS_BNCHMRK_BOND_PX="&amp;Z329),"--")</f>
        <v>#N/A Requesting Data...</v>
      </c>
      <c r="AB329" s="19" t="str">
        <f>IFERROR(_xll.BDP(E329&amp;" Corp","BLOOMBERG_MID_G_SPREAD","YAS_BOND_PX="&amp;X329,"YAS_BNCHMRK_BOND_PX="&amp;Z329),"--")</f>
        <v>#N/A Requesting Data...</v>
      </c>
      <c r="AC329" s="19" t="str">
        <f>IFERROR(_xll.BDP(D329,"LAST_PRICE"),"--")</f>
        <v>#N/A Requesting Data...</v>
      </c>
      <c r="AD329" s="20"/>
      <c r="AE329" s="19" t="str">
        <f t="shared" si="20"/>
        <v>#N/A Requesting Data...</v>
      </c>
      <c r="AF329" s="19" t="str">
        <f t="shared" si="21"/>
        <v>--</v>
      </c>
      <c r="AG329" s="21" t="str">
        <f t="shared" si="22"/>
        <v>--</v>
      </c>
      <c r="AH329" s="19" t="str">
        <f t="shared" si="23"/>
        <v>--</v>
      </c>
    </row>
    <row r="330" spans="1:34" x14ac:dyDescent="0.45">
      <c r="A330" s="22" t="s">
        <v>1346</v>
      </c>
      <c r="B330" s="32" t="s">
        <v>1122</v>
      </c>
      <c r="C330" s="22" t="s">
        <v>1347</v>
      </c>
      <c r="D330" s="23" t="s">
        <v>1348</v>
      </c>
      <c r="E330" s="23" t="s">
        <v>1349</v>
      </c>
      <c r="F330" s="24">
        <v>45659</v>
      </c>
      <c r="G330" s="24">
        <v>46226</v>
      </c>
      <c r="H330" s="24">
        <v>48019</v>
      </c>
      <c r="I330" s="25">
        <v>194.99980163574219</v>
      </c>
      <c r="J330" s="25">
        <v>194.99980163574219</v>
      </c>
      <c r="K330" s="25">
        <v>202.321</v>
      </c>
      <c r="L330" s="25">
        <v>199.93700000000001</v>
      </c>
      <c r="M330" s="26">
        <v>390</v>
      </c>
      <c r="N330" s="27">
        <v>-7.3211983642578096</v>
      </c>
      <c r="O330" s="28">
        <v>-69.241894409179679</v>
      </c>
      <c r="P330" s="28">
        <v>41.14011376953124</v>
      </c>
      <c r="Q330" s="28">
        <v>-17.818653873697919</v>
      </c>
      <c r="R330" s="29">
        <v>56.096729047247337</v>
      </c>
      <c r="S330" s="28">
        <v>-7.3211983642578096</v>
      </c>
      <c r="T330" s="28">
        <v>-69.241894409179679</v>
      </c>
      <c r="U330" s="28">
        <v>41.14011376953124</v>
      </c>
      <c r="V330" s="28">
        <v>-17.818653873697919</v>
      </c>
      <c r="W330" s="30">
        <v>56.096729047247337</v>
      </c>
      <c r="X330" s="16" t="str">
        <f>IFERROR(_xll.BDP(E330&amp;" Corp","LAST_PRICE"),"--")</f>
        <v>#N/A Requesting Data...</v>
      </c>
      <c r="Y330" s="17" t="str">
        <f>IFERROR(_xll.BDP(E330&amp;" Corp","YAS_BENCHMARK_BOND_ISIN"),"--")</f>
        <v>#N/A Requesting Data...</v>
      </c>
      <c r="Z330" s="18" t="str">
        <f>IFERROR(_xll.BDP(Y330&amp;" CORP","LAST_PRICE"),"--")</f>
        <v>#N/A Requesting Data... CORP</v>
      </c>
      <c r="AA330" s="19" t="str">
        <f>IFERROR(_xll.BDP(E330&amp;" Corp","YAS_YLD_SPREAD","YAS_BOND_PX="&amp;X330,"YAS_BNCHMRK_BOND_PX="&amp;Z330),"--")</f>
        <v>#N/A Requesting Data...</v>
      </c>
      <c r="AB330" s="19" t="str">
        <f>IFERROR(_xll.BDP(E330&amp;" Corp","BLOOMBERG_MID_G_SPREAD","YAS_BOND_PX="&amp;X330,"YAS_BNCHMRK_BOND_PX="&amp;Z330),"--")</f>
        <v>#N/A Requesting Data...</v>
      </c>
      <c r="AC330" s="19" t="str">
        <f>IFERROR(_xll.BDP(D330,"LAST_PRICE"),"--")</f>
        <v>#N/A Requesting Data...</v>
      </c>
      <c r="AD330" s="20"/>
      <c r="AE330" s="19" t="str">
        <f t="shared" si="20"/>
        <v>#N/A Requesting Data...</v>
      </c>
      <c r="AF330" s="19" t="str">
        <f t="shared" si="21"/>
        <v>--</v>
      </c>
      <c r="AG330" s="21" t="str">
        <f t="shared" si="22"/>
        <v>--</v>
      </c>
      <c r="AH330" s="19" t="str">
        <f t="shared" si="23"/>
        <v>--</v>
      </c>
    </row>
    <row r="331" spans="1:34" x14ac:dyDescent="0.45">
      <c r="A331" s="7" t="s">
        <v>1350</v>
      </c>
      <c r="B331" s="32" t="s">
        <v>1122</v>
      </c>
      <c r="C331" s="7" t="s">
        <v>1351</v>
      </c>
      <c r="D331" s="8" t="s">
        <v>1352</v>
      </c>
      <c r="E331" s="8" t="s">
        <v>1353</v>
      </c>
      <c r="F331" s="9">
        <v>45813</v>
      </c>
      <c r="G331" s="9">
        <v>46226</v>
      </c>
      <c r="H331" s="9">
        <v>48019</v>
      </c>
      <c r="I331" s="10">
        <v>179.7510070800781</v>
      </c>
      <c r="J331" s="10">
        <v>179.7510070800781</v>
      </c>
      <c r="K331" s="10">
        <v>163.06399999999999</v>
      </c>
      <c r="L331" s="10">
        <v>167.34200000000001</v>
      </c>
      <c r="M331" s="11">
        <v>289</v>
      </c>
      <c r="N331" s="12">
        <v>16.687007080078128</v>
      </c>
      <c r="O331" s="13">
        <v>-4.2160000000000082</v>
      </c>
      <c r="P331" s="13">
        <v>54.155601806640618</v>
      </c>
      <c r="Q331" s="13">
        <v>23.060724928278411</v>
      </c>
      <c r="R331" s="14">
        <v>35.810233800539827</v>
      </c>
      <c r="S331" s="13">
        <v>16.687007080078128</v>
      </c>
      <c r="T331" s="13">
        <v>-4.2160000000000082</v>
      </c>
      <c r="U331" s="13">
        <v>54.155601806640618</v>
      </c>
      <c r="V331" s="13">
        <v>23.060724928278411</v>
      </c>
      <c r="W331" s="15">
        <v>35.810233800539827</v>
      </c>
      <c r="X331" s="16" t="str">
        <f>IFERROR(_xll.BDP(E331&amp;" Corp","LAST_PRICE"),"--")</f>
        <v>#N/A Requesting Data...</v>
      </c>
      <c r="Y331" s="17" t="str">
        <f>IFERROR(_xll.BDP(E331&amp;" Corp","YAS_BENCHMARK_BOND_ISIN"),"--")</f>
        <v>#N/A Requesting Data...</v>
      </c>
      <c r="Z331" s="18" t="str">
        <f>IFERROR(_xll.BDP(Y331&amp;" CORP","LAST_PRICE"),"--")</f>
        <v>#N/A Requesting Data... CORP</v>
      </c>
      <c r="AA331" s="19" t="str">
        <f>IFERROR(_xll.BDP(E331&amp;" Corp","YAS_YLD_SPREAD","YAS_BOND_PX="&amp;X331,"YAS_BNCHMRK_BOND_PX="&amp;Z331),"--")</f>
        <v>#N/A Requesting Data...</v>
      </c>
      <c r="AB331" s="19" t="str">
        <f>IFERROR(_xll.BDP(E331&amp;" Corp","BLOOMBERG_MID_G_SPREAD","YAS_BOND_PX="&amp;X331,"YAS_BNCHMRK_BOND_PX="&amp;Z331),"--")</f>
        <v>#N/A Requesting Data...</v>
      </c>
      <c r="AC331" s="19" t="str">
        <f>IFERROR(_xll.BDP(D331,"LAST_PRICE"),"--")</f>
        <v>#N/A Requesting Data...</v>
      </c>
      <c r="AD331" s="20"/>
      <c r="AE331" s="19" t="str">
        <f t="shared" si="20"/>
        <v>#N/A Requesting Data...</v>
      </c>
      <c r="AF331" s="19" t="str">
        <f t="shared" si="21"/>
        <v>--</v>
      </c>
      <c r="AG331" s="21" t="str">
        <f t="shared" si="22"/>
        <v>--</v>
      </c>
      <c r="AH331" s="19" t="str">
        <f t="shared" si="23"/>
        <v>--</v>
      </c>
    </row>
    <row r="332" spans="1:34" x14ac:dyDescent="0.45">
      <c r="A332" s="22" t="s">
        <v>1354</v>
      </c>
      <c r="B332" s="32" t="s">
        <v>1122</v>
      </c>
      <c r="C332" s="22" t="s">
        <v>1355</v>
      </c>
      <c r="D332" s="23" t="s">
        <v>1356</v>
      </c>
      <c r="E332" s="23" t="s">
        <v>1357</v>
      </c>
      <c r="F332" s="24">
        <v>45659</v>
      </c>
      <c r="G332" s="24">
        <v>46226</v>
      </c>
      <c r="H332" s="24">
        <v>47654</v>
      </c>
      <c r="I332" s="25">
        <v>1022.397888183594</v>
      </c>
      <c r="J332" s="25">
        <v>1073.642211914062</v>
      </c>
      <c r="K332" s="25">
        <v>891.46699999999998</v>
      </c>
      <c r="L332" s="25">
        <v>1010.092</v>
      </c>
      <c r="M332" s="26">
        <v>397</v>
      </c>
      <c r="N332" s="27">
        <v>130.93088818359379</v>
      </c>
      <c r="O332" s="28">
        <v>-176.3761953124999</v>
      </c>
      <c r="P332" s="28">
        <v>267.33704003906252</v>
      </c>
      <c r="Q332" s="28">
        <v>64.321787438380639</v>
      </c>
      <c r="R332" s="29">
        <v>69.258038528557407</v>
      </c>
      <c r="S332" s="28">
        <v>182.17521191406249</v>
      </c>
      <c r="T332" s="28">
        <v>-128.6564687499999</v>
      </c>
      <c r="U332" s="28">
        <v>321.03955468750002</v>
      </c>
      <c r="V332" s="28">
        <v>92.137027793903485</v>
      </c>
      <c r="W332" s="30">
        <v>69.12039788300747</v>
      </c>
      <c r="X332" s="16" t="str">
        <f>IFERROR(_xll.BDP(E332&amp;" Corp","LAST_PRICE"),"--")</f>
        <v>#N/A Requesting Data...</v>
      </c>
      <c r="Y332" s="17" t="str">
        <f>IFERROR(_xll.BDP(E332&amp;" Corp","YAS_BENCHMARK_BOND_ISIN"),"--")</f>
        <v>#N/A Requesting Data...</v>
      </c>
      <c r="Z332" s="18" t="str">
        <f>IFERROR(_xll.BDP(Y332&amp;" CORP","LAST_PRICE"),"--")</f>
        <v>#N/A Requesting Data... CORP</v>
      </c>
      <c r="AA332" s="19" t="str">
        <f>IFERROR(_xll.BDP(E332&amp;" Corp","YAS_YLD_SPREAD","YAS_BOND_PX="&amp;X332,"YAS_BNCHMRK_BOND_PX="&amp;Z332),"--")</f>
        <v>#N/A Requesting Data...</v>
      </c>
      <c r="AB332" s="19" t="str">
        <f>IFERROR(_xll.BDP(E332&amp;" Corp","BLOOMBERG_MID_G_SPREAD","YAS_BOND_PX="&amp;X332,"YAS_BNCHMRK_BOND_PX="&amp;Z332),"--")</f>
        <v>#N/A Requesting Data...</v>
      </c>
      <c r="AC332" s="19" t="str">
        <f>IFERROR(_xll.BDP(D332,"LAST_PRICE"),"--")</f>
        <v>#N/A Requesting Data...</v>
      </c>
      <c r="AD332" s="20"/>
      <c r="AE332" s="19" t="str">
        <f t="shared" si="20"/>
        <v>#N/A Requesting Data...</v>
      </c>
      <c r="AF332" s="19" t="str">
        <f t="shared" si="21"/>
        <v>--</v>
      </c>
      <c r="AG332" s="21" t="str">
        <f t="shared" si="22"/>
        <v>--</v>
      </c>
      <c r="AH332" s="19" t="str">
        <f t="shared" si="23"/>
        <v>--</v>
      </c>
    </row>
    <row r="333" spans="1:34" x14ac:dyDescent="0.45">
      <c r="A333" s="7" t="s">
        <v>1358</v>
      </c>
      <c r="B333" s="32" t="s">
        <v>1122</v>
      </c>
      <c r="C333" s="7" t="s">
        <v>1359</v>
      </c>
      <c r="D333" s="8" t="s">
        <v>1360</v>
      </c>
      <c r="E333" s="8" t="s">
        <v>1361</v>
      </c>
      <c r="F333" s="9">
        <v>45659</v>
      </c>
      <c r="G333" s="9">
        <v>46226</v>
      </c>
      <c r="H333" s="9">
        <v>48202</v>
      </c>
      <c r="I333" s="10">
        <v>201.44549560546881</v>
      </c>
      <c r="J333" s="10">
        <v>183.89570617675781</v>
      </c>
      <c r="K333" s="10">
        <v>190.46199999999999</v>
      </c>
      <c r="L333" s="10">
        <v>191.76400000000001</v>
      </c>
      <c r="M333" s="11">
        <v>388</v>
      </c>
      <c r="N333" s="12">
        <v>10.983495605468759</v>
      </c>
      <c r="O333" s="13">
        <v>-137.56570245361331</v>
      </c>
      <c r="P333" s="13">
        <v>88.37659936523437</v>
      </c>
      <c r="Q333" s="13">
        <v>-19.77113948531003</v>
      </c>
      <c r="R333" s="14">
        <v>65.746518851606368</v>
      </c>
      <c r="S333" s="13">
        <v>-6.5662938232421766</v>
      </c>
      <c r="T333" s="13">
        <v>-143.04779626464841</v>
      </c>
      <c r="U333" s="13">
        <v>79.25428491210937</v>
      </c>
      <c r="V333" s="13">
        <v>-31.142361224302299</v>
      </c>
      <c r="W333" s="15">
        <v>61.394613005393538</v>
      </c>
      <c r="X333" s="16" t="str">
        <f>IFERROR(_xll.BDP(E333&amp;" Corp","LAST_PRICE"),"--")</f>
        <v>#N/A Requesting Data...</v>
      </c>
      <c r="Y333" s="17" t="str">
        <f>IFERROR(_xll.BDP(E333&amp;" Corp","YAS_BENCHMARK_BOND_ISIN"),"--")</f>
        <v>#N/A Requesting Data...</v>
      </c>
      <c r="Z333" s="18" t="str">
        <f>IFERROR(_xll.BDP(Y333&amp;" CORP","LAST_PRICE"),"--")</f>
        <v>#N/A Requesting Data... CORP</v>
      </c>
      <c r="AA333" s="19" t="str">
        <f>IFERROR(_xll.BDP(E333&amp;" Corp","YAS_YLD_SPREAD","YAS_BOND_PX="&amp;X333,"YAS_BNCHMRK_BOND_PX="&amp;Z333),"--")</f>
        <v>#N/A Requesting Data...</v>
      </c>
      <c r="AB333" s="19" t="str">
        <f>IFERROR(_xll.BDP(E333&amp;" Corp","BLOOMBERG_MID_G_SPREAD","YAS_BOND_PX="&amp;X333,"YAS_BNCHMRK_BOND_PX="&amp;Z333),"--")</f>
        <v>#N/A Requesting Data...</v>
      </c>
      <c r="AC333" s="19" t="str">
        <f>IFERROR(_xll.BDP(D333,"LAST_PRICE"),"--")</f>
        <v>#N/A Requesting Data...</v>
      </c>
      <c r="AD333" s="20"/>
      <c r="AE333" s="19" t="str">
        <f t="shared" si="20"/>
        <v>#N/A Requesting Data...</v>
      </c>
      <c r="AF333" s="19" t="str">
        <f t="shared" si="21"/>
        <v>--</v>
      </c>
      <c r="AG333" s="21" t="str">
        <f t="shared" si="22"/>
        <v>--</v>
      </c>
      <c r="AH333" s="19" t="str">
        <f t="shared" si="23"/>
        <v>--</v>
      </c>
    </row>
    <row r="334" spans="1:34" x14ac:dyDescent="0.45">
      <c r="A334" s="22" t="s">
        <v>1362</v>
      </c>
      <c r="B334" s="32" t="s">
        <v>1122</v>
      </c>
      <c r="C334" s="22" t="s">
        <v>1363</v>
      </c>
      <c r="D334" s="23" t="s">
        <v>1364</v>
      </c>
      <c r="E334" s="23" t="s">
        <v>1365</v>
      </c>
      <c r="F334" s="24">
        <v>45681</v>
      </c>
      <c r="G334" s="24">
        <v>46226</v>
      </c>
      <c r="H334" s="24">
        <v>48385</v>
      </c>
      <c r="I334" s="25">
        <v>184.9501953125</v>
      </c>
      <c r="J334" s="25">
        <v>158.408203125</v>
      </c>
      <c r="K334" s="25">
        <v>123.021</v>
      </c>
      <c r="L334" s="25">
        <v>122.961</v>
      </c>
      <c r="M334" s="26">
        <v>381</v>
      </c>
      <c r="N334" s="27">
        <v>61.929195312499999</v>
      </c>
      <c r="O334" s="28">
        <v>-49.071504150390638</v>
      </c>
      <c r="P334" s="28">
        <v>84.97999548339844</v>
      </c>
      <c r="Q334" s="28">
        <v>21.486665090646021</v>
      </c>
      <c r="R334" s="29">
        <v>82.804518984218618</v>
      </c>
      <c r="S334" s="28">
        <v>35.387203124999999</v>
      </c>
      <c r="T334" s="28">
        <v>-61.068597351074231</v>
      </c>
      <c r="U334" s="28">
        <v>64.597701782226565</v>
      </c>
      <c r="V334" s="28">
        <v>2.072877348972431</v>
      </c>
      <c r="W334" s="30">
        <v>76.755503377845585</v>
      </c>
      <c r="X334" s="16" t="str">
        <f>IFERROR(_xll.BDP(E334&amp;" Corp","LAST_PRICE"),"--")</f>
        <v>#N/A Requesting Data...</v>
      </c>
      <c r="Y334" s="17" t="str">
        <f>IFERROR(_xll.BDP(E334&amp;" Corp","YAS_BENCHMARK_BOND_ISIN"),"--")</f>
        <v>#N/A Requesting Data...</v>
      </c>
      <c r="Z334" s="18" t="str">
        <f>IFERROR(_xll.BDP(Y334&amp;" CORP","LAST_PRICE"),"--")</f>
        <v>#N/A Requesting Data... CORP</v>
      </c>
      <c r="AA334" s="19" t="str">
        <f>IFERROR(_xll.BDP(E334&amp;" Corp","YAS_YLD_SPREAD","YAS_BOND_PX="&amp;X334,"YAS_BNCHMRK_BOND_PX="&amp;Z334),"--")</f>
        <v>#N/A Requesting Data...</v>
      </c>
      <c r="AB334" s="19" t="str">
        <f>IFERROR(_xll.BDP(E334&amp;" Corp","BLOOMBERG_MID_G_SPREAD","YAS_BOND_PX="&amp;X334,"YAS_BNCHMRK_BOND_PX="&amp;Z334),"--")</f>
        <v>#N/A Requesting Data...</v>
      </c>
      <c r="AC334" s="19" t="str">
        <f>IFERROR(_xll.BDP(D334,"LAST_PRICE"),"--")</f>
        <v>#N/A Requesting Data...</v>
      </c>
      <c r="AD334" s="20"/>
      <c r="AE334" s="19" t="str">
        <f t="shared" si="20"/>
        <v>#N/A Requesting Data...</v>
      </c>
      <c r="AF334" s="19" t="str">
        <f t="shared" si="21"/>
        <v>--</v>
      </c>
      <c r="AG334" s="21" t="str">
        <f t="shared" si="22"/>
        <v>--</v>
      </c>
      <c r="AH334" s="19" t="str">
        <f t="shared" si="23"/>
        <v>--</v>
      </c>
    </row>
    <row r="335" spans="1:34" x14ac:dyDescent="0.45">
      <c r="A335" s="7" t="s">
        <v>1366</v>
      </c>
      <c r="B335" s="32" t="s">
        <v>1122</v>
      </c>
      <c r="C335" s="7" t="s">
        <v>1367</v>
      </c>
      <c r="D335" s="8" t="s">
        <v>1368</v>
      </c>
      <c r="E335" s="8" t="s">
        <v>1369</v>
      </c>
      <c r="F335" s="9">
        <v>45828</v>
      </c>
      <c r="G335" s="9">
        <v>46226</v>
      </c>
      <c r="H335" s="9">
        <v>48202</v>
      </c>
      <c r="I335" s="10">
        <v>426.66390991210938</v>
      </c>
      <c r="J335" s="10">
        <v>411.65728759765619</v>
      </c>
      <c r="K335" s="10">
        <v>325.358</v>
      </c>
      <c r="L335" s="10">
        <v>330.07400000000001</v>
      </c>
      <c r="M335" s="11">
        <v>279</v>
      </c>
      <c r="N335" s="12">
        <v>101.3059099121094</v>
      </c>
      <c r="O335" s="13">
        <v>-71.375196777343774</v>
      </c>
      <c r="P335" s="13">
        <v>222.32258642578131</v>
      </c>
      <c r="Q335" s="13">
        <v>70.952049295404919</v>
      </c>
      <c r="R335" s="14">
        <v>58.795509045441023</v>
      </c>
      <c r="S335" s="13">
        <v>86.299287597656246</v>
      </c>
      <c r="T335" s="13">
        <v>-79.613600097656274</v>
      </c>
      <c r="U335" s="13">
        <v>196.9526044921875</v>
      </c>
      <c r="V335" s="13">
        <v>58.756910111184617</v>
      </c>
      <c r="W335" s="15">
        <v>59.99029705793825</v>
      </c>
      <c r="X335" s="16" t="str">
        <f>IFERROR(_xll.BDP(E335&amp;" Corp","LAST_PRICE"),"--")</f>
        <v>#N/A Requesting Data...</v>
      </c>
      <c r="Y335" s="17" t="str">
        <f>IFERROR(_xll.BDP(E335&amp;" Corp","YAS_BENCHMARK_BOND_ISIN"),"--")</f>
        <v>#N/A Requesting Data...</v>
      </c>
      <c r="Z335" s="18" t="str">
        <f>IFERROR(_xll.BDP(Y335&amp;" CORP","LAST_PRICE"),"--")</f>
        <v>#N/A Requesting Data... CORP</v>
      </c>
      <c r="AA335" s="19" t="str">
        <f>IFERROR(_xll.BDP(E335&amp;" Corp","YAS_YLD_SPREAD","YAS_BOND_PX="&amp;X335,"YAS_BNCHMRK_BOND_PX="&amp;Z335),"--")</f>
        <v>#N/A Requesting Data...</v>
      </c>
      <c r="AB335" s="19" t="str">
        <f>IFERROR(_xll.BDP(E335&amp;" Corp","BLOOMBERG_MID_G_SPREAD","YAS_BOND_PX="&amp;X335,"YAS_BNCHMRK_BOND_PX="&amp;Z335),"--")</f>
        <v>#N/A Requesting Data...</v>
      </c>
      <c r="AC335" s="19" t="str">
        <f>IFERROR(_xll.BDP(D335,"LAST_PRICE"),"--")</f>
        <v>#N/A Requesting Data...</v>
      </c>
      <c r="AD335" s="20"/>
      <c r="AE335" s="19" t="str">
        <f t="shared" si="20"/>
        <v>#N/A Requesting Data...</v>
      </c>
      <c r="AF335" s="19" t="str">
        <f t="shared" si="21"/>
        <v>--</v>
      </c>
      <c r="AG335" s="21" t="str">
        <f t="shared" si="22"/>
        <v>--</v>
      </c>
      <c r="AH335" s="19" t="str">
        <f t="shared" si="23"/>
        <v>--</v>
      </c>
    </row>
    <row r="336" spans="1:34" x14ac:dyDescent="0.45">
      <c r="A336" s="22" t="s">
        <v>1370</v>
      </c>
      <c r="B336" s="32" t="s">
        <v>1122</v>
      </c>
      <c r="C336" s="22" t="s">
        <v>1371</v>
      </c>
      <c r="D336" s="23" t="s">
        <v>1372</v>
      </c>
      <c r="E336" s="23" t="s">
        <v>1373</v>
      </c>
      <c r="F336" s="24">
        <v>45925</v>
      </c>
      <c r="G336" s="24">
        <v>46226</v>
      </c>
      <c r="H336" s="24">
        <v>47837</v>
      </c>
      <c r="I336" s="25">
        <v>57.083000183105469</v>
      </c>
      <c r="J336" s="25">
        <v>63.594799041748047</v>
      </c>
      <c r="K336" s="25">
        <v>64.572000000000003</v>
      </c>
      <c r="L336" s="25">
        <v>66.808999999999997</v>
      </c>
      <c r="M336" s="26">
        <v>210</v>
      </c>
      <c r="N336" s="27">
        <v>-7.488999816894534</v>
      </c>
      <c r="O336" s="28">
        <v>-35.480600646972647</v>
      </c>
      <c r="P336" s="28">
        <v>8.6467966308593702</v>
      </c>
      <c r="Q336" s="28">
        <v>-15.67030367882138</v>
      </c>
      <c r="R336" s="29">
        <v>63.433609405601779</v>
      </c>
      <c r="S336" s="28">
        <v>-0.97720095825195585</v>
      </c>
      <c r="T336" s="28">
        <v>-25.884800781249989</v>
      </c>
      <c r="U336" s="28">
        <v>21.704492797851561</v>
      </c>
      <c r="V336" s="28">
        <v>-3.5705194090343659</v>
      </c>
      <c r="W336" s="30">
        <v>52.338662648138168</v>
      </c>
      <c r="X336" s="16" t="str">
        <f>IFERROR(_xll.BDP(E336&amp;" Corp","LAST_PRICE"),"--")</f>
        <v>#N/A Requesting Data...</v>
      </c>
      <c r="Y336" s="17" t="str">
        <f>IFERROR(_xll.BDP(E336&amp;" Corp","YAS_BENCHMARK_BOND_ISIN"),"--")</f>
        <v>#N/A Requesting Data...</v>
      </c>
      <c r="Z336" s="18" t="str">
        <f>IFERROR(_xll.BDP(Y336&amp;" CORP","LAST_PRICE"),"--")</f>
        <v>#N/A Requesting Data... CORP</v>
      </c>
      <c r="AA336" s="19" t="str">
        <f>IFERROR(_xll.BDP(E336&amp;" Corp","YAS_YLD_SPREAD","YAS_BOND_PX="&amp;X336,"YAS_BNCHMRK_BOND_PX="&amp;Z336),"--")</f>
        <v>#N/A Requesting Data...</v>
      </c>
      <c r="AB336" s="19" t="str">
        <f>IFERROR(_xll.BDP(E336&amp;" Corp","BLOOMBERG_MID_G_SPREAD","YAS_BOND_PX="&amp;X336,"YAS_BNCHMRK_BOND_PX="&amp;Z336),"--")</f>
        <v>#N/A Requesting Data...</v>
      </c>
      <c r="AC336" s="19" t="str">
        <f>IFERROR(_xll.BDP(D336,"LAST_PRICE"),"--")</f>
        <v>#N/A Requesting Data...</v>
      </c>
      <c r="AD336" s="20"/>
      <c r="AE336" s="19" t="str">
        <f t="shared" si="20"/>
        <v>#N/A Requesting Data...</v>
      </c>
      <c r="AF336" s="19" t="str">
        <f t="shared" si="21"/>
        <v>--</v>
      </c>
      <c r="AG336" s="21" t="str">
        <f t="shared" si="22"/>
        <v>--</v>
      </c>
      <c r="AH336" s="19" t="str">
        <f t="shared" si="23"/>
        <v>--</v>
      </c>
    </row>
    <row r="337" spans="1:34" x14ac:dyDescent="0.45">
      <c r="A337" s="7" t="s">
        <v>1374</v>
      </c>
      <c r="B337" s="32" t="s">
        <v>1122</v>
      </c>
      <c r="C337" s="7" t="s">
        <v>1375</v>
      </c>
      <c r="D337" s="8" t="s">
        <v>1376</v>
      </c>
      <c r="E337" s="8" t="s">
        <v>1377</v>
      </c>
      <c r="F337" s="9">
        <v>45659</v>
      </c>
      <c r="G337" s="9">
        <v>46226</v>
      </c>
      <c r="H337" s="9">
        <v>47472</v>
      </c>
      <c r="I337" s="10">
        <v>206.2615051269531</v>
      </c>
      <c r="J337" s="10">
        <v>289.81570434570313</v>
      </c>
      <c r="K337" s="10">
        <v>142.68799999999999</v>
      </c>
      <c r="L337" s="10">
        <v>145.227</v>
      </c>
      <c r="M337" s="11">
        <v>390</v>
      </c>
      <c r="N337" s="12">
        <v>63.573505126953137</v>
      </c>
      <c r="O337" s="13">
        <v>-63.099800537109388</v>
      </c>
      <c r="P337" s="13">
        <v>86.664096191406244</v>
      </c>
      <c r="Q337" s="13">
        <v>25.16616354197966</v>
      </c>
      <c r="R337" s="14">
        <v>84.582004362299301</v>
      </c>
      <c r="S337" s="13">
        <v>147.12770434570311</v>
      </c>
      <c r="T337" s="13">
        <v>-9.5210012207031127</v>
      </c>
      <c r="U337" s="13">
        <v>152.52780468750001</v>
      </c>
      <c r="V337" s="13">
        <v>86.26128565924229</v>
      </c>
      <c r="W337" s="15">
        <v>96.667608680278761</v>
      </c>
      <c r="X337" s="16" t="str">
        <f>IFERROR(_xll.BDP(E337&amp;" Corp","LAST_PRICE"),"--")</f>
        <v>#N/A Requesting Data...</v>
      </c>
      <c r="Y337" s="17" t="str">
        <f>IFERROR(_xll.BDP(E337&amp;" Corp","YAS_BENCHMARK_BOND_ISIN"),"--")</f>
        <v>#N/A Requesting Data...</v>
      </c>
      <c r="Z337" s="18" t="str">
        <f>IFERROR(_xll.BDP(Y337&amp;" CORP","LAST_PRICE"),"--")</f>
        <v>#N/A Requesting Data... CORP</v>
      </c>
      <c r="AA337" s="19" t="str">
        <f>IFERROR(_xll.BDP(E337&amp;" Corp","YAS_YLD_SPREAD","YAS_BOND_PX="&amp;X337,"YAS_BNCHMRK_BOND_PX="&amp;Z337),"--")</f>
        <v>#N/A Requesting Data...</v>
      </c>
      <c r="AB337" s="19" t="str">
        <f>IFERROR(_xll.BDP(E337&amp;" Corp","BLOOMBERG_MID_G_SPREAD","YAS_BOND_PX="&amp;X337,"YAS_BNCHMRK_BOND_PX="&amp;Z337),"--")</f>
        <v>#N/A Requesting Data...</v>
      </c>
      <c r="AC337" s="19" t="str">
        <f>IFERROR(_xll.BDP(D337,"LAST_PRICE"),"--")</f>
        <v>#N/A Requesting Data...</v>
      </c>
      <c r="AD337" s="20"/>
      <c r="AE337" s="19" t="str">
        <f t="shared" si="20"/>
        <v>#N/A Requesting Data...</v>
      </c>
      <c r="AF337" s="19" t="str">
        <f t="shared" si="21"/>
        <v>--</v>
      </c>
      <c r="AG337" s="21" t="str">
        <f t="shared" si="22"/>
        <v>--</v>
      </c>
      <c r="AH337" s="19" t="str">
        <f t="shared" si="23"/>
        <v>--</v>
      </c>
    </row>
    <row r="338" spans="1:34" x14ac:dyDescent="0.45">
      <c r="A338" s="22" t="s">
        <v>1378</v>
      </c>
      <c r="B338" s="32" t="s">
        <v>1122</v>
      </c>
      <c r="C338" s="22" t="s">
        <v>1379</v>
      </c>
      <c r="D338" s="23" t="s">
        <v>1380</v>
      </c>
      <c r="E338" s="23" t="s">
        <v>1381</v>
      </c>
      <c r="F338" s="24">
        <v>46044</v>
      </c>
      <c r="G338" s="24">
        <v>46226</v>
      </c>
      <c r="H338" s="24">
        <v>47654</v>
      </c>
      <c r="I338" s="25">
        <v>234.64149475097659</v>
      </c>
      <c r="J338" s="25">
        <v>290.9927978515625</v>
      </c>
      <c r="K338" s="25">
        <v>169.898</v>
      </c>
      <c r="L338" s="25">
        <v>166.78299999999999</v>
      </c>
      <c r="M338" s="26">
        <v>128</v>
      </c>
      <c r="N338" s="27">
        <v>64.743494750976566</v>
      </c>
      <c r="O338" s="28">
        <v>5.0532104492187386</v>
      </c>
      <c r="P338" s="28">
        <v>87.09549438476563</v>
      </c>
      <c r="Q338" s="28">
        <v>51.562781282424922</v>
      </c>
      <c r="R338" s="29">
        <v>72.755512692273442</v>
      </c>
      <c r="S338" s="28">
        <v>121.0947978515625</v>
      </c>
      <c r="T338" s="28">
        <v>53.738401123046877</v>
      </c>
      <c r="U338" s="28">
        <v>153.995</v>
      </c>
      <c r="V338" s="28">
        <v>105.9365653476715</v>
      </c>
      <c r="W338" s="30">
        <v>67.184003330477466</v>
      </c>
      <c r="X338" s="16" t="str">
        <f>IFERROR(_xll.BDP(E338&amp;" Corp","LAST_PRICE"),"--")</f>
        <v>#N/A Requesting Data...</v>
      </c>
      <c r="Y338" s="17" t="str">
        <f>IFERROR(_xll.BDP(E338&amp;" Corp","YAS_BENCHMARK_BOND_ISIN"),"--")</f>
        <v>#N/A Requesting Data...</v>
      </c>
      <c r="Z338" s="18" t="str">
        <f>IFERROR(_xll.BDP(Y338&amp;" CORP","LAST_PRICE"),"--")</f>
        <v>#N/A Requesting Data... CORP</v>
      </c>
      <c r="AA338" s="19" t="str">
        <f>IFERROR(_xll.BDP(E338&amp;" Corp","YAS_YLD_SPREAD","YAS_BOND_PX="&amp;X338,"YAS_BNCHMRK_BOND_PX="&amp;Z338),"--")</f>
        <v>#N/A Requesting Data...</v>
      </c>
      <c r="AB338" s="19" t="str">
        <f>IFERROR(_xll.BDP(E338&amp;" Corp","BLOOMBERG_MID_G_SPREAD","YAS_BOND_PX="&amp;X338,"YAS_BNCHMRK_BOND_PX="&amp;Z338),"--")</f>
        <v>#N/A Requesting Data...</v>
      </c>
      <c r="AC338" s="19" t="str">
        <f>IFERROR(_xll.BDP(D338,"LAST_PRICE"),"--")</f>
        <v>#N/A Requesting Data...</v>
      </c>
      <c r="AD338" s="20"/>
      <c r="AE338" s="19" t="str">
        <f t="shared" si="20"/>
        <v>#N/A Requesting Data...</v>
      </c>
      <c r="AF338" s="19" t="str">
        <f t="shared" si="21"/>
        <v>--</v>
      </c>
      <c r="AG338" s="21" t="str">
        <f t="shared" si="22"/>
        <v>--</v>
      </c>
      <c r="AH338" s="19" t="str">
        <f t="shared" si="23"/>
        <v>--</v>
      </c>
    </row>
    <row r="339" spans="1:34" x14ac:dyDescent="0.45">
      <c r="A339" s="7" t="s">
        <v>1382</v>
      </c>
      <c r="B339" s="32" t="s">
        <v>1122</v>
      </c>
      <c r="C339" s="7" t="s">
        <v>1383</v>
      </c>
      <c r="D339" s="8" t="s">
        <v>1384</v>
      </c>
      <c r="E339" s="8" t="s">
        <v>1385</v>
      </c>
      <c r="F339" s="9">
        <v>45659</v>
      </c>
      <c r="G339" s="9">
        <v>46226</v>
      </c>
      <c r="H339" s="9">
        <v>47289</v>
      </c>
      <c r="I339" s="10">
        <v>159.6459045410156</v>
      </c>
      <c r="J339" s="10">
        <v>268.67840576171881</v>
      </c>
      <c r="K339" s="10">
        <v>162.71</v>
      </c>
      <c r="L339" s="10">
        <v>127.30200000000001</v>
      </c>
      <c r="M339" s="11">
        <v>397</v>
      </c>
      <c r="N339" s="12">
        <v>-3.064095458984383</v>
      </c>
      <c r="O339" s="13">
        <v>-111.55460620117189</v>
      </c>
      <c r="P339" s="13">
        <v>391.09939916992192</v>
      </c>
      <c r="Q339" s="13">
        <v>58.889291125396042</v>
      </c>
      <c r="R339" s="14">
        <v>21.583536504815541</v>
      </c>
      <c r="S339" s="13">
        <v>105.9684057617187</v>
      </c>
      <c r="T339" s="13">
        <v>-8.2508144531249741</v>
      </c>
      <c r="U339" s="13">
        <v>483.08360632324218</v>
      </c>
      <c r="V339" s="13">
        <v>151.02439932366281</v>
      </c>
      <c r="W339" s="15">
        <v>23.246736923980151</v>
      </c>
      <c r="X339" s="16" t="str">
        <f>IFERROR(_xll.BDP(E339&amp;" Corp","LAST_PRICE"),"--")</f>
        <v>#N/A Requesting Data...</v>
      </c>
      <c r="Y339" s="17" t="str">
        <f>IFERROR(_xll.BDP(E339&amp;" Corp","YAS_BENCHMARK_BOND_ISIN"),"--")</f>
        <v>#N/A Requesting Data...</v>
      </c>
      <c r="Z339" s="18" t="str">
        <f>IFERROR(_xll.BDP(Y339&amp;" CORP","LAST_PRICE"),"--")</f>
        <v>#N/A Requesting Data... CORP</v>
      </c>
      <c r="AA339" s="19" t="str">
        <f>IFERROR(_xll.BDP(E339&amp;" Corp","YAS_YLD_SPREAD","YAS_BOND_PX="&amp;X339,"YAS_BNCHMRK_BOND_PX="&amp;Z339),"--")</f>
        <v>#N/A Requesting Data...</v>
      </c>
      <c r="AB339" s="19" t="str">
        <f>IFERROR(_xll.BDP(E339&amp;" Corp","BLOOMBERG_MID_G_SPREAD","YAS_BOND_PX="&amp;X339,"YAS_BNCHMRK_BOND_PX="&amp;Z339),"--")</f>
        <v>#N/A Requesting Data...</v>
      </c>
      <c r="AC339" s="19" t="str">
        <f>IFERROR(_xll.BDP(D339,"LAST_PRICE"),"--")</f>
        <v>#N/A Requesting Data...</v>
      </c>
      <c r="AD339" s="20"/>
      <c r="AE339" s="19" t="str">
        <f t="shared" si="20"/>
        <v>#N/A Requesting Data...</v>
      </c>
      <c r="AF339" s="19" t="str">
        <f t="shared" si="21"/>
        <v>--</v>
      </c>
      <c r="AG339" s="21" t="str">
        <f t="shared" si="22"/>
        <v>--</v>
      </c>
      <c r="AH339" s="19" t="str">
        <f t="shared" si="23"/>
        <v>--</v>
      </c>
    </row>
    <row r="340" spans="1:34" x14ac:dyDescent="0.45">
      <c r="A340" s="22" t="s">
        <v>1386</v>
      </c>
      <c r="B340" s="32" t="s">
        <v>1122</v>
      </c>
      <c r="C340" s="22" t="s">
        <v>1387</v>
      </c>
      <c r="D340" s="23" t="s">
        <v>1388</v>
      </c>
      <c r="E340" s="23" t="s">
        <v>1389</v>
      </c>
      <c r="F340" s="24">
        <v>45659</v>
      </c>
      <c r="G340" s="24">
        <v>46226</v>
      </c>
      <c r="H340" s="24">
        <v>47654</v>
      </c>
      <c r="I340" s="25">
        <v>95.209396362304688</v>
      </c>
      <c r="J340" s="25">
        <v>108.6882019042969</v>
      </c>
      <c r="K340" s="25">
        <v>137.02500000000001</v>
      </c>
      <c r="L340" s="25">
        <v>-4.226</v>
      </c>
      <c r="M340" s="26">
        <v>397</v>
      </c>
      <c r="N340" s="27">
        <v>-41.815603637695318</v>
      </c>
      <c r="O340" s="28">
        <v>-113.4783011474609</v>
      </c>
      <c r="P340" s="28">
        <v>199.67599877929689</v>
      </c>
      <c r="Q340" s="28">
        <v>60.794628111409303</v>
      </c>
      <c r="R340" s="29">
        <v>22.884149292066709</v>
      </c>
      <c r="S340" s="28">
        <v>-28.336798095703131</v>
      </c>
      <c r="T340" s="28">
        <v>-100.43129644775389</v>
      </c>
      <c r="U340" s="28">
        <v>218.30800256347661</v>
      </c>
      <c r="V340" s="28">
        <v>96.374653484046618</v>
      </c>
      <c r="W340" s="30">
        <v>22.618641182840339</v>
      </c>
      <c r="X340" s="16" t="str">
        <f>IFERROR(_xll.BDP(E340&amp;" Corp","LAST_PRICE"),"--")</f>
        <v>#N/A Requesting Data...</v>
      </c>
      <c r="Y340" s="17" t="str">
        <f>IFERROR(_xll.BDP(E340&amp;" Corp","YAS_BENCHMARK_BOND_ISIN"),"--")</f>
        <v>#N/A Requesting Data...</v>
      </c>
      <c r="Z340" s="18" t="str">
        <f>IFERROR(_xll.BDP(Y340&amp;" CORP","LAST_PRICE"),"--")</f>
        <v>#N/A Requesting Data... CORP</v>
      </c>
      <c r="AA340" s="19" t="str">
        <f>IFERROR(_xll.BDP(E340&amp;" Corp","YAS_YLD_SPREAD","YAS_BOND_PX="&amp;X340,"YAS_BNCHMRK_BOND_PX="&amp;Z340),"--")</f>
        <v>#N/A Requesting Data...</v>
      </c>
      <c r="AB340" s="19" t="str">
        <f>IFERROR(_xll.BDP(E340&amp;" Corp","BLOOMBERG_MID_G_SPREAD","YAS_BOND_PX="&amp;X340,"YAS_BNCHMRK_BOND_PX="&amp;Z340),"--")</f>
        <v>#N/A Requesting Data...</v>
      </c>
      <c r="AC340" s="19" t="str">
        <f>IFERROR(_xll.BDP(D340,"LAST_PRICE"),"--")</f>
        <v>#N/A Requesting Data...</v>
      </c>
      <c r="AD340" s="20"/>
      <c r="AE340" s="19" t="str">
        <f t="shared" si="20"/>
        <v>#N/A Requesting Data...</v>
      </c>
      <c r="AF340" s="19" t="str">
        <f t="shared" si="21"/>
        <v>--</v>
      </c>
      <c r="AG340" s="21" t="str">
        <f t="shared" si="22"/>
        <v>--</v>
      </c>
      <c r="AH340" s="19" t="str">
        <f t="shared" si="23"/>
        <v>--</v>
      </c>
    </row>
    <row r="341" spans="1:34" x14ac:dyDescent="0.45">
      <c r="A341" s="7" t="s">
        <v>1390</v>
      </c>
      <c r="B341" s="32" t="s">
        <v>1122</v>
      </c>
      <c r="C341" s="7" t="s">
        <v>1391</v>
      </c>
      <c r="D341" s="8" t="s">
        <v>1392</v>
      </c>
      <c r="E341" s="8" t="s">
        <v>1393</v>
      </c>
      <c r="F341" s="9">
        <v>45659</v>
      </c>
      <c r="G341" s="9">
        <v>46226</v>
      </c>
      <c r="H341" s="9">
        <v>47837</v>
      </c>
      <c r="I341" s="10">
        <v>1048.01025390625</v>
      </c>
      <c r="J341" s="10">
        <v>1038.220947265625</v>
      </c>
      <c r="K341" s="10">
        <v>1107.8430000000001</v>
      </c>
      <c r="L341" s="10">
        <v>1099.5820000000001</v>
      </c>
      <c r="M341" s="11">
        <v>396</v>
      </c>
      <c r="N341" s="12">
        <v>-59.832746093750067</v>
      </c>
      <c r="O341" s="13">
        <v>-173.50397412109371</v>
      </c>
      <c r="P341" s="13">
        <v>165.41610791015631</v>
      </c>
      <c r="Q341" s="13">
        <v>69.113574533790057</v>
      </c>
      <c r="R341" s="14">
        <v>33.539242450927603</v>
      </c>
      <c r="S341" s="13">
        <v>-69.622052734375075</v>
      </c>
      <c r="T341" s="13">
        <v>-148.41840283203121</v>
      </c>
      <c r="U341" s="13">
        <v>193.83200146484381</v>
      </c>
      <c r="V341" s="13">
        <v>101.14774096618039</v>
      </c>
      <c r="W341" s="15">
        <v>23.023011546045279</v>
      </c>
      <c r="X341" s="16" t="str">
        <f>IFERROR(_xll.BDP(E341&amp;" Corp","LAST_PRICE"),"--")</f>
        <v>#N/A Requesting Data...</v>
      </c>
      <c r="Y341" s="17" t="str">
        <f>IFERROR(_xll.BDP(E341&amp;" Corp","YAS_BENCHMARK_BOND_ISIN"),"--")</f>
        <v>#N/A Requesting Data...</v>
      </c>
      <c r="Z341" s="18" t="str">
        <f>IFERROR(_xll.BDP(Y341&amp;" CORP","LAST_PRICE"),"--")</f>
        <v>#N/A Requesting Data... CORP</v>
      </c>
      <c r="AA341" s="19" t="str">
        <f>IFERROR(_xll.BDP(E341&amp;" Corp","YAS_YLD_SPREAD","YAS_BOND_PX="&amp;X341,"YAS_BNCHMRK_BOND_PX="&amp;Z341),"--")</f>
        <v>#N/A Requesting Data...</v>
      </c>
      <c r="AB341" s="19" t="str">
        <f>IFERROR(_xll.BDP(E341&amp;" Corp","BLOOMBERG_MID_G_SPREAD","YAS_BOND_PX="&amp;X341,"YAS_BNCHMRK_BOND_PX="&amp;Z341),"--")</f>
        <v>#N/A Requesting Data...</v>
      </c>
      <c r="AC341" s="19" t="str">
        <f>IFERROR(_xll.BDP(D341,"LAST_PRICE"),"--")</f>
        <v>#N/A Requesting Data...</v>
      </c>
      <c r="AD341" s="20"/>
      <c r="AE341" s="19" t="str">
        <f t="shared" si="20"/>
        <v>#N/A Requesting Data...</v>
      </c>
      <c r="AF341" s="19" t="str">
        <f t="shared" si="21"/>
        <v>--</v>
      </c>
      <c r="AG341" s="21" t="str">
        <f t="shared" si="22"/>
        <v>--</v>
      </c>
      <c r="AH341" s="19" t="str">
        <f t="shared" si="23"/>
        <v>--</v>
      </c>
    </row>
    <row r="342" spans="1:34" x14ac:dyDescent="0.45">
      <c r="A342" s="22" t="s">
        <v>1394</v>
      </c>
      <c r="B342" s="32" t="s">
        <v>1122</v>
      </c>
      <c r="C342" s="22" t="s">
        <v>1395</v>
      </c>
      <c r="D342" s="23" t="s">
        <v>1396</v>
      </c>
      <c r="E342" s="23" t="s">
        <v>1397</v>
      </c>
      <c r="F342" s="24">
        <v>45659</v>
      </c>
      <c r="G342" s="24">
        <v>46226</v>
      </c>
      <c r="H342" s="24">
        <v>47654</v>
      </c>
      <c r="I342" s="25">
        <v>146.0993957519531</v>
      </c>
      <c r="J342" s="25">
        <v>187.4208068847656</v>
      </c>
      <c r="K342" s="25">
        <v>98.311999999999998</v>
      </c>
      <c r="L342" s="25">
        <v>103.26300000000001</v>
      </c>
      <c r="M342" s="26">
        <v>397</v>
      </c>
      <c r="N342" s="27">
        <v>47.787395751953127</v>
      </c>
      <c r="O342" s="28">
        <v>-33.971488525390612</v>
      </c>
      <c r="P342" s="28">
        <v>59.400292724609393</v>
      </c>
      <c r="Q342" s="28">
        <v>27.736327943278202</v>
      </c>
      <c r="R342" s="29">
        <v>87.562733818300956</v>
      </c>
      <c r="S342" s="28">
        <v>89.108806884765627</v>
      </c>
      <c r="T342" s="28">
        <v>6.8670124511718882</v>
      </c>
      <c r="U342" s="28">
        <v>101.6786130371094</v>
      </c>
      <c r="V342" s="28">
        <v>65.723882728864936</v>
      </c>
      <c r="W342" s="30">
        <v>86.742333137862758</v>
      </c>
      <c r="X342" s="16" t="str">
        <f>IFERROR(_xll.BDP(E342&amp;" Corp","LAST_PRICE"),"--")</f>
        <v>#N/A Requesting Data...</v>
      </c>
      <c r="Y342" s="17" t="str">
        <f>IFERROR(_xll.BDP(E342&amp;" Corp","YAS_BENCHMARK_BOND_ISIN"),"--")</f>
        <v>#N/A Requesting Data...</v>
      </c>
      <c r="Z342" s="18" t="str">
        <f>IFERROR(_xll.BDP(Y342&amp;" CORP","LAST_PRICE"),"--")</f>
        <v>#N/A Requesting Data... CORP</v>
      </c>
      <c r="AA342" s="19" t="str">
        <f>IFERROR(_xll.BDP(E342&amp;" Corp","YAS_YLD_SPREAD","YAS_BOND_PX="&amp;X342,"YAS_BNCHMRK_BOND_PX="&amp;Z342),"--")</f>
        <v>#N/A Requesting Data...</v>
      </c>
      <c r="AB342" s="19" t="str">
        <f>IFERROR(_xll.BDP(E342&amp;" Corp","BLOOMBERG_MID_G_SPREAD","YAS_BOND_PX="&amp;X342,"YAS_BNCHMRK_BOND_PX="&amp;Z342),"--")</f>
        <v>#N/A Requesting Data...</v>
      </c>
      <c r="AC342" s="19" t="str">
        <f>IFERROR(_xll.BDP(D342,"LAST_PRICE"),"--")</f>
        <v>#N/A Requesting Data...</v>
      </c>
      <c r="AD342" s="20"/>
      <c r="AE342" s="19" t="str">
        <f t="shared" si="20"/>
        <v>#N/A Requesting Data...</v>
      </c>
      <c r="AF342" s="19" t="str">
        <f t="shared" si="21"/>
        <v>--</v>
      </c>
      <c r="AG342" s="21" t="str">
        <f t="shared" si="22"/>
        <v>--</v>
      </c>
      <c r="AH342" s="19" t="str">
        <f t="shared" si="23"/>
        <v>--</v>
      </c>
    </row>
    <row r="343" spans="1:34" x14ac:dyDescent="0.45">
      <c r="A343" s="7" t="s">
        <v>1398</v>
      </c>
      <c r="B343" s="32" t="s">
        <v>1122</v>
      </c>
      <c r="C343" s="7" t="s">
        <v>1399</v>
      </c>
      <c r="D343" s="8" t="s">
        <v>1400</v>
      </c>
      <c r="E343" s="8" t="s">
        <v>1401</v>
      </c>
      <c r="F343" s="9">
        <v>46044</v>
      </c>
      <c r="G343" s="9">
        <v>46226</v>
      </c>
      <c r="H343" s="9">
        <v>47654</v>
      </c>
      <c r="I343" s="10">
        <v>1097.337524414062</v>
      </c>
      <c r="J343" s="10">
        <v>1065.722290039062</v>
      </c>
      <c r="K343" s="10">
        <v>678.03200000000004</v>
      </c>
      <c r="L343" s="10">
        <v>648.94799999999998</v>
      </c>
      <c r="M343" s="11">
        <v>128</v>
      </c>
      <c r="N343" s="12">
        <v>419.30552441406252</v>
      </c>
      <c r="O343" s="13">
        <v>222.86661523437499</v>
      </c>
      <c r="P343" s="13">
        <v>516.49605859375004</v>
      </c>
      <c r="Q343" s="13">
        <v>376.71787059783941</v>
      </c>
      <c r="R343" s="14">
        <v>66.900276393353565</v>
      </c>
      <c r="S343" s="13">
        <v>387.69029003906252</v>
      </c>
      <c r="T343" s="13">
        <v>193.17331689453121</v>
      </c>
      <c r="U343" s="13">
        <v>508.47286523437498</v>
      </c>
      <c r="V343" s="13">
        <v>364.91161573410039</v>
      </c>
      <c r="W343" s="15">
        <v>61.692753500196019</v>
      </c>
      <c r="X343" s="16" t="str">
        <f>IFERROR(_xll.BDP(E343&amp;" Corp","LAST_PRICE"),"--")</f>
        <v>#N/A Requesting Data...</v>
      </c>
      <c r="Y343" s="17" t="str">
        <f>IFERROR(_xll.BDP(E343&amp;" Corp","YAS_BENCHMARK_BOND_ISIN"),"--")</f>
        <v>#N/A Requesting Data...</v>
      </c>
      <c r="Z343" s="18" t="str">
        <f>IFERROR(_xll.BDP(Y343&amp;" CORP","LAST_PRICE"),"--")</f>
        <v>#N/A Requesting Data... CORP</v>
      </c>
      <c r="AA343" s="19" t="str">
        <f>IFERROR(_xll.BDP(E343&amp;" Corp","YAS_YLD_SPREAD","YAS_BOND_PX="&amp;X343,"YAS_BNCHMRK_BOND_PX="&amp;Z343),"--")</f>
        <v>#N/A Requesting Data...</v>
      </c>
      <c r="AB343" s="19" t="str">
        <f>IFERROR(_xll.BDP(E343&amp;" Corp","BLOOMBERG_MID_G_SPREAD","YAS_BOND_PX="&amp;X343,"YAS_BNCHMRK_BOND_PX="&amp;Z343),"--")</f>
        <v>#N/A Requesting Data...</v>
      </c>
      <c r="AC343" s="19" t="str">
        <f>IFERROR(_xll.BDP(D343,"LAST_PRICE"),"--")</f>
        <v>#N/A Requesting Data...</v>
      </c>
      <c r="AD343" s="20"/>
      <c r="AE343" s="19" t="str">
        <f t="shared" si="20"/>
        <v>#N/A Requesting Data...</v>
      </c>
      <c r="AF343" s="19" t="str">
        <f t="shared" si="21"/>
        <v>--</v>
      </c>
      <c r="AG343" s="21" t="str">
        <f t="shared" si="22"/>
        <v>--</v>
      </c>
      <c r="AH343" s="19" t="str">
        <f t="shared" si="23"/>
        <v>--</v>
      </c>
    </row>
    <row r="344" spans="1:34" x14ac:dyDescent="0.45">
      <c r="A344" s="22" t="s">
        <v>1402</v>
      </c>
      <c r="B344" s="32" t="s">
        <v>1122</v>
      </c>
      <c r="C344" s="22" t="s">
        <v>1403</v>
      </c>
      <c r="D344" s="23" t="s">
        <v>1404</v>
      </c>
      <c r="E344" s="23" t="s">
        <v>1405</v>
      </c>
      <c r="F344" s="24">
        <v>46202</v>
      </c>
      <c r="G344" s="24">
        <v>46226</v>
      </c>
      <c r="H344" s="24">
        <v>48385</v>
      </c>
      <c r="I344" s="25">
        <v>186.6694030761719</v>
      </c>
      <c r="J344" s="25">
        <v>162.49940490722659</v>
      </c>
      <c r="K344" s="25">
        <v>141.18199999999999</v>
      </c>
      <c r="L344" s="25">
        <v>146.50200000000001</v>
      </c>
      <c r="M344" s="26">
        <v>19</v>
      </c>
      <c r="N344" s="27">
        <v>45.487403076171887</v>
      </c>
      <c r="O344" s="28">
        <v>15.21760302734376</v>
      </c>
      <c r="P344" s="28">
        <v>47.573996459960938</v>
      </c>
      <c r="Q344" s="28">
        <v>30.64674027292352</v>
      </c>
      <c r="R344" s="29">
        <v>93.551217665422385</v>
      </c>
      <c r="S344" s="28">
        <v>21.317404907226571</v>
      </c>
      <c r="T344" s="28">
        <v>-3.5460993652343689</v>
      </c>
      <c r="U344" s="28">
        <v>27.809805786132809</v>
      </c>
      <c r="V344" s="28">
        <v>11.43163230494449</v>
      </c>
      <c r="W344" s="30">
        <v>79.294487441632171</v>
      </c>
      <c r="X344" s="16" t="str">
        <f>IFERROR(_xll.BDP(E344&amp;" Corp","LAST_PRICE"),"--")</f>
        <v>#N/A Requesting Data...</v>
      </c>
      <c r="Y344" s="17" t="str">
        <f>IFERROR(_xll.BDP(E344&amp;" Corp","YAS_BENCHMARK_BOND_ISIN"),"--")</f>
        <v>#N/A Requesting Data...</v>
      </c>
      <c r="Z344" s="18" t="str">
        <f>IFERROR(_xll.BDP(Y344&amp;" CORP","LAST_PRICE"),"--")</f>
        <v>#N/A Requesting Data... CORP</v>
      </c>
      <c r="AA344" s="19" t="str">
        <f>IFERROR(_xll.BDP(E344&amp;" Corp","YAS_YLD_SPREAD","YAS_BOND_PX="&amp;X344,"YAS_BNCHMRK_BOND_PX="&amp;Z344),"--")</f>
        <v>#N/A Requesting Data...</v>
      </c>
      <c r="AB344" s="19" t="str">
        <f>IFERROR(_xll.BDP(E344&amp;" Corp","BLOOMBERG_MID_G_SPREAD","YAS_BOND_PX="&amp;X344,"YAS_BNCHMRK_BOND_PX="&amp;Z344),"--")</f>
        <v>#N/A Requesting Data...</v>
      </c>
      <c r="AC344" s="19" t="str">
        <f>IFERROR(_xll.BDP(D344,"LAST_PRICE"),"--")</f>
        <v>#N/A Requesting Data...</v>
      </c>
      <c r="AD344" s="20"/>
      <c r="AE344" s="19" t="str">
        <f t="shared" si="20"/>
        <v>#N/A Requesting Data...</v>
      </c>
      <c r="AF344" s="19" t="str">
        <f t="shared" si="21"/>
        <v>--</v>
      </c>
      <c r="AG344" s="21" t="str">
        <f t="shared" si="22"/>
        <v>--</v>
      </c>
      <c r="AH344" s="19" t="str">
        <f t="shared" si="23"/>
        <v>--</v>
      </c>
    </row>
    <row r="345" spans="1:34" x14ac:dyDescent="0.45">
      <c r="A345" s="7" t="s">
        <v>1406</v>
      </c>
      <c r="B345" s="32" t="s">
        <v>1122</v>
      </c>
      <c r="C345" s="7" t="s">
        <v>1407</v>
      </c>
      <c r="D345" s="8" t="s">
        <v>1408</v>
      </c>
      <c r="E345" s="8" t="s">
        <v>1409</v>
      </c>
      <c r="F345" s="9">
        <v>46064</v>
      </c>
      <c r="G345" s="9">
        <v>46226</v>
      </c>
      <c r="H345" s="9">
        <v>48385</v>
      </c>
      <c r="I345" s="10">
        <v>306.92849731445313</v>
      </c>
      <c r="J345" s="10">
        <v>283.3424072265625</v>
      </c>
      <c r="K345" s="10">
        <v>282.93700000000001</v>
      </c>
      <c r="L345" s="10">
        <v>287.94299999999998</v>
      </c>
      <c r="M345" s="11">
        <v>114</v>
      </c>
      <c r="N345" s="12">
        <v>23.99149731445311</v>
      </c>
      <c r="O345" s="13">
        <v>-26.80139062500001</v>
      </c>
      <c r="P345" s="13">
        <v>57.871300048828118</v>
      </c>
      <c r="Q345" s="13">
        <v>11.88896668551261</v>
      </c>
      <c r="R345" s="14">
        <v>59.987331848369998</v>
      </c>
      <c r="S345" s="13">
        <v>0.40540722656248818</v>
      </c>
      <c r="T345" s="13">
        <v>-44.30499169921876</v>
      </c>
      <c r="U345" s="13">
        <v>34.467491455078118</v>
      </c>
      <c r="V345" s="13">
        <v>-10.926154613829491</v>
      </c>
      <c r="W345" s="15">
        <v>56.758905058513932</v>
      </c>
      <c r="X345" s="16" t="str">
        <f>IFERROR(_xll.BDP(E345&amp;" Corp","LAST_PRICE"),"--")</f>
        <v>#N/A Requesting Data...</v>
      </c>
      <c r="Y345" s="17" t="str">
        <f>IFERROR(_xll.BDP(E345&amp;" Corp","YAS_BENCHMARK_BOND_ISIN"),"--")</f>
        <v>#N/A Requesting Data...</v>
      </c>
      <c r="Z345" s="18" t="str">
        <f>IFERROR(_xll.BDP(Y345&amp;" CORP","LAST_PRICE"),"--")</f>
        <v>#N/A Requesting Data... CORP</v>
      </c>
      <c r="AA345" s="19" t="str">
        <f>IFERROR(_xll.BDP(E345&amp;" Corp","YAS_YLD_SPREAD","YAS_BOND_PX="&amp;X345,"YAS_BNCHMRK_BOND_PX="&amp;Z345),"--")</f>
        <v>#N/A Requesting Data...</v>
      </c>
      <c r="AB345" s="19" t="str">
        <f>IFERROR(_xll.BDP(E345&amp;" Corp","BLOOMBERG_MID_G_SPREAD","YAS_BOND_PX="&amp;X345,"YAS_BNCHMRK_BOND_PX="&amp;Z345),"--")</f>
        <v>#N/A Requesting Data...</v>
      </c>
      <c r="AC345" s="19" t="str">
        <f>IFERROR(_xll.BDP(D345,"LAST_PRICE"),"--")</f>
        <v>#N/A Requesting Data...</v>
      </c>
      <c r="AD345" s="20"/>
      <c r="AE345" s="19" t="str">
        <f t="shared" si="20"/>
        <v>#N/A Requesting Data...</v>
      </c>
      <c r="AF345" s="19" t="str">
        <f t="shared" si="21"/>
        <v>--</v>
      </c>
      <c r="AG345" s="21" t="str">
        <f t="shared" si="22"/>
        <v>--</v>
      </c>
      <c r="AH345" s="19" t="str">
        <f t="shared" si="23"/>
        <v>--</v>
      </c>
    </row>
    <row r="346" spans="1:34" x14ac:dyDescent="0.45">
      <c r="A346" s="22" t="s">
        <v>1410</v>
      </c>
      <c r="B346" s="32" t="s">
        <v>1122</v>
      </c>
      <c r="C346" s="22" t="s">
        <v>1411</v>
      </c>
      <c r="D346" s="23" t="s">
        <v>1412</v>
      </c>
      <c r="E346" s="23" t="s">
        <v>1413</v>
      </c>
      <c r="F346" s="24">
        <v>45659</v>
      </c>
      <c r="G346" s="24">
        <v>46226</v>
      </c>
      <c r="H346" s="24">
        <v>48568</v>
      </c>
      <c r="I346" s="25">
        <v>661.94390869140625</v>
      </c>
      <c r="J346" s="25">
        <v>572.90557861328125</v>
      </c>
      <c r="K346" s="25">
        <v>581.87900000000002</v>
      </c>
      <c r="L346" s="25">
        <v>586.048</v>
      </c>
      <c r="M346" s="26">
        <v>397</v>
      </c>
      <c r="N346" s="33">
        <v>80.064908691406231</v>
      </c>
      <c r="O346" s="34">
        <v>7.0491108398437063</v>
      </c>
      <c r="P346" s="34">
        <v>116.32853027343749</v>
      </c>
      <c r="Q346" s="34">
        <v>60.901344793593559</v>
      </c>
      <c r="R346" s="35">
        <v>66.815689752023502</v>
      </c>
      <c r="S346" s="34">
        <v>-8.9734213867187691</v>
      </c>
      <c r="T346" s="34">
        <v>-64.57009130859376</v>
      </c>
      <c r="U346" s="34">
        <v>64.317614746093739</v>
      </c>
      <c r="V346" s="34">
        <v>1.033472915764718</v>
      </c>
      <c r="W346" s="36">
        <v>43.135743216878367</v>
      </c>
      <c r="X346" s="16" t="str">
        <f>IFERROR(_xll.BDP(E346&amp;" Corp","LAST_PRICE"),"--")</f>
        <v>#N/A Requesting Data...</v>
      </c>
      <c r="Y346" s="17" t="str">
        <f>IFERROR(_xll.BDP(E346&amp;" Corp","YAS_BENCHMARK_BOND_ISIN"),"--")</f>
        <v>#N/A Requesting Data...</v>
      </c>
      <c r="Z346" s="18" t="str">
        <f>IFERROR(_xll.BDP(Y346&amp;" CORP","LAST_PRICE"),"--")</f>
        <v>#N/A Requesting Data... CORP</v>
      </c>
      <c r="AA346" s="19" t="str">
        <f>IFERROR(_xll.BDP(E346&amp;" Corp","YAS_YLD_SPREAD","YAS_BOND_PX="&amp;X346,"YAS_BNCHMRK_BOND_PX="&amp;Z346),"--")</f>
        <v>#N/A Requesting Data...</v>
      </c>
      <c r="AB346" s="19" t="str">
        <f>IFERROR(_xll.BDP(E346&amp;" Corp","BLOOMBERG_MID_G_SPREAD","YAS_BOND_PX="&amp;X346,"YAS_BNCHMRK_BOND_PX="&amp;Z346),"--")</f>
        <v>#N/A Requesting Data...</v>
      </c>
      <c r="AC346" s="19" t="str">
        <f>IFERROR(_xll.BDP(D346,"LAST_PRICE"),"--")</f>
        <v>#N/A Requesting Data...</v>
      </c>
      <c r="AD346" s="20"/>
      <c r="AE346" s="19" t="str">
        <f t="shared" si="20"/>
        <v>#N/A Requesting Data...</v>
      </c>
      <c r="AF346" s="19" t="str">
        <f t="shared" si="21"/>
        <v>--</v>
      </c>
      <c r="AG346" s="21" t="str">
        <f t="shared" si="22"/>
        <v>--</v>
      </c>
      <c r="AH346" s="19" t="str">
        <f t="shared" si="23"/>
        <v>--</v>
      </c>
    </row>
  </sheetData>
  <mergeCells count="4">
    <mergeCell ref="N3:R3"/>
    <mergeCell ref="X3:AH3"/>
    <mergeCell ref="A3:M3"/>
    <mergeCell ref="S3:W3"/>
  </mergeCells>
  <conditionalFormatting sqref="N5:N346">
    <cfRule type="colorScale" priority="1">
      <colorScale>
        <cfvo type="num" val="-200"/>
        <cfvo type="num" val="0"/>
        <cfvo type="num" val="200"/>
        <color rgb="FFF8696B"/>
        <color rgb="FFFFFFFF"/>
        <color rgb="FF5A8AC6"/>
      </colorScale>
    </cfRule>
  </conditionalFormatting>
  <conditionalFormatting sqref="R5:R346">
    <cfRule type="colorScale" priority="2">
      <colorScale>
        <cfvo type="num" val="0"/>
        <cfvo type="num" val="50"/>
        <cfvo type="num" val="100"/>
        <color rgb="FFF8696B"/>
        <color rgb="FFFFFFFF"/>
        <color rgb="FF5A8AC6"/>
      </colorScale>
    </cfRule>
  </conditionalFormatting>
  <conditionalFormatting sqref="S5:S346">
    <cfRule type="colorScale" priority="3">
      <colorScale>
        <cfvo type="num" val="-200"/>
        <cfvo type="num" val="0"/>
        <cfvo type="num" val="200"/>
        <color rgb="FFF8696B"/>
        <color rgb="FFFFFFFF"/>
        <color rgb="FF5A8AC6"/>
      </colorScale>
    </cfRule>
  </conditionalFormatting>
  <conditionalFormatting sqref="W5:W346">
    <cfRule type="colorScale" priority="4">
      <colorScale>
        <cfvo type="num" val="0"/>
        <cfvo type="num" val="50"/>
        <cfvo type="num" val="100"/>
        <color rgb="FFF8696B"/>
        <color rgb="FFFFFFFF"/>
        <color rgb="FF5A8AC6"/>
      </colorScale>
    </cfRule>
  </conditionalFormatting>
  <conditionalFormatting sqref="AG5:AG346">
    <cfRule type="colorScale" priority="5">
      <colorScale>
        <cfvo type="num" val="0"/>
        <cfvo type="num" val="50"/>
        <cfvo type="num" val="100"/>
        <color rgb="FFF8696B"/>
        <color rgb="FFFFFFFF"/>
        <color rgb="FF5A8AC6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Basis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Matthew Moore</cp:lastModifiedBy>
  <dcterms:created xsi:type="dcterms:W3CDTF">2026-07-24T14:32:56Z</dcterms:created>
  <dcterms:modified xsi:type="dcterms:W3CDTF">2026-07-24T14:33:08Z</dcterms:modified>
</cp:coreProperties>
</file>