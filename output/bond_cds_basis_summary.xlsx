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sis Summary" sheetId="1" state="visible" r:id="rId1"/>
  </sheets>
  <definedNames>
    <definedName name="_xlnm._FilterDatabase" localSheetId="0" hidden="1">'Basis Summary'!$A$1:$AB$371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#,##0.0;[Red](#,##0.0)"/>
    <numFmt numFmtId="167" formatCode="0.0\%"/>
    <numFmt numFmtId="168" formatCode="#,##0.00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  <b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2" borderId="0" pivotButton="0" quotePrefix="0" xfId="0"/>
    <xf numFmtId="0" fontId="0" fillId="2" borderId="0" pivotButton="0" quotePrefix="0" xfId="0"/>
    <xf numFmtId="166" fontId="0" fillId="2" borderId="0" pivotButton="0" quotePrefix="0" xfId="0"/>
    <xf numFmtId="167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hidden="1" outlineLevel="1" width="26" customWidth="1" min="4" max="4"/>
    <col hidden="1" outlineLevel="1" width="16" customWidth="1" min="5" max="5"/>
    <col hidden="1" outlineLevel="1" width="12" customWidth="1" min="6" max="6"/>
    <col hidden="1" outlineLevel="1" width="12" customWidth="1" min="7" max="7"/>
    <col hidden="1" outlineLevel="1" width="12" customWidth="1" min="8" max="8"/>
    <col hidden="1" outlineLevel="1" width="14" customWidth="1" min="9" max="9"/>
    <col hidden="1" outlineLevel="1" width="12" customWidth="1" min="10" max="10"/>
    <col hidden="1" outlineLevel="1" width="14" customWidth="1" min="11" max="11"/>
    <col hidden="1" outlineLevel="1" width="16" customWidth="1" min="12" max="12"/>
    <col width="14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hidden="1" outlineLevel="1" width="22" customWidth="1" min="22" max="22"/>
    <col hidden="1" outlineLevel="1"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</cols>
  <sheetData>
    <row r="1">
      <c r="A1" s="1" t="inlineStr">
        <is>
          <t>CDS_Ticker</t>
        </is>
      </c>
      <c r="B1" s="1" t="inlineStr">
        <is>
          <t>CDS_Index</t>
        </is>
      </c>
      <c r="C1" s="1" t="inlineStr">
        <is>
          <t>bond_name</t>
        </is>
      </c>
      <c r="D1" s="1" t="inlineStr">
        <is>
          <t>bbg_cds_ticker</t>
        </is>
      </c>
      <c r="E1" s="1" t="inlineStr">
        <is>
          <t>bond_ISIN</t>
        </is>
      </c>
      <c r="F1" s="1" t="inlineStr">
        <is>
          <t>date_start</t>
        </is>
      </c>
      <c r="G1" s="1" t="inlineStr">
        <is>
          <t>date_end</t>
        </is>
      </c>
      <c r="H1" s="1" t="inlineStr">
        <is>
          <t>cds_mat</t>
        </is>
      </c>
      <c r="I1" s="1" t="inlineStr">
        <is>
          <t>latest_CDS</t>
        </is>
      </c>
      <c r="J1" s="1" t="inlineStr">
        <is>
          <t>latest_5y</t>
        </is>
      </c>
      <c r="K1" s="1" t="inlineStr">
        <is>
          <t>latest_bond_g</t>
        </is>
      </c>
      <c r="L1" s="1" t="inlineStr">
        <is>
          <t>latest_benchmark</t>
        </is>
      </c>
      <c r="M1" s="1" t="inlineStr">
        <is>
          <t>latest_basis</t>
        </is>
      </c>
      <c r="N1" s="1" t="inlineStr">
        <is>
          <t>min_basis</t>
        </is>
      </c>
      <c r="O1" s="1" t="inlineStr">
        <is>
          <t>max_basis</t>
        </is>
      </c>
      <c r="P1" s="1" t="inlineStr">
        <is>
          <t>range_pct</t>
        </is>
      </c>
      <c r="Q1" s="1" t="inlineStr">
        <is>
          <t>latest_basis_5Y</t>
        </is>
      </c>
      <c r="R1" s="1" t="inlineStr">
        <is>
          <t>min_basis_5Y</t>
        </is>
      </c>
      <c r="S1" s="1" t="inlineStr">
        <is>
          <t>max_basis_5Y</t>
        </is>
      </c>
      <c r="T1" s="1" t="inlineStr">
        <is>
          <t>range_pct_5Y</t>
        </is>
      </c>
      <c r="U1" s="1" t="inlineStr">
        <is>
          <t>bond_live</t>
        </is>
      </c>
      <c r="V1" s="1" t="inlineStr">
        <is>
          <t>bond_bench</t>
        </is>
      </c>
      <c r="W1" s="1" t="inlineStr">
        <is>
          <t>bench_price</t>
        </is>
      </c>
      <c r="X1" s="1" t="inlineStr">
        <is>
          <t>spread_live</t>
        </is>
      </c>
      <c r="Y1" s="1" t="inlineStr">
        <is>
          <t>g_live</t>
        </is>
      </c>
      <c r="Z1" s="1" t="inlineStr">
        <is>
          <t>live_cds_5y</t>
        </is>
      </c>
      <c r="AA1" s="1" t="inlineStr">
        <is>
          <t>live_basis</t>
        </is>
      </c>
      <c r="AB1" s="1" t="inlineStr">
        <is>
          <t>live_range_pct</t>
        </is>
      </c>
    </row>
    <row r="2">
      <c r="A2" t="inlineStr">
        <is>
          <t>RAKUGRO</t>
        </is>
      </c>
      <c r="B2" t="inlineStr">
        <is>
          <t>Asia</t>
        </is>
      </c>
      <c r="C2" t="inlineStr">
        <is>
          <t>RAKUTN 1.05 12/02/31</t>
        </is>
      </c>
      <c r="D2" t="inlineStr">
        <is>
          <t>RAKUTN CDS JPY SR 5Y D14 Corp</t>
        </is>
      </c>
      <c r="E2" t="inlineStr">
        <is>
          <t>JP396720DMC4</t>
        </is>
      </c>
      <c r="F2" s="2" t="inlineStr"/>
      <c r="G2" s="2" t="inlineStr"/>
      <c r="H2" s="2" t="n">
        <v>48202</v>
      </c>
      <c r="I2" s="3" t="inlineStr"/>
      <c r="J2" s="3" t="n">
        <v>210.2836</v>
      </c>
      <c r="K2" s="3" t="inlineStr"/>
      <c r="L2" s="3" t="n">
        <v>212.7</v>
      </c>
      <c r="M2" s="3" t="inlineStr"/>
      <c r="N2" s="3" t="inlineStr"/>
      <c r="O2" s="3" t="inlineStr"/>
      <c r="P2" s="4" t="inlineStr"/>
      <c r="Q2" s="3" t="inlineStr"/>
      <c r="R2" s="3" t="inlineStr"/>
      <c r="S2" s="3" t="inlineStr"/>
      <c r="T2" s="4" t="inlineStr"/>
      <c r="U2" s="5">
        <f>IFERROR(BDP(E2&amp;" Corp","LAST_PRICE"),"--")</f>
        <v/>
      </c>
      <c r="V2" s="6">
        <f>IFERROR(BDP(E2&amp;" Corp","YAS_BENCHMARK_BOND_ISIN"),"--")</f>
        <v/>
      </c>
      <c r="W2" s="5">
        <f>IFERROR(BDP(V2&amp;" CORP","LAST_PRICE"),"--")</f>
        <v/>
      </c>
      <c r="X2" s="7">
        <f>IFERROR(BDP(E2&amp;" Corp","YAS_YLD_SPREAD","YAS_BOND_PX="&amp;U2,"YAS_BNCHMRK_BOND_PX="&amp;W2),"--")</f>
        <v/>
      </c>
      <c r="Y2" s="7">
        <f>IFERROR(BDP(E2&amp;" Corp","BLOOMBERG_MID_G_SPREAD","YAS_BOND_PX="&amp;U2,"YAS_BNCHMRK_BOND_PX="&amp;W2),"--")</f>
        <v/>
      </c>
      <c r="Z2" s="7">
        <f>IFERROR(BDP(D2,"LAST_PRICE"),"--")</f>
        <v/>
      </c>
      <c r="AA2" s="7">
        <f>IFERROR(Z2-Y2,"--")</f>
        <v/>
      </c>
      <c r="AB2" s="8">
        <f>IFERROR((AA2-R2)/(S2-R2)*100,"--")</f>
        <v/>
      </c>
    </row>
    <row r="3">
      <c r="A3" t="inlineStr">
        <is>
          <t>BAC</t>
        </is>
      </c>
      <c r="B3" t="inlineStr">
        <is>
          <t>Banks</t>
        </is>
      </c>
      <c r="C3" t="inlineStr">
        <is>
          <t>BAC 4.695 04/23/32</t>
        </is>
      </c>
      <c r="D3" t="inlineStr">
        <is>
          <t>BOFA CDS USD SR 5Y D14 Corp</t>
        </is>
      </c>
      <c r="E3" t="inlineStr">
        <is>
          <t>US06051GNA30</t>
        </is>
      </c>
      <c r="F3" s="2" t="n">
        <v>46129</v>
      </c>
      <c r="G3" s="2" t="n">
        <v>46225</v>
      </c>
      <c r="H3" s="2" t="n">
        <v>48385</v>
      </c>
      <c r="I3" s="3" t="n">
        <v>63.1156</v>
      </c>
      <c r="J3" s="3" t="n">
        <v>54.9628</v>
      </c>
      <c r="K3" s="3" t="n">
        <v>73.22199999999999</v>
      </c>
      <c r="L3" s="3" t="n">
        <v>73.49299999999999</v>
      </c>
      <c r="M3" s="3" t="n">
        <v>-10.10639999999999</v>
      </c>
      <c r="N3" s="3" t="n">
        <v>-13.0401</v>
      </c>
      <c r="O3" s="3" t="n">
        <v>0.3362000000000052</v>
      </c>
      <c r="P3" s="4" t="n">
        <v>21.93207389188342</v>
      </c>
      <c r="Q3" s="3" t="n">
        <v>-18.25919999999999</v>
      </c>
      <c r="R3" s="3" t="n">
        <v>-21.13099999999999</v>
      </c>
      <c r="S3" s="3" t="n">
        <v>-7.909399999999998</v>
      </c>
      <c r="T3" s="4" t="n">
        <v>21.72051794034006</v>
      </c>
      <c r="U3" s="5">
        <f>IFERROR(BDP(E3&amp;" Corp","LAST_PRICE"),"--")</f>
        <v/>
      </c>
      <c r="V3" s="6">
        <f>IFERROR(BDP(E3&amp;" Corp","YAS_BENCHMARK_BOND_ISIN"),"--")</f>
        <v/>
      </c>
      <c r="W3" s="5">
        <f>IFERROR(BDP(V3&amp;" CORP","LAST_PRICE"),"--")</f>
        <v/>
      </c>
      <c r="X3" s="7">
        <f>IFERROR(BDP(E3&amp;" Corp","YAS_YLD_SPREAD","YAS_BOND_PX="&amp;U3,"YAS_BNCHMRK_BOND_PX="&amp;W3),"--")</f>
        <v/>
      </c>
      <c r="Y3" s="7">
        <f>IFERROR(BDP(E3&amp;" Corp","BLOOMBERG_MID_G_SPREAD","YAS_BOND_PX="&amp;U3,"YAS_BNCHMRK_BOND_PX="&amp;W3),"--")</f>
        <v/>
      </c>
      <c r="Z3" s="7">
        <f>IFERROR(BDP(D3,"LAST_PRICE"),"--")</f>
        <v/>
      </c>
      <c r="AA3" s="7">
        <f>IFERROR(Z3-Y3,"--")</f>
        <v/>
      </c>
      <c r="AB3" s="8">
        <f>IFERROR((AA3-R3)/(S3-R3)*100,"--")</f>
        <v/>
      </c>
    </row>
    <row r="4">
      <c r="A4" t="inlineStr">
        <is>
          <t>C</t>
        </is>
      </c>
      <c r="B4" t="inlineStr">
        <is>
          <t>Banks</t>
        </is>
      </c>
      <c r="C4" t="inlineStr">
        <is>
          <t>C 4.846 06/18/32</t>
        </is>
      </c>
      <c r="D4" t="inlineStr">
        <is>
          <t>CINC CDS USD SR 5Y D14 Corp</t>
        </is>
      </c>
      <c r="E4" t="inlineStr">
        <is>
          <t>US17325FBV94</t>
        </is>
      </c>
      <c r="F4" s="2" t="n">
        <v>46185</v>
      </c>
      <c r="G4" s="2" t="n">
        <v>46225</v>
      </c>
      <c r="H4" s="2" t="n">
        <v>48385</v>
      </c>
      <c r="I4" s="3" t="n">
        <v>61.9785</v>
      </c>
      <c r="J4" s="3" t="n">
        <v>52.754</v>
      </c>
      <c r="K4" s="3" t="n">
        <v>69.67700000000001</v>
      </c>
      <c r="L4" s="3" t="n">
        <v>71.446</v>
      </c>
      <c r="M4" s="3" t="n">
        <v>-7.69850000000001</v>
      </c>
      <c r="N4" s="3" t="n">
        <v>-9.026600000000002</v>
      </c>
      <c r="O4" s="3" t="n">
        <v>-2.267899999999997</v>
      </c>
      <c r="P4" s="4" t="n">
        <v>19.65022859425616</v>
      </c>
      <c r="Q4" s="3" t="n">
        <v>-16.92300000000001</v>
      </c>
      <c r="R4" s="3" t="n">
        <v>-18.13789999999999</v>
      </c>
      <c r="S4" s="3" t="n">
        <v>-10.801</v>
      </c>
      <c r="T4" s="4" t="n">
        <v>16.55876460085305</v>
      </c>
      <c r="U4" s="5">
        <f>IFERROR(BDP(E4&amp;" Corp","LAST_PRICE"),"--")</f>
        <v/>
      </c>
      <c r="V4" s="6">
        <f>IFERROR(BDP(E4&amp;" Corp","YAS_BENCHMARK_BOND_ISIN"),"--")</f>
        <v/>
      </c>
      <c r="W4" s="5">
        <f>IFERROR(BDP(V4&amp;" CORP","LAST_PRICE"),"--")</f>
        <v/>
      </c>
      <c r="X4" s="7">
        <f>IFERROR(BDP(E4&amp;" Corp","YAS_YLD_SPREAD","YAS_BOND_PX="&amp;U4,"YAS_BNCHMRK_BOND_PX="&amp;W4),"--")</f>
        <v/>
      </c>
      <c r="Y4" s="7">
        <f>IFERROR(BDP(E4&amp;" Corp","BLOOMBERG_MID_G_SPREAD","YAS_BOND_PX="&amp;U4,"YAS_BNCHMRK_BOND_PX="&amp;W4),"--")</f>
        <v/>
      </c>
      <c r="Z4" s="7">
        <f>IFERROR(BDP(D4,"LAST_PRICE"),"--")</f>
        <v/>
      </c>
      <c r="AA4" s="7">
        <f>IFERROR(Z4-Y4,"--")</f>
        <v/>
      </c>
      <c r="AB4" s="8">
        <f>IFERROR((AA4-R4)/(S4-R4)*100,"--")</f>
        <v/>
      </c>
    </row>
    <row r="5">
      <c r="A5" t="inlineStr">
        <is>
          <t>GS</t>
        </is>
      </c>
      <c r="B5" t="inlineStr">
        <is>
          <t>Banks</t>
        </is>
      </c>
      <c r="C5" t="inlineStr">
        <is>
          <t>GS 4.972 06/03/32</t>
        </is>
      </c>
      <c r="D5" t="inlineStr">
        <is>
          <t>GS CDS USD SR 5Y D14 Corp</t>
        </is>
      </c>
      <c r="E5" t="inlineStr">
        <is>
          <t>US38141GF335</t>
        </is>
      </c>
      <c r="F5" s="2" t="n">
        <v>46170</v>
      </c>
      <c r="G5" s="2" t="n">
        <v>46225</v>
      </c>
      <c r="H5" s="2" t="n">
        <v>48385</v>
      </c>
      <c r="I5" s="3" t="n">
        <v>62.2501</v>
      </c>
      <c r="J5" s="3" t="n">
        <v>54.8</v>
      </c>
      <c r="K5" s="3" t="n">
        <v>86.753</v>
      </c>
      <c r="L5" s="3" t="n">
        <v>89.184</v>
      </c>
      <c r="M5" s="3" t="n">
        <v>-24.5029</v>
      </c>
      <c r="N5" s="3" t="n">
        <v>-27.8173</v>
      </c>
      <c r="O5" s="3" t="n">
        <v>-13.32020000000001</v>
      </c>
      <c r="P5" s="4" t="n">
        <v>22.86250353518984</v>
      </c>
      <c r="Q5" s="3" t="n">
        <v>-31.953</v>
      </c>
      <c r="R5" s="3" t="n">
        <v>-35.7388</v>
      </c>
      <c r="S5" s="3" t="n">
        <v>-21.29300000000001</v>
      </c>
      <c r="T5" s="4" t="n">
        <v>26.20692519625083</v>
      </c>
      <c r="U5" s="5">
        <f>IFERROR(BDP(E5&amp;" Corp","LAST_PRICE"),"--")</f>
        <v/>
      </c>
      <c r="V5" s="6">
        <f>IFERROR(BDP(E5&amp;" Corp","YAS_BENCHMARK_BOND_ISIN"),"--")</f>
        <v/>
      </c>
      <c r="W5" s="5">
        <f>IFERROR(BDP(V5&amp;" CORP","LAST_PRICE"),"--")</f>
        <v/>
      </c>
      <c r="X5" s="7">
        <f>IFERROR(BDP(E5&amp;" Corp","YAS_YLD_SPREAD","YAS_BOND_PX="&amp;U5,"YAS_BNCHMRK_BOND_PX="&amp;W5),"--")</f>
        <v/>
      </c>
      <c r="Y5" s="7">
        <f>IFERROR(BDP(E5&amp;" Corp","BLOOMBERG_MID_G_SPREAD","YAS_BOND_PX="&amp;U5,"YAS_BNCHMRK_BOND_PX="&amp;W5),"--")</f>
        <v/>
      </c>
      <c r="Z5" s="7">
        <f>IFERROR(BDP(D5,"LAST_PRICE"),"--")</f>
        <v/>
      </c>
      <c r="AA5" s="7">
        <f>IFERROR(Z5-Y5,"--")</f>
        <v/>
      </c>
      <c r="AB5" s="8">
        <f>IFERROR((AA5-R5)/(S5-R5)*100,"--")</f>
        <v/>
      </c>
    </row>
    <row r="6">
      <c r="A6" t="inlineStr">
        <is>
          <t>JPM</t>
        </is>
      </c>
      <c r="B6" t="inlineStr">
        <is>
          <t>Banks</t>
        </is>
      </c>
      <c r="C6" t="inlineStr">
        <is>
          <t>JPM 4.622 04/23/32</t>
        </is>
      </c>
      <c r="D6" t="inlineStr">
        <is>
          <t>JPMCC CDS USD SR 5Y D14 Corp</t>
        </is>
      </c>
      <c r="E6" t="inlineStr">
        <is>
          <t>US46647PFM32</t>
        </is>
      </c>
      <c r="F6" s="2" t="n">
        <v>46128</v>
      </c>
      <c r="G6" s="2" t="n">
        <v>46225</v>
      </c>
      <c r="H6" s="2" t="n">
        <v>48385</v>
      </c>
      <c r="I6" s="3" t="n">
        <v>47.74</v>
      </c>
      <c r="J6" s="3" t="n">
        <v>40.6</v>
      </c>
      <c r="K6" s="3" t="n">
        <v>74.741</v>
      </c>
      <c r="L6" s="3" t="n">
        <v>74.20399999999999</v>
      </c>
      <c r="M6" s="3" t="n">
        <v>-27.001</v>
      </c>
      <c r="N6" s="3" t="n">
        <v>-28.1155</v>
      </c>
      <c r="O6" s="3" t="n">
        <v>-14.5136</v>
      </c>
      <c r="P6" s="4" t="n">
        <v>8.193708231938182</v>
      </c>
      <c r="Q6" s="3" t="n">
        <v>-34.141</v>
      </c>
      <c r="R6" s="3" t="n">
        <v>-35.6947</v>
      </c>
      <c r="S6" s="3" t="n">
        <v>-22.0731</v>
      </c>
      <c r="T6" s="4" t="n">
        <v>11.40614905737945</v>
      </c>
      <c r="U6" s="5">
        <f>IFERROR(BDP(E6&amp;" Corp","LAST_PRICE"),"--")</f>
        <v/>
      </c>
      <c r="V6" s="6">
        <f>IFERROR(BDP(E6&amp;" Corp","YAS_BENCHMARK_BOND_ISIN"),"--")</f>
        <v/>
      </c>
      <c r="W6" s="5">
        <f>IFERROR(BDP(V6&amp;" CORP","LAST_PRICE"),"--")</f>
        <v/>
      </c>
      <c r="X6" s="7">
        <f>IFERROR(BDP(E6&amp;" Corp","YAS_YLD_SPREAD","YAS_BOND_PX="&amp;U6,"YAS_BNCHMRK_BOND_PX="&amp;W6),"--")</f>
        <v/>
      </c>
      <c r="Y6" s="7">
        <f>IFERROR(BDP(E6&amp;" Corp","BLOOMBERG_MID_G_SPREAD","YAS_BOND_PX="&amp;U6,"YAS_BNCHMRK_BOND_PX="&amp;W6),"--")</f>
        <v/>
      </c>
      <c r="Z6" s="7">
        <f>IFERROR(BDP(D6,"LAST_PRICE"),"--")</f>
        <v/>
      </c>
      <c r="AA6" s="7">
        <f>IFERROR(Z6-Y6,"--")</f>
        <v/>
      </c>
      <c r="AB6" s="8">
        <f>IFERROR((AA6-R6)/(S6-R6)*100,"--")</f>
        <v/>
      </c>
    </row>
    <row r="7">
      <c r="A7" t="inlineStr">
        <is>
          <t>MS</t>
        </is>
      </c>
      <c r="B7" t="inlineStr">
        <is>
          <t>Banks</t>
        </is>
      </c>
      <c r="C7" t="inlineStr">
        <is>
          <t>MS 4.809 04/16/32</t>
        </is>
      </c>
      <c r="D7" t="inlineStr">
        <is>
          <t>MS CDS USD SR 5Y D14 Corp</t>
        </is>
      </c>
      <c r="E7" t="inlineStr">
        <is>
          <t>US61748UAW27</t>
        </is>
      </c>
      <c r="F7" s="2" t="n">
        <v>46128</v>
      </c>
      <c r="G7" s="2" t="n">
        <v>46225</v>
      </c>
      <c r="H7" s="2" t="n">
        <v>48385</v>
      </c>
      <c r="I7" s="3" t="n">
        <v>66.85809999999999</v>
      </c>
      <c r="J7" s="3" t="n">
        <v>57.4673</v>
      </c>
      <c r="K7" s="3" t="n">
        <v>85.238</v>
      </c>
      <c r="L7" s="3" t="n">
        <v>83.176</v>
      </c>
      <c r="M7" s="3" t="n">
        <v>-18.37990000000001</v>
      </c>
      <c r="N7" s="3" t="n">
        <v>-24.09529999999999</v>
      </c>
      <c r="O7" s="3" t="n">
        <v>-8.768100000000004</v>
      </c>
      <c r="P7" s="4" t="n">
        <v>37.2892635314995</v>
      </c>
      <c r="Q7" s="3" t="n">
        <v>-27.7707</v>
      </c>
      <c r="R7" s="3" t="n">
        <v>-33.1159</v>
      </c>
      <c r="S7" s="3" t="n">
        <v>-17.91070000000001</v>
      </c>
      <c r="T7" s="4" t="n">
        <v>35.15376318627839</v>
      </c>
      <c r="U7" s="5">
        <f>IFERROR(BDP(E7&amp;" Corp","LAST_PRICE"),"--")</f>
        <v/>
      </c>
      <c r="V7" s="6">
        <f>IFERROR(BDP(E7&amp;" Corp","YAS_BENCHMARK_BOND_ISIN"),"--")</f>
        <v/>
      </c>
      <c r="W7" s="5">
        <f>IFERROR(BDP(V7&amp;" CORP","LAST_PRICE"),"--")</f>
        <v/>
      </c>
      <c r="X7" s="7">
        <f>IFERROR(BDP(E7&amp;" Corp","YAS_YLD_SPREAD","YAS_BOND_PX="&amp;U7,"YAS_BNCHMRK_BOND_PX="&amp;W7),"--")</f>
        <v/>
      </c>
      <c r="Y7" s="7">
        <f>IFERROR(BDP(E7&amp;" Corp","BLOOMBERG_MID_G_SPREAD","YAS_BOND_PX="&amp;U7,"YAS_BNCHMRK_BOND_PX="&amp;W7),"--")</f>
        <v/>
      </c>
      <c r="Z7" s="7">
        <f>IFERROR(BDP(D7,"LAST_PRICE"),"--")</f>
        <v/>
      </c>
      <c r="AA7" s="7">
        <f>IFERROR(Z7-Y7,"--")</f>
        <v/>
      </c>
      <c r="AB7" s="8">
        <f>IFERROR((AA7-R7)/(S7-R7)*100,"--")</f>
        <v/>
      </c>
    </row>
    <row r="8">
      <c r="A8" t="inlineStr">
        <is>
          <t>WFC</t>
        </is>
      </c>
      <c r="B8" t="inlineStr">
        <is>
          <t>Banks</t>
        </is>
      </c>
      <c r="C8" t="inlineStr">
        <is>
          <t>WFC 4.844 05/20/32</t>
        </is>
      </c>
      <c r="D8" t="inlineStr">
        <is>
          <t>WELLFARGO CDS USD SR 5Y D14 Corp</t>
        </is>
      </c>
      <c r="E8" t="inlineStr">
        <is>
          <t>US95000U4J91</t>
        </is>
      </c>
      <c r="F8" s="2" t="n">
        <v>46156</v>
      </c>
      <c r="G8" s="2" t="n">
        <v>46225</v>
      </c>
      <c r="H8" s="2" t="n">
        <v>48385</v>
      </c>
      <c r="I8" s="3" t="n">
        <v>57.3747</v>
      </c>
      <c r="J8" s="3" t="n">
        <v>49.1338</v>
      </c>
      <c r="K8" s="3" t="n">
        <v>75.88500000000001</v>
      </c>
      <c r="L8" s="3" t="n">
        <v>74.98099999999999</v>
      </c>
      <c r="M8" s="3" t="n">
        <v>-18.51030000000001</v>
      </c>
      <c r="N8" s="3" t="n">
        <v>-20.57170000000001</v>
      </c>
      <c r="O8" s="3" t="n">
        <v>-10.42250000000001</v>
      </c>
      <c r="P8" s="4" t="n">
        <v>20.31096046979071</v>
      </c>
      <c r="Q8" s="3" t="n">
        <v>-26.7512</v>
      </c>
      <c r="R8" s="3" t="n">
        <v>-28.5884</v>
      </c>
      <c r="S8" s="3" t="n">
        <v>-18.5675</v>
      </c>
      <c r="T8" s="4" t="n">
        <v>18.33368260335894</v>
      </c>
      <c r="U8" s="5">
        <f>IFERROR(BDP(E8&amp;" Corp","LAST_PRICE"),"--")</f>
        <v/>
      </c>
      <c r="V8" s="6">
        <f>IFERROR(BDP(E8&amp;" Corp","YAS_BENCHMARK_BOND_ISIN"),"--")</f>
        <v/>
      </c>
      <c r="W8" s="5">
        <f>IFERROR(BDP(V8&amp;" CORP","LAST_PRICE"),"--")</f>
        <v/>
      </c>
      <c r="X8" s="7">
        <f>IFERROR(BDP(E8&amp;" Corp","YAS_YLD_SPREAD","YAS_BOND_PX="&amp;U8,"YAS_BNCHMRK_BOND_PX="&amp;W8),"--")</f>
        <v/>
      </c>
      <c r="Y8" s="7">
        <f>IFERROR(BDP(E8&amp;" Corp","BLOOMBERG_MID_G_SPREAD","YAS_BOND_PX="&amp;U8,"YAS_BNCHMRK_BOND_PX="&amp;W8),"--")</f>
        <v/>
      </c>
      <c r="Z8" s="7">
        <f>IFERROR(BDP(D8,"LAST_PRICE"),"--")</f>
        <v/>
      </c>
      <c r="AA8" s="7">
        <f>IFERROR(Z8-Y8,"--")</f>
        <v/>
      </c>
      <c r="AB8" s="8">
        <f>IFERROR((AA8-R8)/(S8-R8)*100,"--")</f>
        <v/>
      </c>
    </row>
    <row r="9">
      <c r="A9" t="inlineStr">
        <is>
          <t>ENTLN</t>
        </is>
      </c>
      <c r="B9" t="inlineStr">
        <is>
          <t>Euro_NonIndex</t>
        </is>
      </c>
      <c r="C9" t="inlineStr">
        <is>
          <t>ENTLN 4 7/8 11/30/31</t>
        </is>
      </c>
      <c r="D9" t="inlineStr">
        <is>
          <t>ENTLN CDS EUR SR 5Y D14 Corp</t>
        </is>
      </c>
      <c r="E9" t="inlineStr">
        <is>
          <t>XS3229426138</t>
        </is>
      </c>
      <c r="F9" s="2" t="n">
        <v>45975</v>
      </c>
      <c r="G9" s="2" t="n">
        <v>46225</v>
      </c>
      <c r="H9" s="2" t="n">
        <v>48202</v>
      </c>
      <c r="I9" s="3" t="n">
        <v>218.0676</v>
      </c>
      <c r="J9" s="3" t="n">
        <v>202.2348</v>
      </c>
      <c r="K9" s="3" t="n">
        <v>178.014</v>
      </c>
      <c r="L9" s="3" t="n">
        <v>169.388</v>
      </c>
      <c r="M9" s="3" t="n">
        <v>40.05359999999999</v>
      </c>
      <c r="N9" s="3" t="n">
        <v>-98.35490000000001</v>
      </c>
      <c r="O9" s="3" t="n">
        <v>40.05359999999999</v>
      </c>
      <c r="P9" s="4" t="n">
        <v>100</v>
      </c>
      <c r="Q9" s="3" t="n">
        <v>24.2208</v>
      </c>
      <c r="R9" s="3" t="n">
        <v>-111.6087</v>
      </c>
      <c r="S9" s="3" t="n">
        <v>24.2208</v>
      </c>
      <c r="T9" s="4" t="n">
        <v>100</v>
      </c>
      <c r="U9" s="5">
        <f>IFERROR(BDP(E9&amp;" Corp","LAST_PRICE"),"--")</f>
        <v/>
      </c>
      <c r="V9" s="6">
        <f>IFERROR(BDP(E9&amp;" Corp","YAS_BENCHMARK_BOND_ISIN"),"--")</f>
        <v/>
      </c>
      <c r="W9" s="5">
        <f>IFERROR(BDP(V9&amp;" CORP","LAST_PRICE"),"--")</f>
        <v/>
      </c>
      <c r="X9" s="7">
        <f>IFERROR(BDP(E9&amp;" Corp","YAS_YLD_SPREAD","YAS_BOND_PX="&amp;U9,"YAS_BNCHMRK_BOND_PX="&amp;W9),"--")</f>
        <v/>
      </c>
      <c r="Y9" s="7">
        <f>IFERROR(BDP(E9&amp;" Corp","BLOOMBERG_MID_G_SPREAD","YAS_BOND_PX="&amp;U9,"YAS_BNCHMRK_BOND_PX="&amp;W9),"--")</f>
        <v/>
      </c>
      <c r="Z9" s="7">
        <f>IFERROR(BDP(D9,"LAST_PRICE"),"--")</f>
        <v/>
      </c>
      <c r="AA9" s="7">
        <f>IFERROR(Z9-Y9,"--")</f>
        <v/>
      </c>
      <c r="AB9" s="8">
        <f>IFERROR((AA9-R9)/(S9-R9)*100,"--")</f>
        <v/>
      </c>
    </row>
    <row r="10">
      <c r="A10" t="inlineStr">
        <is>
          <t>SDFGR</t>
        </is>
      </c>
      <c r="B10" t="inlineStr">
        <is>
          <t>Euro_NonIndex</t>
        </is>
      </c>
      <c r="C10" t="inlineStr">
        <is>
          <t>SDFGR 4 1/4 06/19/29</t>
        </is>
      </c>
      <c r="D10" t="inlineStr">
        <is>
          <t>SDFGR CDS EUR SR 5Y D14 Corp</t>
        </is>
      </c>
      <c r="E10" t="inlineStr">
        <is>
          <t>XS2844398482</t>
        </is>
      </c>
      <c r="F10" s="2" t="n">
        <v>45659</v>
      </c>
      <c r="G10" s="2" t="n">
        <v>46225</v>
      </c>
      <c r="H10" s="2" t="n">
        <v>47289</v>
      </c>
      <c r="I10" s="3" t="n">
        <v>90.9263</v>
      </c>
      <c r="J10" s="3" t="n">
        <v>131.5111</v>
      </c>
      <c r="K10" s="3" t="n">
        <v>76.56399999999999</v>
      </c>
      <c r="L10" s="3" t="n">
        <v>78.863</v>
      </c>
      <c r="M10" s="3" t="n">
        <v>14.3623</v>
      </c>
      <c r="N10" s="3" t="n">
        <v>-29.58820000000001</v>
      </c>
      <c r="O10" s="3" t="n">
        <v>43.84370000000001</v>
      </c>
      <c r="P10" s="4" t="n">
        <v>59.85205339913581</v>
      </c>
      <c r="Q10" s="3" t="n">
        <v>54.94710000000001</v>
      </c>
      <c r="R10" s="3" t="n">
        <v>12.71359999999999</v>
      </c>
      <c r="S10" s="3" t="n">
        <v>95.54420000000002</v>
      </c>
      <c r="T10" s="4" t="n">
        <v>50.98779919498349</v>
      </c>
      <c r="U10" s="5">
        <f>IFERROR(BDP(E10&amp;" Corp","LAST_PRICE"),"--")</f>
        <v/>
      </c>
      <c r="V10" s="6">
        <f>IFERROR(BDP(E10&amp;" Corp","YAS_BENCHMARK_BOND_ISIN"),"--")</f>
        <v/>
      </c>
      <c r="W10" s="5">
        <f>IFERROR(BDP(V10&amp;" CORP","LAST_PRICE"),"--")</f>
        <v/>
      </c>
      <c r="X10" s="7">
        <f>IFERROR(BDP(E10&amp;" Corp","YAS_YLD_SPREAD","YAS_BOND_PX="&amp;U10,"YAS_BNCHMRK_BOND_PX="&amp;W10),"--")</f>
        <v/>
      </c>
      <c r="Y10" s="7">
        <f>IFERROR(BDP(E10&amp;" Corp","BLOOMBERG_MID_G_SPREAD","YAS_BOND_PX="&amp;U10,"YAS_BNCHMRK_BOND_PX="&amp;W10),"--")</f>
        <v/>
      </c>
      <c r="Z10" s="7">
        <f>IFERROR(BDP(D10,"LAST_PRICE"),"--")</f>
        <v/>
      </c>
      <c r="AA10" s="7">
        <f>IFERROR(Z10-Y10,"--")</f>
        <v/>
      </c>
      <c r="AB10" s="8">
        <f>IFERROR((AA10-R10)/(S10-R10)*100,"--")</f>
        <v/>
      </c>
    </row>
    <row r="11">
      <c r="A11" t="inlineStr">
        <is>
          <t>APODS</t>
        </is>
      </c>
      <c r="B11" t="inlineStr">
        <is>
          <t>Fin</t>
        </is>
      </c>
      <c r="C11" t="inlineStr">
        <is>
          <t>APODS 6.7 07/29/31</t>
        </is>
      </c>
      <c r="D11" t="inlineStr">
        <is>
          <t>CZ061134 Curncy</t>
        </is>
      </c>
      <c r="E11" t="inlineStr">
        <is>
          <t>US03770DAD57</t>
        </is>
      </c>
      <c r="F11" s="2" t="n">
        <v>46121</v>
      </c>
      <c r="G11" s="2" t="n">
        <v>46225</v>
      </c>
      <c r="H11" s="2" t="n">
        <v>48202</v>
      </c>
      <c r="I11" s="3" t="n">
        <v>218.2709</v>
      </c>
      <c r="J11" s="3" t="n">
        <v>210.1122</v>
      </c>
      <c r="K11" s="3" t="n">
        <v>197.834</v>
      </c>
      <c r="L11" s="3" t="n">
        <v>197.838</v>
      </c>
      <c r="M11" s="3" t="n">
        <v>20.43690000000001</v>
      </c>
      <c r="N11" s="3" t="n">
        <v>14.68000000000001</v>
      </c>
      <c r="O11" s="3" t="n">
        <v>64.45259999999999</v>
      </c>
      <c r="P11" s="4" t="n">
        <v>11.56640400541664</v>
      </c>
      <c r="Q11" s="3" t="n">
        <v>12.2782</v>
      </c>
      <c r="R11" s="3" t="n">
        <v>5.539599999999979</v>
      </c>
      <c r="S11" s="3" t="n">
        <v>56.929</v>
      </c>
      <c r="T11" s="4" t="n">
        <v>13.1128209319432</v>
      </c>
      <c r="U11" s="5">
        <f>IFERROR(BDP(E11&amp;" Corp","LAST_PRICE"),"--")</f>
        <v/>
      </c>
      <c r="V11" s="6">
        <f>IFERROR(BDP(E11&amp;" Corp","YAS_BENCHMARK_BOND_ISIN"),"--")</f>
        <v/>
      </c>
      <c r="W11" s="5">
        <f>IFERROR(BDP(V11&amp;" CORP","LAST_PRICE"),"--")</f>
        <v/>
      </c>
      <c r="X11" s="7">
        <f>IFERROR(BDP(E11&amp;" Corp","YAS_YLD_SPREAD","YAS_BOND_PX="&amp;U11,"YAS_BNCHMRK_BOND_PX="&amp;W11),"--")</f>
        <v/>
      </c>
      <c r="Y11" s="7">
        <f>IFERROR(BDP(E11&amp;" Corp","BLOOMBERG_MID_G_SPREAD","YAS_BOND_PX="&amp;U11,"YAS_BNCHMRK_BOND_PX="&amp;W11),"--")</f>
        <v/>
      </c>
      <c r="Z11" s="7">
        <f>IFERROR(BDP(D11,"LAST_PRICE"),"--")</f>
        <v/>
      </c>
      <c r="AA11" s="7">
        <f>IFERROR(Z11-Y11,"--")</f>
        <v/>
      </c>
      <c r="AB11" s="8">
        <f>IFERROR((AA11-R11)/(S11-R11)*100,"--")</f>
        <v/>
      </c>
    </row>
    <row r="12">
      <c r="A12" t="inlineStr">
        <is>
          <t>ARCC</t>
        </is>
      </c>
      <c r="B12" t="inlineStr">
        <is>
          <t>Fin</t>
        </is>
      </c>
      <c r="C12" t="inlineStr">
        <is>
          <t>ARCC 5.8 03/08/32</t>
        </is>
      </c>
      <c r="D12" t="inlineStr">
        <is>
          <t>CZ061117 Curncy</t>
        </is>
      </c>
      <c r="E12" t="inlineStr">
        <is>
          <t>US04010LBH50</t>
        </is>
      </c>
      <c r="F12" s="2" t="n">
        <v>46125</v>
      </c>
      <c r="G12" s="2" t="n">
        <v>46225</v>
      </c>
      <c r="H12" s="2" t="n">
        <v>48385</v>
      </c>
      <c r="I12" s="3" t="n">
        <v>230.9093</v>
      </c>
      <c r="J12" s="3" t="n">
        <v>209.0511</v>
      </c>
      <c r="K12" s="3" t="n">
        <v>162.53</v>
      </c>
      <c r="L12" s="3" t="n">
        <v>167.699</v>
      </c>
      <c r="M12" s="3" t="n">
        <v>68.3793</v>
      </c>
      <c r="N12" s="3" t="n">
        <v>49.3039</v>
      </c>
      <c r="O12" s="3" t="n">
        <v>80.06089999999998</v>
      </c>
      <c r="P12" s="4" t="n">
        <v>62.01970283187572</v>
      </c>
      <c r="Q12" s="3" t="n">
        <v>46.52109999999999</v>
      </c>
      <c r="R12" s="3" t="n">
        <v>37.05869999999999</v>
      </c>
      <c r="S12" s="3" t="n">
        <v>71.97659999999996</v>
      </c>
      <c r="T12" s="4" t="n">
        <v>27.09899507129584</v>
      </c>
      <c r="U12" s="5">
        <f>IFERROR(BDP(E12&amp;" Corp","LAST_PRICE"),"--")</f>
        <v/>
      </c>
      <c r="V12" s="6">
        <f>IFERROR(BDP(E12&amp;" Corp","YAS_BENCHMARK_BOND_ISIN"),"--")</f>
        <v/>
      </c>
      <c r="W12" s="5">
        <f>IFERROR(BDP(V12&amp;" CORP","LAST_PRICE"),"--")</f>
        <v/>
      </c>
      <c r="X12" s="7">
        <f>IFERROR(BDP(E12&amp;" Corp","YAS_YLD_SPREAD","YAS_BOND_PX="&amp;U12,"YAS_BNCHMRK_BOND_PX="&amp;W12),"--")</f>
        <v/>
      </c>
      <c r="Y12" s="7">
        <f>IFERROR(BDP(E12&amp;" Corp","BLOOMBERG_MID_G_SPREAD","YAS_BOND_PX="&amp;U12,"YAS_BNCHMRK_BOND_PX="&amp;W12),"--")</f>
        <v/>
      </c>
      <c r="Z12" s="7">
        <f>IFERROR(BDP(D12,"LAST_PRICE"),"--")</f>
        <v/>
      </c>
      <c r="AA12" s="7">
        <f>IFERROR(Z12-Y12,"--")</f>
        <v/>
      </c>
      <c r="AB12" s="8">
        <f>IFERROR((AA12-R12)/(S12-R12)*100,"--")</f>
        <v/>
      </c>
    </row>
    <row r="13">
      <c r="A13" t="inlineStr">
        <is>
          <t>BCRED</t>
        </is>
      </c>
      <c r="B13" t="inlineStr">
        <is>
          <t>Fin</t>
        </is>
      </c>
      <c r="C13" t="inlineStr">
        <is>
          <t>BCRED 6 01/29/32</t>
        </is>
      </c>
      <c r="D13" t="inlineStr">
        <is>
          <t>CZ061066 Curncy</t>
        </is>
      </c>
      <c r="E13" t="inlineStr">
        <is>
          <t>US09261HBX44</t>
        </is>
      </c>
      <c r="F13" s="2" t="n">
        <v>46121</v>
      </c>
      <c r="G13" s="2" t="n">
        <v>46225</v>
      </c>
      <c r="H13" s="2" t="n">
        <v>48385</v>
      </c>
      <c r="I13" s="3" t="n">
        <v>239.55</v>
      </c>
      <c r="J13" s="3" t="n">
        <v>218.4808</v>
      </c>
      <c r="K13" s="3" t="n">
        <v>203.151</v>
      </c>
      <c r="L13" s="3" t="n">
        <v>206.068</v>
      </c>
      <c r="M13" s="3" t="n">
        <v>36.399</v>
      </c>
      <c r="N13" s="3" t="n">
        <v>22.595</v>
      </c>
      <c r="O13" s="3" t="n">
        <v>111.6315</v>
      </c>
      <c r="P13" s="4" t="n">
        <v>15.50375407838359</v>
      </c>
      <c r="Q13" s="3" t="n">
        <v>15.32979999999998</v>
      </c>
      <c r="R13" s="3" t="n">
        <v>6.452300000000008</v>
      </c>
      <c r="S13" s="3" t="n">
        <v>99.63230000000001</v>
      </c>
      <c r="T13" s="4" t="n">
        <v>9.527259068469595</v>
      </c>
      <c r="U13" s="5">
        <f>IFERROR(BDP(E13&amp;" Corp","LAST_PRICE"),"--")</f>
        <v/>
      </c>
      <c r="V13" s="6">
        <f>IFERROR(BDP(E13&amp;" Corp","YAS_BENCHMARK_BOND_ISIN"),"--")</f>
        <v/>
      </c>
      <c r="W13" s="5">
        <f>IFERROR(BDP(V13&amp;" CORP","LAST_PRICE"),"--")</f>
        <v/>
      </c>
      <c r="X13" s="7">
        <f>IFERROR(BDP(E13&amp;" Corp","YAS_YLD_SPREAD","YAS_BOND_PX="&amp;U13,"YAS_BNCHMRK_BOND_PX="&amp;W13),"--")</f>
        <v/>
      </c>
      <c r="Y13" s="7">
        <f>IFERROR(BDP(E13&amp;" Corp","BLOOMBERG_MID_G_SPREAD","YAS_BOND_PX="&amp;U13,"YAS_BNCHMRK_BOND_PX="&amp;W13),"--")</f>
        <v/>
      </c>
      <c r="Z13" s="7">
        <f>IFERROR(BDP(D13,"LAST_PRICE"),"--")</f>
        <v/>
      </c>
      <c r="AA13" s="7">
        <f>IFERROR(Z13-Y13,"--")</f>
        <v/>
      </c>
      <c r="AB13" s="8">
        <f>IFERROR((AA13-R13)/(S13-R13)*100,"--")</f>
        <v/>
      </c>
    </row>
    <row r="14">
      <c r="A14" t="inlineStr">
        <is>
          <t>CFG</t>
        </is>
      </c>
      <c r="B14" t="inlineStr">
        <is>
          <t>Fin</t>
        </is>
      </c>
      <c r="C14" t="inlineStr">
        <is>
          <t>CFG 5.253 03/05/31</t>
        </is>
      </c>
      <c r="D14" t="inlineStr">
        <is>
          <t>CZ023012 Curncy</t>
        </is>
      </c>
      <c r="E14" t="inlineStr">
        <is>
          <t>US174610BJ37</t>
        </is>
      </c>
      <c r="F14" s="2" t="n">
        <v>46121</v>
      </c>
      <c r="G14" s="2" t="n">
        <v>46225</v>
      </c>
      <c r="H14" s="2" t="n">
        <v>48019</v>
      </c>
      <c r="I14" s="3" t="n">
        <v>80.5021</v>
      </c>
      <c r="J14" s="3" t="n">
        <v>80.5021</v>
      </c>
      <c r="K14" s="3" t="n">
        <v>76.596</v>
      </c>
      <c r="L14" s="3" t="n">
        <v>72.52500000000001</v>
      </c>
      <c r="M14" s="3" t="n">
        <v>3.906099999999995</v>
      </c>
      <c r="N14" s="3" t="n">
        <v>-11.2456</v>
      </c>
      <c r="O14" s="3" t="n">
        <v>6.562600000000003</v>
      </c>
      <c r="P14" s="4" t="n">
        <v>85.08271470446194</v>
      </c>
      <c r="Q14" s="3" t="n">
        <v>3.906099999999995</v>
      </c>
      <c r="R14" s="3" t="n">
        <v>-11.2456</v>
      </c>
      <c r="S14" s="3" t="n">
        <v>6.562600000000003</v>
      </c>
      <c r="T14" s="4" t="n">
        <v>85.08271470446194</v>
      </c>
      <c r="U14" s="5">
        <f>IFERROR(BDP(E14&amp;" Corp","LAST_PRICE"),"--")</f>
        <v/>
      </c>
      <c r="V14" s="6">
        <f>IFERROR(BDP(E14&amp;" Corp","YAS_BENCHMARK_BOND_ISIN"),"--")</f>
        <v/>
      </c>
      <c r="W14" s="5">
        <f>IFERROR(BDP(V14&amp;" CORP","LAST_PRICE"),"--")</f>
        <v/>
      </c>
      <c r="X14" s="7">
        <f>IFERROR(BDP(E14&amp;" Corp","YAS_YLD_SPREAD","YAS_BOND_PX="&amp;U14,"YAS_BNCHMRK_BOND_PX="&amp;W14),"--")</f>
        <v/>
      </c>
      <c r="Y14" s="7">
        <f>IFERROR(BDP(E14&amp;" Corp","BLOOMBERG_MID_G_SPREAD","YAS_BOND_PX="&amp;U14,"YAS_BNCHMRK_BOND_PX="&amp;W14),"--")</f>
        <v/>
      </c>
      <c r="Z14" s="7">
        <f>IFERROR(BDP(D14,"LAST_PRICE"),"--")</f>
        <v/>
      </c>
      <c r="AA14" s="7">
        <f>IFERROR(Z14-Y14,"--")</f>
        <v/>
      </c>
      <c r="AB14" s="8">
        <f>IFERROR((AA14-R14)/(S14-R14)*100,"--")</f>
        <v/>
      </c>
    </row>
    <row r="15">
      <c r="A15" t="inlineStr">
        <is>
          <t>CM</t>
        </is>
      </c>
      <c r="B15" t="inlineStr">
        <is>
          <t>Fin</t>
        </is>
      </c>
      <c r="C15" t="inlineStr">
        <is>
          <t>CM 4.58 09/08/31</t>
        </is>
      </c>
      <c r="D15" t="inlineStr">
        <is>
          <t>CT718565 Curncy</t>
        </is>
      </c>
      <c r="E15" t="inlineStr">
        <is>
          <t>US13607QFE70</t>
        </is>
      </c>
      <c r="F15" s="2" t="n">
        <v>46121</v>
      </c>
      <c r="G15" s="2" t="n">
        <v>46225</v>
      </c>
      <c r="H15" s="2" t="n">
        <v>48202</v>
      </c>
      <c r="I15" s="3" t="n">
        <v>68.038</v>
      </c>
      <c r="J15" s="3" t="n">
        <v>62.1713</v>
      </c>
      <c r="K15" s="3" t="n">
        <v>67.76300000000001</v>
      </c>
      <c r="L15" s="3" t="n">
        <v>65.746</v>
      </c>
      <c r="M15" s="3" t="n">
        <v>0.2749999999999915</v>
      </c>
      <c r="N15" s="3" t="n">
        <v>-9.229100000000003</v>
      </c>
      <c r="O15" s="3" t="n">
        <v>4.687399999999997</v>
      </c>
      <c r="P15" s="4" t="n">
        <v>68.29375202098224</v>
      </c>
      <c r="Q15" s="3" t="n">
        <v>-5.591700000000003</v>
      </c>
      <c r="R15" s="3" t="n">
        <v>-15.3527</v>
      </c>
      <c r="S15" s="3" t="n">
        <v>-1.838299999999997</v>
      </c>
      <c r="T15" s="4" t="n">
        <v>72.22666193097729</v>
      </c>
      <c r="U15" s="5">
        <f>IFERROR(BDP(E15&amp;" Corp","LAST_PRICE"),"--")</f>
        <v/>
      </c>
      <c r="V15" s="6">
        <f>IFERROR(BDP(E15&amp;" Corp","YAS_BENCHMARK_BOND_ISIN"),"--")</f>
        <v/>
      </c>
      <c r="W15" s="5">
        <f>IFERROR(BDP(V15&amp;" CORP","LAST_PRICE"),"--")</f>
        <v/>
      </c>
      <c r="X15" s="7">
        <f>IFERROR(BDP(E15&amp;" Corp","YAS_YLD_SPREAD","YAS_BOND_PX="&amp;U15,"YAS_BNCHMRK_BOND_PX="&amp;W15),"--")</f>
        <v/>
      </c>
      <c r="Y15" s="7">
        <f>IFERROR(BDP(E15&amp;" Corp","BLOOMBERG_MID_G_SPREAD","YAS_BOND_PX="&amp;U15,"YAS_BNCHMRK_BOND_PX="&amp;W15),"--")</f>
        <v/>
      </c>
      <c r="Z15" s="7">
        <f>IFERROR(BDP(D15,"LAST_PRICE"),"--")</f>
        <v/>
      </c>
      <c r="AA15" s="7">
        <f>IFERROR(Z15-Y15,"--")</f>
        <v/>
      </c>
      <c r="AB15" s="8">
        <f>IFERROR((AA15-R15)/(S15-R15)*100,"--")</f>
        <v/>
      </c>
    </row>
    <row r="16">
      <c r="A16" t="inlineStr">
        <is>
          <t>EQR</t>
        </is>
      </c>
      <c r="B16" t="inlineStr">
        <is>
          <t>Fin</t>
        </is>
      </c>
      <c r="C16" t="inlineStr">
        <is>
          <t>EQR 4.95 06/15/32</t>
        </is>
      </c>
      <c r="D16" t="inlineStr">
        <is>
          <t>CT426366 Curncy</t>
        </is>
      </c>
      <c r="E16" t="inlineStr">
        <is>
          <t>US26884ABQ58</t>
        </is>
      </c>
      <c r="F16" s="2" t="n">
        <v>45779</v>
      </c>
      <c r="G16" s="2" t="n">
        <v>46225</v>
      </c>
      <c r="H16" s="2" t="n">
        <v>48385</v>
      </c>
      <c r="I16" s="3" t="n">
        <v>65.0878</v>
      </c>
      <c r="J16" s="3" t="n">
        <v>55.7095</v>
      </c>
      <c r="K16" s="3" t="n">
        <v>56.101</v>
      </c>
      <c r="L16" s="3" t="n">
        <v>63.387</v>
      </c>
      <c r="M16" s="3" t="n">
        <v>8.986800000000002</v>
      </c>
      <c r="N16" s="3" t="n">
        <v>-15.2824</v>
      </c>
      <c r="O16" s="3" t="n">
        <v>14.2934</v>
      </c>
      <c r="P16" s="4" t="n">
        <v>82.05762819602514</v>
      </c>
      <c r="Q16" s="3" t="n">
        <v>-0.3915000000000006</v>
      </c>
      <c r="R16" s="3" t="n">
        <v>-22.4864</v>
      </c>
      <c r="S16" s="3" t="n">
        <v>5.0702</v>
      </c>
      <c r="T16" s="4" t="n">
        <v>80.18006575557216</v>
      </c>
      <c r="U16" s="5">
        <f>IFERROR(BDP(E16&amp;" Corp","LAST_PRICE"),"--")</f>
        <v/>
      </c>
      <c r="V16" s="6">
        <f>IFERROR(BDP(E16&amp;" Corp","YAS_BENCHMARK_BOND_ISIN"),"--")</f>
        <v/>
      </c>
      <c r="W16" s="5">
        <f>IFERROR(BDP(V16&amp;" CORP","LAST_PRICE"),"--")</f>
        <v/>
      </c>
      <c r="X16" s="7">
        <f>IFERROR(BDP(E16&amp;" Corp","YAS_YLD_SPREAD","YAS_BOND_PX="&amp;U16,"YAS_BNCHMRK_BOND_PX="&amp;W16),"--")</f>
        <v/>
      </c>
      <c r="Y16" s="7">
        <f>IFERROR(BDP(E16&amp;" Corp","BLOOMBERG_MID_G_SPREAD","YAS_BOND_PX="&amp;U16,"YAS_BNCHMRK_BOND_PX="&amp;W16),"--")</f>
        <v/>
      </c>
      <c r="Z16" s="7">
        <f>IFERROR(BDP(D16,"LAST_PRICE"),"--")</f>
        <v/>
      </c>
      <c r="AA16" s="7">
        <f>IFERROR(Z16-Y16,"--")</f>
        <v/>
      </c>
      <c r="AB16" s="8">
        <f>IFERROR((AA16-R16)/(S16-R16)*100,"--")</f>
        <v/>
      </c>
    </row>
    <row r="17">
      <c r="A17" t="inlineStr">
        <is>
          <t>HIG</t>
        </is>
      </c>
      <c r="B17" t="inlineStr">
        <is>
          <t>Fin</t>
        </is>
      </c>
      <c r="C17" t="inlineStr">
        <is>
          <t>HIG 2.8 08/19/29</t>
        </is>
      </c>
      <c r="D17" t="inlineStr">
        <is>
          <t>CHIG1U5 Curncy</t>
        </is>
      </c>
      <c r="E17" t="inlineStr">
        <is>
          <t>US416515BE33</t>
        </is>
      </c>
      <c r="F17" s="2" t="n">
        <v>45712</v>
      </c>
      <c r="G17" s="2" t="n">
        <v>46225</v>
      </c>
      <c r="H17" s="2" t="n">
        <v>47472</v>
      </c>
      <c r="I17" s="3" t="n">
        <v>36.4373</v>
      </c>
      <c r="J17" s="3" t="n">
        <v>51.7596</v>
      </c>
      <c r="K17" s="3" t="n">
        <v>52.405</v>
      </c>
      <c r="L17" s="3" t="n">
        <v>52.583</v>
      </c>
      <c r="M17" s="3" t="n">
        <v>-15.9677</v>
      </c>
      <c r="N17" s="3" t="n">
        <v>-57.6568</v>
      </c>
      <c r="O17" s="3" t="n">
        <v>4.956799999999994</v>
      </c>
      <c r="P17" s="4" t="n">
        <v>66.58154139036887</v>
      </c>
      <c r="Q17" s="3" t="n">
        <v>-0.6454000000000022</v>
      </c>
      <c r="R17" s="3" t="n">
        <v>-43.52369999999999</v>
      </c>
      <c r="S17" s="3" t="n">
        <v>19.9954</v>
      </c>
      <c r="T17" s="4" t="n">
        <v>67.50457736334425</v>
      </c>
      <c r="U17" s="5">
        <f>IFERROR(BDP(E17&amp;" Corp","LAST_PRICE"),"--")</f>
        <v/>
      </c>
      <c r="V17" s="6">
        <f>IFERROR(BDP(E17&amp;" Corp","YAS_BENCHMARK_BOND_ISIN"),"--")</f>
        <v/>
      </c>
      <c r="W17" s="5">
        <f>IFERROR(BDP(V17&amp;" CORP","LAST_PRICE"),"--")</f>
        <v/>
      </c>
      <c r="X17" s="7">
        <f>IFERROR(BDP(E17&amp;" Corp","YAS_YLD_SPREAD","YAS_BOND_PX="&amp;U17,"YAS_BNCHMRK_BOND_PX="&amp;W17),"--")</f>
        <v/>
      </c>
      <c r="Y17" s="7">
        <f>IFERROR(BDP(E17&amp;" Corp","BLOOMBERG_MID_G_SPREAD","YAS_BOND_PX="&amp;U17,"YAS_BNCHMRK_BOND_PX="&amp;W17),"--")</f>
        <v/>
      </c>
      <c r="Z17" s="7">
        <f>IFERROR(BDP(D17,"LAST_PRICE"),"--")</f>
        <v/>
      </c>
      <c r="AA17" s="7">
        <f>IFERROR(Z17-Y17,"--")</f>
        <v/>
      </c>
      <c r="AB17" s="8">
        <f>IFERROR((AA17-R17)/(S17-R17)*100,"--")</f>
        <v/>
      </c>
    </row>
    <row r="18">
      <c r="A18" t="inlineStr">
        <is>
          <t>JEF</t>
        </is>
      </c>
      <c r="B18" t="inlineStr">
        <is>
          <t>Fin</t>
        </is>
      </c>
      <c r="C18" t="inlineStr">
        <is>
          <t>JEF 2 5/8 10/15/31</t>
        </is>
      </c>
      <c r="D18" t="inlineStr">
        <is>
          <t>CY090578 Curncy</t>
        </is>
      </c>
      <c r="E18" t="inlineStr">
        <is>
          <t>US47233JGT97</t>
        </is>
      </c>
      <c r="F18" s="2" t="n">
        <v>46121</v>
      </c>
      <c r="G18" s="2" t="n">
        <v>46225</v>
      </c>
      <c r="H18" s="2" t="n">
        <v>48202</v>
      </c>
      <c r="I18" s="3" t="n">
        <v>155.5303</v>
      </c>
      <c r="J18" s="3" t="n">
        <v>149.1667</v>
      </c>
      <c r="K18" s="3" t="n">
        <v>115.095</v>
      </c>
      <c r="L18" s="3" t="n">
        <v>117.537</v>
      </c>
      <c r="M18" s="3" t="n">
        <v>40.43530000000001</v>
      </c>
      <c r="N18" s="3" t="n">
        <v>32.7362</v>
      </c>
      <c r="O18" s="3" t="n">
        <v>60.55000000000001</v>
      </c>
      <c r="P18" s="4" t="n">
        <v>27.68086345626995</v>
      </c>
      <c r="Q18" s="3" t="n">
        <v>34.07169999999999</v>
      </c>
      <c r="R18" s="3" t="n">
        <v>25.77869999999999</v>
      </c>
      <c r="S18" s="3" t="n">
        <v>48.89100000000001</v>
      </c>
      <c r="T18" s="4" t="n">
        <v>35.88132725864583</v>
      </c>
      <c r="U18" s="5">
        <f>IFERROR(BDP(E18&amp;" Corp","LAST_PRICE"),"--")</f>
        <v/>
      </c>
      <c r="V18" s="6">
        <f>IFERROR(BDP(E18&amp;" Corp","YAS_BENCHMARK_BOND_ISIN"),"--")</f>
        <v/>
      </c>
      <c r="W18" s="5">
        <f>IFERROR(BDP(V18&amp;" CORP","LAST_PRICE"),"--")</f>
        <v/>
      </c>
      <c r="X18" s="7">
        <f>IFERROR(BDP(E18&amp;" Corp","YAS_YLD_SPREAD","YAS_BOND_PX="&amp;U18,"YAS_BNCHMRK_BOND_PX="&amp;W18),"--")</f>
        <v/>
      </c>
      <c r="Y18" s="7">
        <f>IFERROR(BDP(E18&amp;" Corp","BLOOMBERG_MID_G_SPREAD","YAS_BOND_PX="&amp;U18,"YAS_BNCHMRK_BOND_PX="&amp;W18),"--")</f>
        <v/>
      </c>
      <c r="Z18" s="7">
        <f>IFERROR(BDP(D18,"LAST_PRICE"),"--")</f>
        <v/>
      </c>
      <c r="AA18" s="7">
        <f>IFERROR(Z18-Y18,"--")</f>
        <v/>
      </c>
      <c r="AB18" s="8">
        <f>IFERROR((AA18-R18)/(S18-R18)*100,"--")</f>
        <v/>
      </c>
    </row>
    <row r="19">
      <c r="A19" t="inlineStr">
        <is>
          <t>MMC</t>
        </is>
      </c>
      <c r="B19" t="inlineStr">
        <is>
          <t>Fin</t>
        </is>
      </c>
      <c r="C19" t="inlineStr">
        <is>
          <t>MRSH 4.85 11/15/31</t>
        </is>
      </c>
      <c r="D19" t="inlineStr">
        <is>
          <t>CMMC1U5  Curncy</t>
        </is>
      </c>
      <c r="E19" t="inlineStr">
        <is>
          <t>US571748CB69</t>
        </is>
      </c>
      <c r="F19" s="2" t="n">
        <v>45659</v>
      </c>
      <c r="G19" s="2" t="n">
        <v>46225</v>
      </c>
      <c r="H19" s="2" t="n">
        <v>48202</v>
      </c>
      <c r="I19" s="3" t="n">
        <v>52.3212</v>
      </c>
      <c r="J19" s="3" t="n">
        <v>49.3442</v>
      </c>
      <c r="K19" s="3" t="n">
        <v>60.166</v>
      </c>
      <c r="L19" s="3" t="n">
        <v>62.234</v>
      </c>
      <c r="M19" s="3" t="n">
        <v>-7.844799999999999</v>
      </c>
      <c r="N19" s="3" t="n">
        <v>-38.7502</v>
      </c>
      <c r="O19" s="3" t="n">
        <v>0.5848000000000013</v>
      </c>
      <c r="P19" s="4" t="n">
        <v>78.56972162196517</v>
      </c>
      <c r="Q19" s="3" t="n">
        <v>-10.8218</v>
      </c>
      <c r="R19" s="3" t="n">
        <v>-41.2048</v>
      </c>
      <c r="S19" s="3" t="n">
        <v>-2.773200000000003</v>
      </c>
      <c r="T19" s="4" t="n">
        <v>79.05733823207987</v>
      </c>
      <c r="U19" s="5">
        <f>IFERROR(BDP(E19&amp;" Corp","LAST_PRICE"),"--")</f>
        <v/>
      </c>
      <c r="V19" s="6">
        <f>IFERROR(BDP(E19&amp;" Corp","YAS_BENCHMARK_BOND_ISIN"),"--")</f>
        <v/>
      </c>
      <c r="W19" s="5">
        <f>IFERROR(BDP(V19&amp;" CORP","LAST_PRICE"),"--")</f>
        <v/>
      </c>
      <c r="X19" s="7">
        <f>IFERROR(BDP(E19&amp;" Corp","YAS_YLD_SPREAD","YAS_BOND_PX="&amp;U19,"YAS_BNCHMRK_BOND_PX="&amp;W19),"--")</f>
        <v/>
      </c>
      <c r="Y19" s="7">
        <f>IFERROR(BDP(E19&amp;" Corp","BLOOMBERG_MID_G_SPREAD","YAS_BOND_PX="&amp;U19,"YAS_BNCHMRK_BOND_PX="&amp;W19),"--")</f>
        <v/>
      </c>
      <c r="Z19" s="7">
        <f>IFERROR(BDP(D19,"LAST_PRICE"),"--")</f>
        <v/>
      </c>
      <c r="AA19" s="7">
        <f>IFERROR(Z19-Y19,"--")</f>
        <v/>
      </c>
      <c r="AB19" s="8">
        <f>IFERROR((AA19-R19)/(S19-R19)*100,"--")</f>
        <v/>
      </c>
    </row>
    <row r="20">
      <c r="A20" t="inlineStr">
        <is>
          <t>MTB</t>
        </is>
      </c>
      <c r="B20" t="inlineStr">
        <is>
          <t>Fin</t>
        </is>
      </c>
      <c r="C20" t="inlineStr">
        <is>
          <t>MTB 5.179 07/08/31</t>
        </is>
      </c>
      <c r="D20" t="inlineStr">
        <is>
          <t>CT718525 Curncy</t>
        </is>
      </c>
      <c r="E20" t="inlineStr">
        <is>
          <t>US55261FAY07</t>
        </is>
      </c>
      <c r="F20" s="2" t="n">
        <v>46121</v>
      </c>
      <c r="G20" s="2" t="n">
        <v>46225</v>
      </c>
      <c r="H20" s="2" t="n">
        <v>48202</v>
      </c>
      <c r="I20" s="3" t="n">
        <v>72.8013</v>
      </c>
      <c r="J20" s="3" t="n">
        <v>70.33669999999999</v>
      </c>
      <c r="K20" s="3" t="n">
        <v>76.986</v>
      </c>
      <c r="L20" s="3" t="n">
        <v>73.639</v>
      </c>
      <c r="M20" s="3" t="n">
        <v>-4.184700000000007</v>
      </c>
      <c r="N20" s="3" t="n">
        <v>-14.0808</v>
      </c>
      <c r="O20" s="3" t="n">
        <v>1.187899999999999</v>
      </c>
      <c r="P20" s="4" t="n">
        <v>64.8129834236051</v>
      </c>
      <c r="Q20" s="3" t="n">
        <v>-6.649300000000011</v>
      </c>
      <c r="R20" s="3" t="n">
        <v>-17.422</v>
      </c>
      <c r="S20" s="3" t="n">
        <v>-1.166299999999993</v>
      </c>
      <c r="T20" s="4" t="n">
        <v>66.27029288188133</v>
      </c>
      <c r="U20" s="5">
        <f>IFERROR(BDP(E20&amp;" Corp","LAST_PRICE"),"--")</f>
        <v/>
      </c>
      <c r="V20" s="6">
        <f>IFERROR(BDP(E20&amp;" Corp","YAS_BENCHMARK_BOND_ISIN"),"--")</f>
        <v/>
      </c>
      <c r="W20" s="5">
        <f>IFERROR(BDP(V20&amp;" CORP","LAST_PRICE"),"--")</f>
        <v/>
      </c>
      <c r="X20" s="7">
        <f>IFERROR(BDP(E20&amp;" Corp","YAS_YLD_SPREAD","YAS_BOND_PX="&amp;U20,"YAS_BNCHMRK_BOND_PX="&amp;W20),"--")</f>
        <v/>
      </c>
      <c r="Y20" s="7">
        <f>IFERROR(BDP(E20&amp;" Corp","BLOOMBERG_MID_G_SPREAD","YAS_BOND_PX="&amp;U20,"YAS_BNCHMRK_BOND_PX="&amp;W20),"--")</f>
        <v/>
      </c>
      <c r="Z20" s="7">
        <f>IFERROR(BDP(D20,"LAST_PRICE"),"--")</f>
        <v/>
      </c>
      <c r="AA20" s="7">
        <f>IFERROR(Z20-Y20,"--")</f>
        <v/>
      </c>
      <c r="AB20" s="8">
        <f>IFERROR((AA20-R20)/(S20-R20)*100,"--")</f>
        <v/>
      </c>
    </row>
    <row r="21">
      <c r="A21" t="inlineStr">
        <is>
          <t>SYF</t>
        </is>
      </c>
      <c r="B21" t="inlineStr">
        <is>
          <t>Fin</t>
        </is>
      </c>
      <c r="C21" t="inlineStr">
        <is>
          <t>SYF 4.947 02/25/32</t>
        </is>
      </c>
      <c r="D21" t="inlineStr">
        <is>
          <t>CZ061100 Curncy</t>
        </is>
      </c>
      <c r="E21" t="inlineStr">
        <is>
          <t>US87165BAZ67</t>
        </is>
      </c>
      <c r="F21" s="2" t="n">
        <v>46121</v>
      </c>
      <c r="G21" s="2" t="n">
        <v>46225</v>
      </c>
      <c r="H21" s="2" t="n">
        <v>48385</v>
      </c>
      <c r="I21" s="3" t="n">
        <v>163.7539</v>
      </c>
      <c r="J21" s="3" t="n">
        <v>150.6596</v>
      </c>
      <c r="K21" s="3" t="n">
        <v>137.284</v>
      </c>
      <c r="L21" s="3" t="n">
        <v>137.734</v>
      </c>
      <c r="M21" s="3" t="n">
        <v>26.4699</v>
      </c>
      <c r="N21" s="3" t="n">
        <v>-31.96679999999999</v>
      </c>
      <c r="O21" s="3" t="n">
        <v>39.98430000000002</v>
      </c>
      <c r="P21" s="4" t="n">
        <v>81.21724337779406</v>
      </c>
      <c r="Q21" s="3" t="n">
        <v>13.37560000000002</v>
      </c>
      <c r="R21" s="3" t="n">
        <v>-48.53909999999999</v>
      </c>
      <c r="S21" s="3" t="n">
        <v>26.0411</v>
      </c>
      <c r="T21" s="4" t="n">
        <v>83.01761057224306</v>
      </c>
      <c r="U21" s="5">
        <f>IFERROR(BDP(E21&amp;" Corp","LAST_PRICE"),"--")</f>
        <v/>
      </c>
      <c r="V21" s="6">
        <f>IFERROR(BDP(E21&amp;" Corp","YAS_BENCHMARK_BOND_ISIN"),"--")</f>
        <v/>
      </c>
      <c r="W21" s="5">
        <f>IFERROR(BDP(V21&amp;" CORP","LAST_PRICE"),"--")</f>
        <v/>
      </c>
      <c r="X21" s="7">
        <f>IFERROR(BDP(E21&amp;" Corp","YAS_YLD_SPREAD","YAS_BOND_PX="&amp;U21,"YAS_BNCHMRK_BOND_PX="&amp;W21),"--")</f>
        <v/>
      </c>
      <c r="Y21" s="7">
        <f>IFERROR(BDP(E21&amp;" Corp","BLOOMBERG_MID_G_SPREAD","YAS_BOND_PX="&amp;U21,"YAS_BNCHMRK_BOND_PX="&amp;W21),"--")</f>
        <v/>
      </c>
      <c r="Z21" s="7">
        <f>IFERROR(BDP(D21,"LAST_PRICE"),"--")</f>
        <v/>
      </c>
      <c r="AA21" s="7">
        <f>IFERROR(Z21-Y21,"--")</f>
        <v/>
      </c>
      <c r="AB21" s="8">
        <f>IFERROR((AA21-R21)/(S21-R21)*100,"--")</f>
        <v/>
      </c>
    </row>
    <row r="22">
      <c r="A22" t="inlineStr">
        <is>
          <t>TFC</t>
        </is>
      </c>
      <c r="B22" t="inlineStr">
        <is>
          <t>Fin</t>
        </is>
      </c>
      <c r="C22" t="inlineStr">
        <is>
          <t>TFC 5.071 05/20/31</t>
        </is>
      </c>
      <c r="D22" t="inlineStr">
        <is>
          <t>CT406031 Curncy</t>
        </is>
      </c>
      <c r="E22" t="inlineStr">
        <is>
          <t>US89788MAU62</t>
        </is>
      </c>
      <c r="F22" s="2" t="n">
        <v>46121</v>
      </c>
      <c r="G22" s="2" t="n">
        <v>46225</v>
      </c>
      <c r="H22" s="2" t="n">
        <v>48019</v>
      </c>
      <c r="I22" s="3" t="n">
        <v>59.5</v>
      </c>
      <c r="J22" s="3" t="n">
        <v>59.5</v>
      </c>
      <c r="K22" s="3" t="n">
        <v>67.09</v>
      </c>
      <c r="L22" s="3" t="n">
        <v>63.97</v>
      </c>
      <c r="M22" s="3" t="n">
        <v>-7.590000000000003</v>
      </c>
      <c r="N22" s="3" t="n">
        <v>-17.97190000000001</v>
      </c>
      <c r="O22" s="3" t="n">
        <v>-0.09270000000000067</v>
      </c>
      <c r="P22" s="4" t="n">
        <v>58.06691574567095</v>
      </c>
      <c r="Q22" s="3" t="n">
        <v>-7.590000000000003</v>
      </c>
      <c r="R22" s="3" t="n">
        <v>-17.97190000000001</v>
      </c>
      <c r="S22" s="3" t="n">
        <v>-0.09270000000000067</v>
      </c>
      <c r="T22" s="4" t="n">
        <v>58.06691574567095</v>
      </c>
      <c r="U22" s="5">
        <f>IFERROR(BDP(E22&amp;" Corp","LAST_PRICE"),"--")</f>
        <v/>
      </c>
      <c r="V22" s="6">
        <f>IFERROR(BDP(E22&amp;" Corp","YAS_BENCHMARK_BOND_ISIN"),"--")</f>
        <v/>
      </c>
      <c r="W22" s="5">
        <f>IFERROR(BDP(V22&amp;" CORP","LAST_PRICE"),"--")</f>
        <v/>
      </c>
      <c r="X22" s="7">
        <f>IFERROR(BDP(E22&amp;" Corp","YAS_YLD_SPREAD","YAS_BOND_PX="&amp;U22,"YAS_BNCHMRK_BOND_PX="&amp;W22),"--")</f>
        <v/>
      </c>
      <c r="Y22" s="7">
        <f>IFERROR(BDP(E22&amp;" Corp","BLOOMBERG_MID_G_SPREAD","YAS_BOND_PX="&amp;U22,"YAS_BNCHMRK_BOND_PX="&amp;W22),"--")</f>
        <v/>
      </c>
      <c r="Z22" s="7">
        <f>IFERROR(BDP(D22,"LAST_PRICE"),"--")</f>
        <v/>
      </c>
      <c r="AA22" s="7">
        <f>IFERROR(Z22-Y22,"--")</f>
        <v/>
      </c>
      <c r="AB22" s="8">
        <f>IFERROR((AA22-R22)/(S22-R22)*100,"--")</f>
        <v/>
      </c>
    </row>
    <row r="23">
      <c r="A23" t="inlineStr">
        <is>
          <t>USB</t>
        </is>
      </c>
      <c r="B23" t="inlineStr">
        <is>
          <t>Fin</t>
        </is>
      </c>
      <c r="C23" t="inlineStr">
        <is>
          <t>USB 5.083 05/15/31</t>
        </is>
      </c>
      <c r="D23" t="inlineStr">
        <is>
          <t>CX376136 Curncy</t>
        </is>
      </c>
      <c r="E23" t="inlineStr">
        <is>
          <t>US91159HJV33</t>
        </is>
      </c>
      <c r="F23" s="2" t="n">
        <v>46121</v>
      </c>
      <c r="G23" s="2" t="n">
        <v>46225</v>
      </c>
      <c r="H23" s="2" t="n">
        <v>48019</v>
      </c>
      <c r="I23" s="3" t="n">
        <v>56.4844</v>
      </c>
      <c r="J23" s="3" t="n">
        <v>56.4844</v>
      </c>
      <c r="K23" s="3" t="n">
        <v>63.24</v>
      </c>
      <c r="L23" s="3" t="n">
        <v>59.766</v>
      </c>
      <c r="M23" s="3" t="n">
        <v>-6.755600000000001</v>
      </c>
      <c r="N23" s="3" t="n">
        <v>-22.1128</v>
      </c>
      <c r="O23" s="3" t="n">
        <v>0.9777000000000058</v>
      </c>
      <c r="P23" s="4" t="n">
        <v>66.50873735952013</v>
      </c>
      <c r="Q23" s="3" t="n">
        <v>-6.755600000000001</v>
      </c>
      <c r="R23" s="3" t="n">
        <v>-22.1128</v>
      </c>
      <c r="S23" s="3" t="n">
        <v>0.9777000000000058</v>
      </c>
      <c r="T23" s="4" t="n">
        <v>66.50873735952013</v>
      </c>
      <c r="U23" s="5">
        <f>IFERROR(BDP(E23&amp;" Corp","LAST_PRICE"),"--")</f>
        <v/>
      </c>
      <c r="V23" s="6">
        <f>IFERROR(BDP(E23&amp;" Corp","YAS_BENCHMARK_BOND_ISIN"),"--")</f>
        <v/>
      </c>
      <c r="W23" s="5">
        <f>IFERROR(BDP(V23&amp;" CORP","LAST_PRICE"),"--")</f>
        <v/>
      </c>
      <c r="X23" s="7">
        <f>IFERROR(BDP(E23&amp;" Corp","YAS_YLD_SPREAD","YAS_BOND_PX="&amp;U23,"YAS_BNCHMRK_BOND_PX="&amp;W23),"--")</f>
        <v/>
      </c>
      <c r="Y23" s="7">
        <f>IFERROR(BDP(E23&amp;" Corp","BLOOMBERG_MID_G_SPREAD","YAS_BOND_PX="&amp;U23,"YAS_BNCHMRK_BOND_PX="&amp;W23),"--")</f>
        <v/>
      </c>
      <c r="Z23" s="7">
        <f>IFERROR(BDP(D23,"LAST_PRICE"),"--")</f>
        <v/>
      </c>
      <c r="AA23" s="7">
        <f>IFERROR(Z23-Y23,"--")</f>
        <v/>
      </c>
      <c r="AB23" s="8">
        <f>IFERROR((AA23-R23)/(S23-R23)*100,"--")</f>
        <v/>
      </c>
    </row>
    <row r="24">
      <c r="A24" t="inlineStr">
        <is>
          <t>AAL</t>
        </is>
      </c>
      <c r="B24" t="inlineStr">
        <is>
          <t>HY</t>
        </is>
      </c>
      <c r="C24" t="inlineStr">
        <is>
          <t>AAL 7 1/4 02/15/28</t>
        </is>
      </c>
      <c r="D24" t="inlineStr">
        <is>
          <t>AMR/AMERICAN CDS USD SR 5Y D14 Corp</t>
        </is>
      </c>
      <c r="E24" t="inlineStr">
        <is>
          <t>US023771T329</t>
        </is>
      </c>
      <c r="F24" s="2" t="n">
        <v>45659</v>
      </c>
      <c r="G24" s="2" t="n">
        <v>46225</v>
      </c>
      <c r="H24" s="2" t="n">
        <v>46924</v>
      </c>
      <c r="I24" s="3" t="n">
        <v>212.1987</v>
      </c>
      <c r="J24" s="3" t="n">
        <v>427.9509</v>
      </c>
      <c r="K24" s="3" t="n">
        <v>103.504</v>
      </c>
      <c r="L24" s="3" t="n">
        <v>93.95699999999999</v>
      </c>
      <c r="M24" s="3" t="n">
        <v>108.6947</v>
      </c>
      <c r="N24" s="3" t="n">
        <v>-25.03870000000001</v>
      </c>
      <c r="O24" s="3" t="n">
        <v>634.575</v>
      </c>
      <c r="P24" s="4" t="n">
        <v>20.27450309173384</v>
      </c>
      <c r="Q24" s="3" t="n">
        <v>324.4469</v>
      </c>
      <c r="R24" s="3" t="n">
        <v>223.5992</v>
      </c>
      <c r="S24" s="3" t="n">
        <v>808.7419</v>
      </c>
      <c r="T24" s="4" t="n">
        <v>17.23471898393331</v>
      </c>
      <c r="U24" s="5">
        <f>IFERROR(BDP(E24&amp;" Corp","LAST_PRICE"),"--")</f>
        <v/>
      </c>
      <c r="V24" s="6">
        <f>IFERROR(BDP(E24&amp;" Corp","YAS_BENCHMARK_BOND_ISIN"),"--")</f>
        <v/>
      </c>
      <c r="W24" s="5">
        <f>IFERROR(BDP(V24&amp;" CORP","LAST_PRICE"),"--")</f>
        <v/>
      </c>
      <c r="X24" s="7">
        <f>IFERROR(BDP(E24&amp;" Corp","YAS_YLD_SPREAD","YAS_BOND_PX="&amp;U24,"YAS_BNCHMRK_BOND_PX="&amp;W24),"--")</f>
        <v/>
      </c>
      <c r="Y24" s="7">
        <f>IFERROR(BDP(E24&amp;" Corp","BLOOMBERG_MID_G_SPREAD","YAS_BOND_PX="&amp;U24,"YAS_BNCHMRK_BOND_PX="&amp;W24),"--")</f>
        <v/>
      </c>
      <c r="Z24" s="7">
        <f>IFERROR(BDP(D24,"LAST_PRICE"),"--")</f>
        <v/>
      </c>
      <c r="AA24" s="7">
        <f>IFERROR(Z24-Y24,"--")</f>
        <v/>
      </c>
      <c r="AB24" s="8">
        <f>IFERROR((AA24-R24)/(S24-R24)*100,"--")</f>
        <v/>
      </c>
    </row>
    <row r="25">
      <c r="A25" t="inlineStr">
        <is>
          <t>ADT</t>
        </is>
      </c>
      <c r="B25" t="inlineStr">
        <is>
          <t>HY</t>
        </is>
      </c>
      <c r="C25" t="inlineStr">
        <is>
          <t>ADT 4 7/8 07/15/32</t>
        </is>
      </c>
      <c r="D25" t="inlineStr">
        <is>
          <t>ADT CDS USD SR 5Y D14 Corp</t>
        </is>
      </c>
      <c r="E25" t="inlineStr">
        <is>
          <t>US74166NAA28</t>
        </is>
      </c>
      <c r="F25" s="2" t="n">
        <v>45659</v>
      </c>
      <c r="G25" s="2" t="n">
        <v>46225</v>
      </c>
      <c r="H25" s="2" t="n">
        <v>48568</v>
      </c>
      <c r="I25" s="3" t="n">
        <v>151.859</v>
      </c>
      <c r="J25" s="3" t="n">
        <v>122.9598</v>
      </c>
      <c r="K25" s="3" t="n">
        <v>162.967</v>
      </c>
      <c r="L25" s="3" t="n">
        <v>174.998</v>
      </c>
      <c r="M25" s="3" t="n">
        <v>-11.108</v>
      </c>
      <c r="N25" s="3" t="n">
        <v>-47.10889999999999</v>
      </c>
      <c r="O25" s="3" t="n">
        <v>6.0702</v>
      </c>
      <c r="P25" s="4" t="n">
        <v>67.69746009240471</v>
      </c>
      <c r="Q25" s="3" t="n">
        <v>-40.00720000000001</v>
      </c>
      <c r="R25" s="3" t="n">
        <v>-69.56800000000001</v>
      </c>
      <c r="S25" s="3" t="n">
        <v>-7.684400000000011</v>
      </c>
      <c r="T25" s="4" t="n">
        <v>47.76839097919319</v>
      </c>
      <c r="U25" s="5">
        <f>IFERROR(BDP(E25&amp;" Corp","LAST_PRICE"),"--")</f>
        <v/>
      </c>
      <c r="V25" s="6">
        <f>IFERROR(BDP(E25&amp;" Corp","YAS_BENCHMARK_BOND_ISIN"),"--")</f>
        <v/>
      </c>
      <c r="W25" s="5">
        <f>IFERROR(BDP(V25&amp;" CORP","LAST_PRICE"),"--")</f>
        <v/>
      </c>
      <c r="X25" s="7">
        <f>IFERROR(BDP(E25&amp;" Corp","YAS_YLD_SPREAD","YAS_BOND_PX="&amp;U25,"YAS_BNCHMRK_BOND_PX="&amp;W25),"--")</f>
        <v/>
      </c>
      <c r="Y25" s="7">
        <f>IFERROR(BDP(E25&amp;" Corp","BLOOMBERG_MID_G_SPREAD","YAS_BOND_PX="&amp;U25,"YAS_BNCHMRK_BOND_PX="&amp;W25),"--")</f>
        <v/>
      </c>
      <c r="Z25" s="7">
        <f>IFERROR(BDP(D25,"LAST_PRICE"),"--")</f>
        <v/>
      </c>
      <c r="AA25" s="7">
        <f>IFERROR(Z25-Y25,"--")</f>
        <v/>
      </c>
      <c r="AB25" s="8">
        <f>IFERROR((AA25-R25)/(S25-R25)*100,"--")</f>
        <v/>
      </c>
    </row>
    <row r="26">
      <c r="A26" t="inlineStr">
        <is>
          <t>ALIANT</t>
        </is>
      </c>
      <c r="B26" t="inlineStr">
        <is>
          <t>HY</t>
        </is>
      </c>
      <c r="C26" t="inlineStr">
        <is>
          <t>ALIANT 7 3/8 10/01/32</t>
        </is>
      </c>
      <c r="D26" t="inlineStr">
        <is>
          <t>CY907103 Curncy</t>
        </is>
      </c>
      <c r="E26" t="inlineStr">
        <is>
          <t>US01883LAH69</t>
        </is>
      </c>
      <c r="F26" s="2" t="n">
        <v>45659</v>
      </c>
      <c r="G26" s="2" t="n">
        <v>46225</v>
      </c>
      <c r="H26" s="2" t="n">
        <v>48568</v>
      </c>
      <c r="I26" s="3" t="n">
        <v>263.7363</v>
      </c>
      <c r="J26" s="3" t="n">
        <v>248.7519</v>
      </c>
      <c r="K26" s="3" t="n">
        <v>274.518</v>
      </c>
      <c r="L26" s="3" t="n">
        <v>292.615</v>
      </c>
      <c r="M26" s="3" t="n">
        <v>-10.78169999999994</v>
      </c>
      <c r="N26" s="3" t="n">
        <v>-173.227</v>
      </c>
      <c r="O26" s="3" t="n">
        <v>-6.594400000000007</v>
      </c>
      <c r="P26" s="4" t="n">
        <v>97.48710636454095</v>
      </c>
      <c r="Q26" s="3" t="n">
        <v>-25.76609999999997</v>
      </c>
      <c r="R26" s="3" t="n">
        <v>-183.81</v>
      </c>
      <c r="S26" s="3" t="n">
        <v>-21.58599999999998</v>
      </c>
      <c r="T26" s="4" t="n">
        <v>97.42325426570669</v>
      </c>
      <c r="U26" s="5">
        <f>IFERROR(BDP(E26&amp;" Corp","LAST_PRICE"),"--")</f>
        <v/>
      </c>
      <c r="V26" s="6">
        <f>IFERROR(BDP(E26&amp;" Corp","YAS_BENCHMARK_BOND_ISIN"),"--")</f>
        <v/>
      </c>
      <c r="W26" s="5">
        <f>IFERROR(BDP(V26&amp;" CORP","LAST_PRICE"),"--")</f>
        <v/>
      </c>
      <c r="X26" s="7">
        <f>IFERROR(BDP(E26&amp;" Corp","YAS_YLD_SPREAD","YAS_BOND_PX="&amp;U26,"YAS_BNCHMRK_BOND_PX="&amp;W26),"--")</f>
        <v/>
      </c>
      <c r="Y26" s="7">
        <f>IFERROR(BDP(E26&amp;" Corp","BLOOMBERG_MID_G_SPREAD","YAS_BOND_PX="&amp;U26,"YAS_BNCHMRK_BOND_PX="&amp;W26),"--")</f>
        <v/>
      </c>
      <c r="Z26" s="7">
        <f>IFERROR(BDP(D26,"LAST_PRICE"),"--")</f>
        <v/>
      </c>
      <c r="AA26" s="7">
        <f>IFERROR(Z26-Y26,"--")</f>
        <v/>
      </c>
      <c r="AB26" s="8">
        <f>IFERROR((AA26-R26)/(S26-R26)*100,"--")</f>
        <v/>
      </c>
    </row>
    <row r="27">
      <c r="A27" t="inlineStr">
        <is>
          <t>AMKR</t>
        </is>
      </c>
      <c r="B27" t="inlineStr">
        <is>
          <t>HY</t>
        </is>
      </c>
      <c r="C27" t="inlineStr">
        <is>
          <t>AMKR 5 7/8 10/01/33</t>
        </is>
      </c>
      <c r="D27" t="inlineStr">
        <is>
          <t>AMKR CDS USD SR 5Y D14 Corp</t>
        </is>
      </c>
      <c r="E27" t="inlineStr">
        <is>
          <t>US031652BL34</t>
        </is>
      </c>
      <c r="F27" s="2" t="n">
        <v>45908</v>
      </c>
      <c r="G27" s="2" t="n">
        <v>46225</v>
      </c>
      <c r="H27" s="2" t="n">
        <v>48933</v>
      </c>
      <c r="I27" s="3" t="n">
        <v>157.8943</v>
      </c>
      <c r="J27" s="3" t="n">
        <v>110.797</v>
      </c>
      <c r="K27" s="3" t="n">
        <v>146.912</v>
      </c>
      <c r="L27" s="3" t="n">
        <v>143.663</v>
      </c>
      <c r="M27" s="3" t="n">
        <v>10.98229999999998</v>
      </c>
      <c r="N27" s="3" t="n">
        <v>-83.64149999999998</v>
      </c>
      <c r="O27" s="3" t="n">
        <v>13.23949999999999</v>
      </c>
      <c r="P27" s="4" t="n">
        <v>97.67013139831339</v>
      </c>
      <c r="Q27" s="3" t="n">
        <v>-36.11500000000001</v>
      </c>
      <c r="R27" s="3" t="n">
        <v>-111.058</v>
      </c>
      <c r="S27" s="3" t="n">
        <v>-32.72579999999999</v>
      </c>
      <c r="T27" s="4" t="n">
        <v>95.67329910305084</v>
      </c>
      <c r="U27" s="5">
        <f>IFERROR(BDP(E27&amp;" Corp","LAST_PRICE"),"--")</f>
        <v/>
      </c>
      <c r="V27" s="6">
        <f>IFERROR(BDP(E27&amp;" Corp","YAS_BENCHMARK_BOND_ISIN"),"--")</f>
        <v/>
      </c>
      <c r="W27" s="5">
        <f>IFERROR(BDP(V27&amp;" CORP","LAST_PRICE"),"--")</f>
        <v/>
      </c>
      <c r="X27" s="7">
        <f>IFERROR(BDP(E27&amp;" Corp","YAS_YLD_SPREAD","YAS_BOND_PX="&amp;U27,"YAS_BNCHMRK_BOND_PX="&amp;W27),"--")</f>
        <v/>
      </c>
      <c r="Y27" s="7">
        <f>IFERROR(BDP(E27&amp;" Corp","BLOOMBERG_MID_G_SPREAD","YAS_BOND_PX="&amp;U27,"YAS_BNCHMRK_BOND_PX="&amp;W27),"--")</f>
        <v/>
      </c>
      <c r="Z27" s="7">
        <f>IFERROR(BDP(D27,"LAST_PRICE"),"--")</f>
        <v/>
      </c>
      <c r="AA27" s="7">
        <f>IFERROR(Z27-Y27,"--")</f>
        <v/>
      </c>
      <c r="AB27" s="8">
        <f>IFERROR((AA27-R27)/(S27-R27)*100,"--")</f>
        <v/>
      </c>
    </row>
    <row r="28">
      <c r="A28" t="inlineStr">
        <is>
          <t>ARMK</t>
        </is>
      </c>
      <c r="B28" t="inlineStr">
        <is>
          <t>HY</t>
        </is>
      </c>
      <c r="C28" t="inlineStr">
        <is>
          <t>ARMK 4 3/8 04/15/33</t>
        </is>
      </c>
      <c r="D28" t="inlineStr">
        <is>
          <t>ARMK CDS USD SR 5Y D14 Corp</t>
        </is>
      </c>
      <c r="E28" t="inlineStr">
        <is>
          <t>XS3023482436</t>
        </is>
      </c>
      <c r="F28" s="2" t="n">
        <v>45723</v>
      </c>
      <c r="G28" s="2" t="n">
        <v>46225</v>
      </c>
      <c r="H28" s="2" t="n">
        <v>48750</v>
      </c>
      <c r="I28" s="3" t="n">
        <v>101.4427</v>
      </c>
      <c r="J28" s="3" t="n">
        <v>78.5273</v>
      </c>
      <c r="K28" s="3" t="n">
        <v>164.63</v>
      </c>
      <c r="L28" s="3" t="n">
        <v>165.13</v>
      </c>
      <c r="M28" s="3" t="n">
        <v>-63.18729999999999</v>
      </c>
      <c r="N28" s="3" t="n">
        <v>-112.3487</v>
      </c>
      <c r="O28" s="3" t="n">
        <v>-19.92160000000001</v>
      </c>
      <c r="P28" s="4" t="n">
        <v>53.18937843987316</v>
      </c>
      <c r="Q28" s="3" t="n">
        <v>-86.1027</v>
      </c>
      <c r="R28" s="3" t="n">
        <v>-132.1203</v>
      </c>
      <c r="S28" s="3" t="n">
        <v>-34.06470000000002</v>
      </c>
      <c r="T28" s="4" t="n">
        <v>46.93010904017721</v>
      </c>
      <c r="U28" s="5">
        <f>IFERROR(BDP(E28&amp;" Corp","LAST_PRICE"),"--")</f>
        <v/>
      </c>
      <c r="V28" s="6">
        <f>IFERROR(BDP(E28&amp;" Corp","YAS_BENCHMARK_BOND_ISIN"),"--")</f>
        <v/>
      </c>
      <c r="W28" s="5">
        <f>IFERROR(BDP(V28&amp;" CORP","LAST_PRICE"),"--")</f>
        <v/>
      </c>
      <c r="X28" s="7">
        <f>IFERROR(BDP(E28&amp;" Corp","YAS_YLD_SPREAD","YAS_BOND_PX="&amp;U28,"YAS_BNCHMRK_BOND_PX="&amp;W28),"--")</f>
        <v/>
      </c>
      <c r="Y28" s="7">
        <f>IFERROR(BDP(E28&amp;" Corp","BLOOMBERG_MID_G_SPREAD","YAS_BOND_PX="&amp;U28,"YAS_BNCHMRK_BOND_PX="&amp;W28),"--")</f>
        <v/>
      </c>
      <c r="Z28" s="7">
        <f>IFERROR(BDP(D28,"LAST_PRICE"),"--")</f>
        <v/>
      </c>
      <c r="AA28" s="7">
        <f>IFERROR(Z28-Y28,"--")</f>
        <v/>
      </c>
      <c r="AB28" s="8">
        <f>IFERROR((AA28-R28)/(S28-R28)*100,"--")</f>
        <v/>
      </c>
    </row>
    <row r="29">
      <c r="A29" t="inlineStr">
        <is>
          <t>ASH</t>
        </is>
      </c>
      <c r="B29" t="inlineStr">
        <is>
          <t>HY</t>
        </is>
      </c>
      <c r="C29" t="inlineStr">
        <is>
          <t>ASH 3 3/8 09/01/31</t>
        </is>
      </c>
      <c r="D29" t="inlineStr">
        <is>
          <t>ASH CDS USD SR 5Y D14 Corp</t>
        </is>
      </c>
      <c r="E29" t="inlineStr">
        <is>
          <t>USU0442LAA45</t>
        </is>
      </c>
      <c r="F29" s="2" t="n">
        <v>45659</v>
      </c>
      <c r="G29" s="2" t="n">
        <v>46225</v>
      </c>
      <c r="H29" s="2" t="n">
        <v>48202</v>
      </c>
      <c r="I29" s="3" t="n">
        <v>89.0021</v>
      </c>
      <c r="J29" s="3" t="n">
        <v>80.4662</v>
      </c>
      <c r="K29" s="3" t="n">
        <v>63.477</v>
      </c>
      <c r="L29" s="3" t="n">
        <v>68.595</v>
      </c>
      <c r="M29" s="3" t="n">
        <v>25.5251</v>
      </c>
      <c r="N29" s="3" t="n">
        <v>-71.92679999999999</v>
      </c>
      <c r="O29" s="3" t="n">
        <v>41.9507</v>
      </c>
      <c r="P29" s="4" t="n">
        <v>85.57607955917544</v>
      </c>
      <c r="Q29" s="3" t="n">
        <v>16.9892</v>
      </c>
      <c r="R29" s="3" t="n">
        <v>-76.6031</v>
      </c>
      <c r="S29" s="3" t="n">
        <v>32.6277</v>
      </c>
      <c r="T29" s="4" t="n">
        <v>85.68306741322044</v>
      </c>
      <c r="U29" s="5">
        <f>IFERROR(BDP(E29&amp;" Corp","LAST_PRICE"),"--")</f>
        <v/>
      </c>
      <c r="V29" s="6">
        <f>IFERROR(BDP(E29&amp;" Corp","YAS_BENCHMARK_BOND_ISIN"),"--")</f>
        <v/>
      </c>
      <c r="W29" s="5">
        <f>IFERROR(BDP(V29&amp;" CORP","LAST_PRICE"),"--")</f>
        <v/>
      </c>
      <c r="X29" s="7">
        <f>IFERROR(BDP(E29&amp;" Corp","YAS_YLD_SPREAD","YAS_BOND_PX="&amp;U29,"YAS_BNCHMRK_BOND_PX="&amp;W29),"--")</f>
        <v/>
      </c>
      <c r="Y29" s="7">
        <f>IFERROR(BDP(E29&amp;" Corp","BLOOMBERG_MID_G_SPREAD","YAS_BOND_PX="&amp;U29,"YAS_BNCHMRK_BOND_PX="&amp;W29),"--")</f>
        <v/>
      </c>
      <c r="Z29" s="7">
        <f>IFERROR(BDP(D29,"LAST_PRICE"),"--")</f>
        <v/>
      </c>
      <c r="AA29" s="7">
        <f>IFERROR(Z29-Y29,"--")</f>
        <v/>
      </c>
      <c r="AB29" s="8">
        <f>IFERROR((AA29-R29)/(S29-R29)*100,"--")</f>
        <v/>
      </c>
    </row>
    <row r="30">
      <c r="A30" t="inlineStr">
        <is>
          <t>ASUCOR</t>
        </is>
      </c>
      <c r="B30" t="inlineStr">
        <is>
          <t>HY</t>
        </is>
      </c>
      <c r="C30" t="inlineStr">
        <is>
          <t>ASUCOR 8 12/31/32</t>
        </is>
      </c>
      <c r="D30" t="inlineStr">
        <is>
          <t>CZ060913 Curncy</t>
        </is>
      </c>
      <c r="E30" t="inlineStr">
        <is>
          <t>US045941AA96</t>
        </is>
      </c>
      <c r="F30" s="2" t="n">
        <v>46106</v>
      </c>
      <c r="G30" s="2" t="n">
        <v>46225</v>
      </c>
      <c r="H30" s="2" t="n">
        <v>48750</v>
      </c>
      <c r="I30" s="3" t="n">
        <v>431.8457</v>
      </c>
      <c r="J30" s="3" t="n">
        <v>393.2404</v>
      </c>
      <c r="K30" s="3" t="n">
        <v>334.873</v>
      </c>
      <c r="L30" s="3" t="n">
        <v>342.854</v>
      </c>
      <c r="M30" s="3" t="n">
        <v>96.97270000000003</v>
      </c>
      <c r="N30" s="3" t="n">
        <v>8.701899999999966</v>
      </c>
      <c r="O30" s="3" t="n">
        <v>131.8639</v>
      </c>
      <c r="P30" s="4" t="n">
        <v>71.6704827787792</v>
      </c>
      <c r="Q30" s="3" t="n">
        <v>58.36740000000003</v>
      </c>
      <c r="R30" s="3" t="n">
        <v>-21.95410000000004</v>
      </c>
      <c r="S30" s="3" t="n">
        <v>70.69380000000001</v>
      </c>
      <c r="T30" s="4" t="n">
        <v>86.69543508271641</v>
      </c>
      <c r="U30" s="5">
        <f>IFERROR(BDP(E30&amp;" Corp","LAST_PRICE"),"--")</f>
        <v/>
      </c>
      <c r="V30" s="6">
        <f>IFERROR(BDP(E30&amp;" Corp","YAS_BENCHMARK_BOND_ISIN"),"--")</f>
        <v/>
      </c>
      <c r="W30" s="5">
        <f>IFERROR(BDP(V30&amp;" CORP","LAST_PRICE"),"--")</f>
        <v/>
      </c>
      <c r="X30" s="7">
        <f>IFERROR(BDP(E30&amp;" Corp","YAS_YLD_SPREAD","YAS_BOND_PX="&amp;U30,"YAS_BNCHMRK_BOND_PX="&amp;W30),"--")</f>
        <v/>
      </c>
      <c r="Y30" s="7">
        <f>IFERROR(BDP(E30&amp;" Corp","BLOOMBERG_MID_G_SPREAD","YAS_BOND_PX="&amp;U30,"YAS_BNCHMRK_BOND_PX="&amp;W30),"--")</f>
        <v/>
      </c>
      <c r="Z30" s="7">
        <f>IFERROR(BDP(D30,"LAST_PRICE"),"--")</f>
        <v/>
      </c>
      <c r="AA30" s="7">
        <f>IFERROR(Z30-Y30,"--")</f>
        <v/>
      </c>
      <c r="AB30" s="8">
        <f>IFERROR((AA30-R30)/(S30-R30)*100,"--")</f>
        <v/>
      </c>
    </row>
    <row r="31">
      <c r="A31" t="inlineStr">
        <is>
          <t>AVNT</t>
        </is>
      </c>
      <c r="B31" t="inlineStr">
        <is>
          <t>HY</t>
        </is>
      </c>
      <c r="C31" t="inlineStr">
        <is>
          <t>AVNT 6 1/4 11/01/31</t>
        </is>
      </c>
      <c r="D31" t="inlineStr">
        <is>
          <t>AVNT CDS USD SR 5Y D14 Corp</t>
        </is>
      </c>
      <c r="E31" t="inlineStr">
        <is>
          <t>US05368VAB27</t>
        </is>
      </c>
      <c r="F31" s="2" t="n">
        <v>45659</v>
      </c>
      <c r="G31" s="2" t="n">
        <v>46225</v>
      </c>
      <c r="H31" s="2" t="n">
        <v>48202</v>
      </c>
      <c r="I31" s="3" t="n">
        <v>109.3699</v>
      </c>
      <c r="J31" s="3" t="n">
        <v>98.5</v>
      </c>
      <c r="K31" s="3" t="n">
        <v>141.773</v>
      </c>
      <c r="L31" s="3" t="n">
        <v>161.644</v>
      </c>
      <c r="M31" s="3" t="n">
        <v>-32.40309999999999</v>
      </c>
      <c r="N31" s="3" t="n">
        <v>-113.7143</v>
      </c>
      <c r="O31" s="3" t="n">
        <v>-6.532399999999996</v>
      </c>
      <c r="P31" s="4" t="n">
        <v>75.86280892576079</v>
      </c>
      <c r="Q31" s="3" t="n">
        <v>-43.273</v>
      </c>
      <c r="R31" s="3" t="n">
        <v>-120.5778</v>
      </c>
      <c r="S31" s="3" t="n">
        <v>-17.20940000000002</v>
      </c>
      <c r="T31" s="4" t="n">
        <v>74.78571787896496</v>
      </c>
      <c r="U31" s="5">
        <f>IFERROR(BDP(E31&amp;" Corp","LAST_PRICE"),"--")</f>
        <v/>
      </c>
      <c r="V31" s="6">
        <f>IFERROR(BDP(E31&amp;" Corp","YAS_BENCHMARK_BOND_ISIN"),"--")</f>
        <v/>
      </c>
      <c r="W31" s="5">
        <f>IFERROR(BDP(V31&amp;" CORP","LAST_PRICE"),"--")</f>
        <v/>
      </c>
      <c r="X31" s="7">
        <f>IFERROR(BDP(E31&amp;" Corp","YAS_YLD_SPREAD","YAS_BOND_PX="&amp;U31,"YAS_BNCHMRK_BOND_PX="&amp;W31),"--")</f>
        <v/>
      </c>
      <c r="Y31" s="7">
        <f>IFERROR(BDP(E31&amp;" Corp","BLOOMBERG_MID_G_SPREAD","YAS_BOND_PX="&amp;U31,"YAS_BNCHMRK_BOND_PX="&amp;W31),"--")</f>
        <v/>
      </c>
      <c r="Z31" s="7">
        <f>IFERROR(BDP(D31,"LAST_PRICE"),"--")</f>
        <v/>
      </c>
      <c r="AA31" s="7">
        <f>IFERROR(Z31-Y31,"--")</f>
        <v/>
      </c>
      <c r="AB31" s="8">
        <f>IFERROR((AA31-R31)/(S31-R31)*100,"--")</f>
        <v/>
      </c>
    </row>
    <row r="32">
      <c r="A32" t="inlineStr">
        <is>
          <t>AXL</t>
        </is>
      </c>
      <c r="B32" t="inlineStr">
        <is>
          <t>HY</t>
        </is>
      </c>
      <c r="C32" t="inlineStr">
        <is>
          <t>AXL 7 3/4 10/15/33</t>
        </is>
      </c>
      <c r="D32" t="inlineStr">
        <is>
          <t>AXL CDS USD SR 5Y D14 Corp</t>
        </is>
      </c>
      <c r="E32" t="inlineStr">
        <is>
          <t>US02406PBD15</t>
        </is>
      </c>
      <c r="F32" s="2" t="n">
        <v>45919</v>
      </c>
      <c r="G32" s="2" t="n">
        <v>46225</v>
      </c>
      <c r="H32" s="2" t="n">
        <v>48933</v>
      </c>
      <c r="I32" s="3" t="n">
        <v>413.4312</v>
      </c>
      <c r="J32" s="3" t="n">
        <v>316.7298</v>
      </c>
      <c r="K32" s="3" t="n">
        <v>348.795</v>
      </c>
      <c r="L32" s="3" t="n">
        <v>344.737</v>
      </c>
      <c r="M32" s="3" t="n">
        <v>64.63619999999997</v>
      </c>
      <c r="N32" s="3" t="n">
        <v>3.010099999999966</v>
      </c>
      <c r="O32" s="3" t="n">
        <v>104.1088999999999</v>
      </c>
      <c r="P32" s="4" t="n">
        <v>60.95631204326858</v>
      </c>
      <c r="Q32" s="3" t="n">
        <v>-32.0652</v>
      </c>
      <c r="R32" s="3" t="n">
        <v>-78.59750000000003</v>
      </c>
      <c r="S32" s="3" t="n">
        <v>26.25420000000003</v>
      </c>
      <c r="T32" s="4" t="n">
        <v>44.37915646575115</v>
      </c>
      <c r="U32" s="5">
        <f>IFERROR(BDP(E32&amp;" Corp","LAST_PRICE"),"--")</f>
        <v/>
      </c>
      <c r="V32" s="6">
        <f>IFERROR(BDP(E32&amp;" Corp","YAS_BENCHMARK_BOND_ISIN"),"--")</f>
        <v/>
      </c>
      <c r="W32" s="5">
        <f>IFERROR(BDP(V32&amp;" CORP","LAST_PRICE"),"--")</f>
        <v/>
      </c>
      <c r="X32" s="7">
        <f>IFERROR(BDP(E32&amp;" Corp","YAS_YLD_SPREAD","YAS_BOND_PX="&amp;U32,"YAS_BNCHMRK_BOND_PX="&amp;W32),"--")</f>
        <v/>
      </c>
      <c r="Y32" s="7">
        <f>IFERROR(BDP(E32&amp;" Corp","BLOOMBERG_MID_G_SPREAD","YAS_BOND_PX="&amp;U32,"YAS_BNCHMRK_BOND_PX="&amp;W32),"--")</f>
        <v/>
      </c>
      <c r="Z32" s="7">
        <f>IFERROR(BDP(D32,"LAST_PRICE"),"--")</f>
        <v/>
      </c>
      <c r="AA32" s="7">
        <f>IFERROR(Z32-Y32,"--")</f>
        <v/>
      </c>
      <c r="AB32" s="8">
        <f>IFERROR((AA32-R32)/(S32-R32)*100,"--")</f>
        <v/>
      </c>
    </row>
    <row r="33">
      <c r="A33" t="inlineStr">
        <is>
          <t>BALL</t>
        </is>
      </c>
      <c r="B33" t="inlineStr">
        <is>
          <t>HY</t>
        </is>
      </c>
      <c r="C33" t="inlineStr">
        <is>
          <t>BALL 5 1/2 09/15/33</t>
        </is>
      </c>
      <c r="D33" t="inlineStr">
        <is>
          <t>BALL CDS USD SR 5Y D14 Corp</t>
        </is>
      </c>
      <c r="E33" t="inlineStr">
        <is>
          <t>US058498BA38</t>
        </is>
      </c>
      <c r="F33" s="2" t="n">
        <v>45876</v>
      </c>
      <c r="G33" s="2" t="n">
        <v>46225</v>
      </c>
      <c r="H33" s="2" t="n">
        <v>48933</v>
      </c>
      <c r="I33" s="3" t="n">
        <v>100.1667</v>
      </c>
      <c r="J33" s="3" t="n">
        <v>82.9629</v>
      </c>
      <c r="K33" s="3" t="n">
        <v>99.173</v>
      </c>
      <c r="L33" s="3" t="n">
        <v>90.90300000000001</v>
      </c>
      <c r="M33" s="3" t="n">
        <v>0.993700000000004</v>
      </c>
      <c r="N33" s="3" t="n">
        <v>-40.7435</v>
      </c>
      <c r="O33" s="3" t="n">
        <v>9.911599999999993</v>
      </c>
      <c r="P33" s="4" t="n">
        <v>82.39486251137596</v>
      </c>
      <c r="Q33" s="3" t="n">
        <v>-16.2101</v>
      </c>
      <c r="R33" s="3" t="n">
        <v>-58.23820000000001</v>
      </c>
      <c r="S33" s="3" t="n">
        <v>-6.49799999999999</v>
      </c>
      <c r="T33" s="4" t="n">
        <v>81.22910232275869</v>
      </c>
      <c r="U33" s="5">
        <f>IFERROR(BDP(E33&amp;" Corp","LAST_PRICE"),"--")</f>
        <v/>
      </c>
      <c r="V33" s="6">
        <f>IFERROR(BDP(E33&amp;" Corp","YAS_BENCHMARK_BOND_ISIN"),"--")</f>
        <v/>
      </c>
      <c r="W33" s="5">
        <f>IFERROR(BDP(V33&amp;" CORP","LAST_PRICE"),"--")</f>
        <v/>
      </c>
      <c r="X33" s="7">
        <f>IFERROR(BDP(E33&amp;" Corp","YAS_YLD_SPREAD","YAS_BOND_PX="&amp;U33,"YAS_BNCHMRK_BOND_PX="&amp;W33),"--")</f>
        <v/>
      </c>
      <c r="Y33" s="7">
        <f>IFERROR(BDP(E33&amp;" Corp","BLOOMBERG_MID_G_SPREAD","YAS_BOND_PX="&amp;U33,"YAS_BNCHMRK_BOND_PX="&amp;W33),"--")</f>
        <v/>
      </c>
      <c r="Z33" s="7">
        <f>IFERROR(BDP(D33,"LAST_PRICE"),"--")</f>
        <v/>
      </c>
      <c r="AA33" s="7">
        <f>IFERROR(Z33-Y33,"--")</f>
        <v/>
      </c>
      <c r="AB33" s="8">
        <f>IFERROR((AA33-R33)/(S33-R33)*100,"--")</f>
        <v/>
      </c>
    </row>
    <row r="34">
      <c r="A34" t="inlineStr">
        <is>
          <t>BBWI</t>
        </is>
      </c>
      <c r="B34" t="inlineStr">
        <is>
          <t>HY</t>
        </is>
      </c>
      <c r="C34" t="inlineStr">
        <is>
          <t>BBWI 6 5/8 10/01/30</t>
        </is>
      </c>
      <c r="D34" t="inlineStr">
        <is>
          <t>BBWI CDS USD SR 5Y D14 Corp</t>
        </is>
      </c>
      <c r="E34" t="inlineStr">
        <is>
          <t>USU51407AE17</t>
        </is>
      </c>
      <c r="F34" s="2" t="n">
        <v>45659</v>
      </c>
      <c r="G34" s="2" t="n">
        <v>46225</v>
      </c>
      <c r="H34" s="2" t="n">
        <v>47837</v>
      </c>
      <c r="I34" s="3" t="n">
        <v>155.8381</v>
      </c>
      <c r="J34" s="3" t="n">
        <v>175.1582</v>
      </c>
      <c r="K34" s="3" t="n">
        <v>144.952</v>
      </c>
      <c r="L34" s="3" t="n">
        <v>164.391</v>
      </c>
      <c r="M34" s="3" t="n">
        <v>10.8861</v>
      </c>
      <c r="N34" s="3" t="n">
        <v>-72.00570000000002</v>
      </c>
      <c r="O34" s="3" t="n">
        <v>25.37149999999997</v>
      </c>
      <c r="P34" s="4" t="n">
        <v>85.12444391500273</v>
      </c>
      <c r="Q34" s="3" t="n">
        <v>30.2062</v>
      </c>
      <c r="R34" s="3" t="n">
        <v>-58.9607</v>
      </c>
      <c r="S34" s="3" t="n">
        <v>47.22159999999997</v>
      </c>
      <c r="T34" s="4" t="n">
        <v>83.9752953175812</v>
      </c>
      <c r="U34" s="5">
        <f>IFERROR(BDP(E34&amp;" Corp","LAST_PRICE"),"--")</f>
        <v/>
      </c>
      <c r="V34" s="6">
        <f>IFERROR(BDP(E34&amp;" Corp","YAS_BENCHMARK_BOND_ISIN"),"--")</f>
        <v/>
      </c>
      <c r="W34" s="5">
        <f>IFERROR(BDP(V34&amp;" CORP","LAST_PRICE"),"--")</f>
        <v/>
      </c>
      <c r="X34" s="7">
        <f>IFERROR(BDP(E34&amp;" Corp","YAS_YLD_SPREAD","YAS_BOND_PX="&amp;U34,"YAS_BNCHMRK_BOND_PX="&amp;W34),"--")</f>
        <v/>
      </c>
      <c r="Y34" s="7">
        <f>IFERROR(BDP(E34&amp;" Corp","BLOOMBERG_MID_G_SPREAD","YAS_BOND_PX="&amp;U34,"YAS_BNCHMRK_BOND_PX="&amp;W34),"--")</f>
        <v/>
      </c>
      <c r="Z34" s="7">
        <f>IFERROR(BDP(D34,"LAST_PRICE"),"--")</f>
        <v/>
      </c>
      <c r="AA34" s="7">
        <f>IFERROR(Z34-Y34,"--")</f>
        <v/>
      </c>
      <c r="AB34" s="8">
        <f>IFERROR((AA34-R34)/(S34-R34)*100,"--")</f>
        <v/>
      </c>
    </row>
    <row r="35">
      <c r="A35" t="inlineStr">
        <is>
          <t>BHCCN</t>
        </is>
      </c>
      <c r="B35" t="inlineStr">
        <is>
          <t>HY</t>
        </is>
      </c>
      <c r="C35" t="inlineStr">
        <is>
          <t>BHCCN 5 1/4 02/15/31</t>
        </is>
      </c>
      <c r="D35" t="inlineStr">
        <is>
          <t>BHCCN CDS USD SR 5Y D14 Corp</t>
        </is>
      </c>
      <c r="E35" t="inlineStr">
        <is>
          <t>US071734AL17</t>
        </is>
      </c>
      <c r="F35" s="2" t="n">
        <v>45659</v>
      </c>
      <c r="G35" s="2" t="n">
        <v>46225</v>
      </c>
      <c r="H35" s="2" t="n">
        <v>48019</v>
      </c>
      <c r="I35" s="3" t="n">
        <v>1507.5953</v>
      </c>
      <c r="J35" s="3" t="n">
        <v>1507.5953</v>
      </c>
      <c r="K35" s="3" t="n">
        <v>1443.394</v>
      </c>
      <c r="L35" s="3" t="n">
        <v>1475.664</v>
      </c>
      <c r="M35" s="3" t="n">
        <v>64.20129999999995</v>
      </c>
      <c r="N35" s="3" t="n">
        <v>-131.9875</v>
      </c>
      <c r="O35" s="3" t="n">
        <v>2146.4225</v>
      </c>
      <c r="P35" s="4" t="n">
        <v>8.610776813655132</v>
      </c>
      <c r="Q35" s="3" t="n">
        <v>64.20129999999995</v>
      </c>
      <c r="R35" s="3" t="n">
        <v>-131.9875</v>
      </c>
      <c r="S35" s="3" t="n">
        <v>2146.4225</v>
      </c>
      <c r="T35" s="4" t="n">
        <v>8.610776813655132</v>
      </c>
      <c r="U35" s="5">
        <f>IFERROR(BDP(E35&amp;" Corp","LAST_PRICE"),"--")</f>
        <v/>
      </c>
      <c r="V35" s="6">
        <f>IFERROR(BDP(E35&amp;" Corp","YAS_BENCHMARK_BOND_ISIN"),"--")</f>
        <v/>
      </c>
      <c r="W35" s="5">
        <f>IFERROR(BDP(V35&amp;" CORP","LAST_PRICE"),"--")</f>
        <v/>
      </c>
      <c r="X35" s="7">
        <f>IFERROR(BDP(E35&amp;" Corp","YAS_YLD_SPREAD","YAS_BOND_PX="&amp;U35,"YAS_BNCHMRK_BOND_PX="&amp;W35),"--")</f>
        <v/>
      </c>
      <c r="Y35" s="7">
        <f>IFERROR(BDP(E35&amp;" Corp","BLOOMBERG_MID_G_SPREAD","YAS_BOND_PX="&amp;U35,"YAS_BNCHMRK_BOND_PX="&amp;W35),"--")</f>
        <v/>
      </c>
      <c r="Z35" s="7">
        <f>IFERROR(BDP(D35,"LAST_PRICE"),"--")</f>
        <v/>
      </c>
      <c r="AA35" s="7">
        <f>IFERROR(Z35-Y35,"--")</f>
        <v/>
      </c>
      <c r="AB35" s="8">
        <f>IFERROR((AA35-R35)/(S35-R35)*100,"--")</f>
        <v/>
      </c>
    </row>
    <row r="36">
      <c r="A36" t="inlineStr">
        <is>
          <t>BMCAUS</t>
        </is>
      </c>
      <c r="B36" t="inlineStr">
        <is>
          <t>HY</t>
        </is>
      </c>
      <c r="C36" t="inlineStr">
        <is>
          <t>BMCAUS 6 1/2 08/15/32</t>
        </is>
      </c>
      <c r="D36" t="inlineStr">
        <is>
          <t>CY876759 Curncy</t>
        </is>
      </c>
      <c r="E36" t="inlineStr">
        <is>
          <t>US853191AA25</t>
        </is>
      </c>
      <c r="F36" s="2" t="n">
        <v>45659</v>
      </c>
      <c r="G36" s="2" t="n">
        <v>46225</v>
      </c>
      <c r="H36" s="2" t="n">
        <v>48568</v>
      </c>
      <c r="I36" s="3" t="n">
        <v>92.53279999999999</v>
      </c>
      <c r="J36" s="3" t="n">
        <v>75.1484</v>
      </c>
      <c r="K36" s="3" t="n">
        <v>203.328</v>
      </c>
      <c r="L36" s="3" t="n">
        <v>213.372</v>
      </c>
      <c r="M36" s="3" t="n">
        <v>-110.7952</v>
      </c>
      <c r="N36" s="3" t="n">
        <v>-138.7268</v>
      </c>
      <c r="O36" s="3" t="n">
        <v>-63.5697</v>
      </c>
      <c r="P36" s="4" t="n">
        <v>37.16428654112519</v>
      </c>
      <c r="Q36" s="3" t="n">
        <v>-128.1796</v>
      </c>
      <c r="R36" s="3" t="n">
        <v>-156.2398</v>
      </c>
      <c r="S36" s="3" t="n">
        <v>-72.22689999999999</v>
      </c>
      <c r="T36" s="4" t="n">
        <v>33.39987073413726</v>
      </c>
      <c r="U36" s="5">
        <f>IFERROR(BDP(E36&amp;" Corp","LAST_PRICE"),"--")</f>
        <v/>
      </c>
      <c r="V36" s="6">
        <f>IFERROR(BDP(E36&amp;" Corp","YAS_BENCHMARK_BOND_ISIN"),"--")</f>
        <v/>
      </c>
      <c r="W36" s="5">
        <f>IFERROR(BDP(V36&amp;" CORP","LAST_PRICE"),"--")</f>
        <v/>
      </c>
      <c r="X36" s="7">
        <f>IFERROR(BDP(E36&amp;" Corp","YAS_YLD_SPREAD","YAS_BOND_PX="&amp;U36,"YAS_BNCHMRK_BOND_PX="&amp;W36),"--")</f>
        <v/>
      </c>
      <c r="Y36" s="7">
        <f>IFERROR(BDP(E36&amp;" Corp","BLOOMBERG_MID_G_SPREAD","YAS_BOND_PX="&amp;U36,"YAS_BNCHMRK_BOND_PX="&amp;W36),"--")</f>
        <v/>
      </c>
      <c r="Z36" s="7">
        <f>IFERROR(BDP(D36,"LAST_PRICE"),"--")</f>
        <v/>
      </c>
      <c r="AA36" s="7">
        <f>IFERROR(Z36-Y36,"--")</f>
        <v/>
      </c>
      <c r="AB36" s="8">
        <f>IFERROR((AA36-R36)/(S36-R36)*100,"--")</f>
        <v/>
      </c>
    </row>
    <row r="37">
      <c r="A37" t="inlineStr">
        <is>
          <t>BOMB</t>
        </is>
      </c>
      <c r="B37" t="inlineStr">
        <is>
          <t>HY</t>
        </is>
      </c>
      <c r="C37" t="inlineStr">
        <is>
          <t>BBDBCN 7 1/4 07/01/31</t>
        </is>
      </c>
      <c r="D37" t="inlineStr">
        <is>
          <t>BOMB INC CDS USD SR 5Y D14 Corp</t>
        </is>
      </c>
      <c r="E37" t="inlineStr">
        <is>
          <t>US097751CB51</t>
        </is>
      </c>
      <c r="F37" s="2" t="n">
        <v>45659</v>
      </c>
      <c r="G37" s="2" t="n">
        <v>46225</v>
      </c>
      <c r="H37" s="2" t="n">
        <v>48202</v>
      </c>
      <c r="I37" s="3" t="n">
        <v>102.9116</v>
      </c>
      <c r="J37" s="3" t="n">
        <v>92.0707</v>
      </c>
      <c r="K37" s="3" t="n">
        <v>126.555</v>
      </c>
      <c r="L37" s="3" t="n">
        <v>136.204</v>
      </c>
      <c r="M37" s="3" t="n">
        <v>-23.6434</v>
      </c>
      <c r="N37" s="3" t="n">
        <v>-57.2483</v>
      </c>
      <c r="O37" s="3" t="n">
        <v>50.27090000000004</v>
      </c>
      <c r="P37" s="4" t="n">
        <v>31.25478984218632</v>
      </c>
      <c r="Q37" s="3" t="n">
        <v>-34.4843</v>
      </c>
      <c r="R37" s="3" t="n">
        <v>-65.9727</v>
      </c>
      <c r="S37" s="3" t="n">
        <v>31.38140000000004</v>
      </c>
      <c r="T37" s="4" t="n">
        <v>32.3441950570135</v>
      </c>
      <c r="U37" s="5">
        <f>IFERROR(BDP(E37&amp;" Corp","LAST_PRICE"),"--")</f>
        <v/>
      </c>
      <c r="V37" s="6">
        <f>IFERROR(BDP(E37&amp;" Corp","YAS_BENCHMARK_BOND_ISIN"),"--")</f>
        <v/>
      </c>
      <c r="W37" s="5">
        <f>IFERROR(BDP(V37&amp;" CORP","LAST_PRICE"),"--")</f>
        <v/>
      </c>
      <c r="X37" s="7">
        <f>IFERROR(BDP(E37&amp;" Corp","YAS_YLD_SPREAD","YAS_BOND_PX="&amp;U37,"YAS_BNCHMRK_BOND_PX="&amp;W37),"--")</f>
        <v/>
      </c>
      <c r="Y37" s="7">
        <f>IFERROR(BDP(E37&amp;" Corp","BLOOMBERG_MID_G_SPREAD","YAS_BOND_PX="&amp;U37,"YAS_BNCHMRK_BOND_PX="&amp;W37),"--")</f>
        <v/>
      </c>
      <c r="Z37" s="7">
        <f>IFERROR(BDP(D37,"LAST_PRICE"),"--")</f>
        <v/>
      </c>
      <c r="AA37" s="7">
        <f>IFERROR(Z37-Y37,"--")</f>
        <v/>
      </c>
      <c r="AB37" s="8">
        <f>IFERROR((AA37-R37)/(S37-R37)*100,"--")</f>
        <v/>
      </c>
    </row>
    <row r="38">
      <c r="A38" t="inlineStr">
        <is>
          <t>BYD</t>
        </is>
      </c>
      <c r="B38" t="inlineStr">
        <is>
          <t>HY</t>
        </is>
      </c>
      <c r="C38" t="inlineStr">
        <is>
          <t>BYD 4 3/4 06/15/31</t>
        </is>
      </c>
      <c r="D38" t="inlineStr">
        <is>
          <t>BYD CDS USD SUB 5Y D14 Corp</t>
        </is>
      </c>
      <c r="E38" t="inlineStr">
        <is>
          <t>USU1022EAF52</t>
        </is>
      </c>
      <c r="F38" s="2" t="n">
        <v>45659</v>
      </c>
      <c r="G38" s="2" t="n">
        <v>46225</v>
      </c>
      <c r="H38" s="2" t="n">
        <v>48019</v>
      </c>
      <c r="I38" s="3" t="n">
        <v>115.7922</v>
      </c>
      <c r="J38" s="3" t="n">
        <v>115.7922</v>
      </c>
      <c r="K38" s="3" t="n">
        <v>126.466</v>
      </c>
      <c r="L38" s="3" t="n">
        <v>133.207</v>
      </c>
      <c r="M38" s="3" t="n">
        <v>-10.6738</v>
      </c>
      <c r="N38" s="3" t="n">
        <v>-83.92509999999999</v>
      </c>
      <c r="O38" s="3" t="n">
        <v>1.584400000000002</v>
      </c>
      <c r="P38" s="4" t="n">
        <v>85.66451680807396</v>
      </c>
      <c r="Q38" s="3" t="n">
        <v>-10.6738</v>
      </c>
      <c r="R38" s="3" t="n">
        <v>-83.92509999999999</v>
      </c>
      <c r="S38" s="3" t="n">
        <v>1.584400000000002</v>
      </c>
      <c r="T38" s="4" t="n">
        <v>85.66451680807396</v>
      </c>
      <c r="U38" s="5">
        <f>IFERROR(BDP(E38&amp;" Corp","LAST_PRICE"),"--")</f>
        <v/>
      </c>
      <c r="V38" s="6">
        <f>IFERROR(BDP(E38&amp;" Corp","YAS_BENCHMARK_BOND_ISIN"),"--")</f>
        <v/>
      </c>
      <c r="W38" s="5">
        <f>IFERROR(BDP(V38&amp;" CORP","LAST_PRICE"),"--")</f>
        <v/>
      </c>
      <c r="X38" s="7">
        <f>IFERROR(BDP(E38&amp;" Corp","YAS_YLD_SPREAD","YAS_BOND_PX="&amp;U38,"YAS_BNCHMRK_BOND_PX="&amp;W38),"--")</f>
        <v/>
      </c>
      <c r="Y38" s="7">
        <f>IFERROR(BDP(E38&amp;" Corp","BLOOMBERG_MID_G_SPREAD","YAS_BOND_PX="&amp;U38,"YAS_BNCHMRK_BOND_PX="&amp;W38),"--")</f>
        <v/>
      </c>
      <c r="Z38" s="7">
        <f>IFERROR(BDP(D38,"LAST_PRICE"),"--")</f>
        <v/>
      </c>
      <c r="AA38" s="7">
        <f>IFERROR(Z38-Y38,"--")</f>
        <v/>
      </c>
      <c r="AB38" s="8">
        <f>IFERROR((AA38-R38)/(S38-R38)*100,"--")</f>
        <v/>
      </c>
    </row>
    <row r="39">
      <c r="A39" t="inlineStr">
        <is>
          <t>BZH</t>
        </is>
      </c>
      <c r="B39" t="inlineStr">
        <is>
          <t>HY</t>
        </is>
      </c>
      <c r="C39" t="inlineStr">
        <is>
          <t>BZH 8 01/15/32</t>
        </is>
      </c>
      <c r="D39" t="inlineStr">
        <is>
          <t>BZH CDS USD SR 5Y D14 Corp</t>
        </is>
      </c>
      <c r="E39" t="inlineStr">
        <is>
          <t>US07556QBV68</t>
        </is>
      </c>
      <c r="F39" s="2" t="n">
        <v>46188</v>
      </c>
      <c r="G39" s="2" t="n">
        <v>46225</v>
      </c>
      <c r="H39" s="2" t="n">
        <v>48385</v>
      </c>
      <c r="I39" s="3" t="n">
        <v>197.8492</v>
      </c>
      <c r="J39" s="3" t="n">
        <v>165.3909</v>
      </c>
      <c r="K39" s="3" t="n">
        <v>288.738</v>
      </c>
      <c r="L39" s="3" t="n">
        <v>300.664</v>
      </c>
      <c r="M39" s="3" t="n">
        <v>-90.8888</v>
      </c>
      <c r="N39" s="3" t="n">
        <v>-116.9277</v>
      </c>
      <c r="O39" s="3" t="n">
        <v>-86.18270000000001</v>
      </c>
      <c r="P39" s="4" t="n">
        <v>84.69312083265575</v>
      </c>
      <c r="Q39" s="3" t="n">
        <v>-123.3471</v>
      </c>
      <c r="R39" s="3" t="n">
        <v>-151.388</v>
      </c>
      <c r="S39" s="3" t="n">
        <v>-123.3471</v>
      </c>
      <c r="T39" s="4" t="n">
        <v>100</v>
      </c>
      <c r="U39" s="5">
        <f>IFERROR(BDP(E39&amp;" Corp","LAST_PRICE"),"--")</f>
        <v/>
      </c>
      <c r="V39" s="6">
        <f>IFERROR(BDP(E39&amp;" Corp","YAS_BENCHMARK_BOND_ISIN"),"--")</f>
        <v/>
      </c>
      <c r="W39" s="5">
        <f>IFERROR(BDP(V39&amp;" CORP","LAST_PRICE"),"--")</f>
        <v/>
      </c>
      <c r="X39" s="7">
        <f>IFERROR(BDP(E39&amp;" Corp","YAS_YLD_SPREAD","YAS_BOND_PX="&amp;U39,"YAS_BNCHMRK_BOND_PX="&amp;W39),"--")</f>
        <v/>
      </c>
      <c r="Y39" s="7">
        <f>IFERROR(BDP(E39&amp;" Corp","BLOOMBERG_MID_G_SPREAD","YAS_BOND_PX="&amp;U39,"YAS_BNCHMRK_BOND_PX="&amp;W39),"--")</f>
        <v/>
      </c>
      <c r="Z39" s="7">
        <f>IFERROR(BDP(D39,"LAST_PRICE"),"--")</f>
        <v/>
      </c>
      <c r="AA39" s="7">
        <f>IFERROR(Z39-Y39,"--")</f>
        <v/>
      </c>
      <c r="AB39" s="8">
        <f>IFERROR((AA39-R39)/(S39-R39)*100,"--")</f>
        <v/>
      </c>
    </row>
    <row r="40">
      <c r="A40" t="inlineStr">
        <is>
          <t>CAR</t>
        </is>
      </c>
      <c r="B40" t="inlineStr">
        <is>
          <t>HY</t>
        </is>
      </c>
      <c r="C40" t="inlineStr">
        <is>
          <t>CAR 8 3/8 06/15/32</t>
        </is>
      </c>
      <c r="D40" t="inlineStr">
        <is>
          <t>CD CDS USD SR 5Y D14 Corp</t>
        </is>
      </c>
      <c r="E40" t="inlineStr">
        <is>
          <t>US053773BK25</t>
        </is>
      </c>
      <c r="F40" s="2" t="n">
        <v>45792</v>
      </c>
      <c r="G40" s="2" t="n">
        <v>46225</v>
      </c>
      <c r="H40" s="2" t="n">
        <v>48385</v>
      </c>
      <c r="I40" s="3" t="n">
        <v>388.9012</v>
      </c>
      <c r="J40" s="3" t="n">
        <v>328.4999</v>
      </c>
      <c r="K40" s="3" t="n">
        <v>366.831</v>
      </c>
      <c r="L40" s="3" t="n">
        <v>362.965</v>
      </c>
      <c r="M40" s="3" t="n">
        <v>22.0702</v>
      </c>
      <c r="N40" s="3" t="n">
        <v>-27.02969999999999</v>
      </c>
      <c r="O40" s="3" t="n">
        <v>115.6755</v>
      </c>
      <c r="P40" s="4" t="n">
        <v>34.40652477975574</v>
      </c>
      <c r="Q40" s="3" t="n">
        <v>-38.33109999999999</v>
      </c>
      <c r="R40" s="3" t="n">
        <v>-75.4545</v>
      </c>
      <c r="S40" s="3" t="n">
        <v>66.83639999999997</v>
      </c>
      <c r="T40" s="4" t="n">
        <v>26.08979210898238</v>
      </c>
      <c r="U40" s="5">
        <f>IFERROR(BDP(E40&amp;" Corp","LAST_PRICE"),"--")</f>
        <v/>
      </c>
      <c r="V40" s="6">
        <f>IFERROR(BDP(E40&amp;" Corp","YAS_BENCHMARK_BOND_ISIN"),"--")</f>
        <v/>
      </c>
      <c r="W40" s="5">
        <f>IFERROR(BDP(V40&amp;" CORP","LAST_PRICE"),"--")</f>
        <v/>
      </c>
      <c r="X40" s="7">
        <f>IFERROR(BDP(E40&amp;" Corp","YAS_YLD_SPREAD","YAS_BOND_PX="&amp;U40,"YAS_BNCHMRK_BOND_PX="&amp;W40),"--")</f>
        <v/>
      </c>
      <c r="Y40" s="7">
        <f>IFERROR(BDP(E40&amp;" Corp","BLOOMBERG_MID_G_SPREAD","YAS_BOND_PX="&amp;U40,"YAS_BNCHMRK_BOND_PX="&amp;W40),"--")</f>
        <v/>
      </c>
      <c r="Z40" s="7">
        <f>IFERROR(BDP(D40,"LAST_PRICE"),"--")</f>
        <v/>
      </c>
      <c r="AA40" s="7">
        <f>IFERROR(Z40-Y40,"--")</f>
        <v/>
      </c>
      <c r="AB40" s="8">
        <f>IFERROR((AA40-R40)/(S40-R40)*100,"--")</f>
        <v/>
      </c>
    </row>
    <row r="41">
      <c r="A41" t="inlineStr">
        <is>
          <t>CCL</t>
        </is>
      </c>
      <c r="B41" t="inlineStr">
        <is>
          <t>HY</t>
        </is>
      </c>
      <c r="C41" t="inlineStr">
        <is>
          <t>CCL 5 3/4 08/01/32</t>
        </is>
      </c>
      <c r="D41" t="inlineStr">
        <is>
          <t>CCLPLC CDS USD SR 5Y D14 Corp</t>
        </is>
      </c>
      <c r="E41" t="inlineStr">
        <is>
          <t>US143658CA82</t>
        </is>
      </c>
      <c r="F41" s="2" t="n">
        <v>45845</v>
      </c>
      <c r="G41" s="2" t="n">
        <v>46225</v>
      </c>
      <c r="H41" s="2" t="n">
        <v>48568</v>
      </c>
      <c r="I41" s="3" t="n">
        <v>132.0804</v>
      </c>
      <c r="J41" s="3" t="n">
        <v>100.6122</v>
      </c>
      <c r="K41" s="3" t="n">
        <v>132.567</v>
      </c>
      <c r="L41" s="3" t="n">
        <v>146.106</v>
      </c>
      <c r="M41" s="3" t="n">
        <v>-0.4866000000000099</v>
      </c>
      <c r="N41" s="3" t="n">
        <v>-21.90989999999999</v>
      </c>
      <c r="O41" s="3" t="n">
        <v>29.98579999999998</v>
      </c>
      <c r="P41" s="4" t="n">
        <v>41.2814549182302</v>
      </c>
      <c r="Q41" s="3" t="n">
        <v>-31.95480000000001</v>
      </c>
      <c r="R41" s="3" t="n">
        <v>-43.32119999999999</v>
      </c>
      <c r="S41" s="3" t="n">
        <v>-4.746199999999988</v>
      </c>
      <c r="T41" s="4" t="n">
        <v>29.46571613739464</v>
      </c>
      <c r="U41" s="5">
        <f>IFERROR(BDP(E41&amp;" Corp","LAST_PRICE"),"--")</f>
        <v/>
      </c>
      <c r="V41" s="6">
        <f>IFERROR(BDP(E41&amp;" Corp","YAS_BENCHMARK_BOND_ISIN"),"--")</f>
        <v/>
      </c>
      <c r="W41" s="5">
        <f>IFERROR(BDP(V41&amp;" CORP","LAST_PRICE"),"--")</f>
        <v/>
      </c>
      <c r="X41" s="7">
        <f>IFERROR(BDP(E41&amp;" Corp","YAS_YLD_SPREAD","YAS_BOND_PX="&amp;U41,"YAS_BNCHMRK_BOND_PX="&amp;W41),"--")</f>
        <v/>
      </c>
      <c r="Y41" s="7">
        <f>IFERROR(BDP(E41&amp;" Corp","BLOOMBERG_MID_G_SPREAD","YAS_BOND_PX="&amp;U41,"YAS_BNCHMRK_BOND_PX="&amp;W41),"--")</f>
        <v/>
      </c>
      <c r="Z41" s="7">
        <f>IFERROR(BDP(D41,"LAST_PRICE"),"--")</f>
        <v/>
      </c>
      <c r="AA41" s="7">
        <f>IFERROR(Z41-Y41,"--")</f>
        <v/>
      </c>
      <c r="AB41" s="8">
        <f>IFERROR((AA41-R41)/(S41-R41)*100,"--")</f>
        <v/>
      </c>
    </row>
    <row r="42">
      <c r="A42" t="inlineStr">
        <is>
          <t>CCO</t>
        </is>
      </c>
      <c r="B42" t="inlineStr">
        <is>
          <t>HY</t>
        </is>
      </c>
      <c r="C42" t="inlineStr">
        <is>
          <t>CCO 7 1/2 06/01/29</t>
        </is>
      </c>
      <c r="D42" t="inlineStr">
        <is>
          <t>CCO CDS USD SR 5Y D14 Corp</t>
        </is>
      </c>
      <c r="E42" t="inlineStr">
        <is>
          <t>USU1828LAC29</t>
        </is>
      </c>
      <c r="F42" s="2" t="n">
        <v>45659</v>
      </c>
      <c r="G42" s="2" t="n">
        <v>46225</v>
      </c>
      <c r="H42" s="2" t="n">
        <v>47289</v>
      </c>
      <c r="I42" s="3" t="n">
        <v>35.8718</v>
      </c>
      <c r="J42" s="3" t="n">
        <v>63.9229</v>
      </c>
      <c r="K42" s="3" t="n">
        <v>126.046</v>
      </c>
      <c r="L42" s="3" t="n">
        <v>100.898</v>
      </c>
      <c r="M42" s="3" t="n">
        <v>-90.17420000000001</v>
      </c>
      <c r="N42" s="3" t="n">
        <v>-488.9142999999999</v>
      </c>
      <c r="O42" s="3" t="n">
        <v>211.6997</v>
      </c>
      <c r="P42" s="4" t="n">
        <v>56.91295064043823</v>
      </c>
      <c r="Q42" s="3" t="n">
        <v>-62.12310000000001</v>
      </c>
      <c r="R42" s="3" t="n">
        <v>-363.4349999999999</v>
      </c>
      <c r="S42" s="3" t="n">
        <v>243.1726</v>
      </c>
      <c r="T42" s="4" t="n">
        <v>49.67163286447449</v>
      </c>
      <c r="U42" s="5">
        <f>IFERROR(BDP(E42&amp;" Corp","LAST_PRICE"),"--")</f>
        <v/>
      </c>
      <c r="V42" s="6">
        <f>IFERROR(BDP(E42&amp;" Corp","YAS_BENCHMARK_BOND_ISIN"),"--")</f>
        <v/>
      </c>
      <c r="W42" s="5">
        <f>IFERROR(BDP(V42&amp;" CORP","LAST_PRICE"),"--")</f>
        <v/>
      </c>
      <c r="X42" s="7">
        <f>IFERROR(BDP(E42&amp;" Corp","YAS_YLD_SPREAD","YAS_BOND_PX="&amp;U42,"YAS_BNCHMRK_BOND_PX="&amp;W42),"--")</f>
        <v/>
      </c>
      <c r="Y42" s="7">
        <f>IFERROR(BDP(E42&amp;" Corp","BLOOMBERG_MID_G_SPREAD","YAS_BOND_PX="&amp;U42,"YAS_BNCHMRK_BOND_PX="&amp;W42),"--")</f>
        <v/>
      </c>
      <c r="Z42" s="7">
        <f>IFERROR(BDP(D42,"LAST_PRICE"),"--")</f>
        <v/>
      </c>
      <c r="AA42" s="7">
        <f>IFERROR(Z42-Y42,"--")</f>
        <v/>
      </c>
      <c r="AB42" s="8">
        <f>IFERROR((AA42-R42)/(S42-R42)*100,"--")</f>
        <v/>
      </c>
    </row>
    <row r="43">
      <c r="A43" t="inlineStr">
        <is>
          <t>CCO_H</t>
        </is>
      </c>
      <c r="B43" t="inlineStr">
        <is>
          <t>HY</t>
        </is>
      </c>
      <c r="C43" t="inlineStr">
        <is>
          <t>CHTR 7 3/8 03/01/31</t>
        </is>
      </c>
      <c r="D43" t="inlineStr">
        <is>
          <t>CCO_H CDS USD SR 5Y D14 Corp</t>
        </is>
      </c>
      <c r="E43" t="inlineStr">
        <is>
          <t>US1248EPCT83</t>
        </is>
      </c>
      <c r="F43" s="2" t="n">
        <v>45659</v>
      </c>
      <c r="G43" s="2" t="n">
        <v>46225</v>
      </c>
      <c r="H43" s="2" t="n">
        <v>48019</v>
      </c>
      <c r="I43" s="3" t="n">
        <v>348.8596</v>
      </c>
      <c r="J43" s="3" t="n">
        <v>348.8596</v>
      </c>
      <c r="K43" s="3" t="n">
        <v>297.203</v>
      </c>
      <c r="L43" s="3" t="n">
        <v>309.115</v>
      </c>
      <c r="M43" s="3" t="n">
        <v>51.65660000000003</v>
      </c>
      <c r="N43" s="3" t="n">
        <v>-70.62690000000003</v>
      </c>
      <c r="O43" s="3" t="n">
        <v>66.78140000000002</v>
      </c>
      <c r="P43" s="4" t="n">
        <v>88.99280465590508</v>
      </c>
      <c r="Q43" s="3" t="n">
        <v>51.65660000000003</v>
      </c>
      <c r="R43" s="3" t="n">
        <v>-70.62690000000003</v>
      </c>
      <c r="S43" s="3" t="n">
        <v>66.78140000000002</v>
      </c>
      <c r="T43" s="4" t="n">
        <v>88.99280465590508</v>
      </c>
      <c r="U43" s="5">
        <f>IFERROR(BDP(E43&amp;" Corp","LAST_PRICE"),"--")</f>
        <v/>
      </c>
      <c r="V43" s="6">
        <f>IFERROR(BDP(E43&amp;" Corp","YAS_BENCHMARK_BOND_ISIN"),"--")</f>
        <v/>
      </c>
      <c r="W43" s="5">
        <f>IFERROR(BDP(V43&amp;" CORP","LAST_PRICE"),"--")</f>
        <v/>
      </c>
      <c r="X43" s="7">
        <f>IFERROR(BDP(E43&amp;" Corp","YAS_YLD_SPREAD","YAS_BOND_PX="&amp;U43,"YAS_BNCHMRK_BOND_PX="&amp;W43),"--")</f>
        <v/>
      </c>
      <c r="Y43" s="7">
        <f>IFERROR(BDP(E43&amp;" Corp","BLOOMBERG_MID_G_SPREAD","YAS_BOND_PX="&amp;U43,"YAS_BNCHMRK_BOND_PX="&amp;W43),"--")</f>
        <v/>
      </c>
      <c r="Z43" s="7">
        <f>IFERROR(BDP(D43,"LAST_PRICE"),"--")</f>
        <v/>
      </c>
      <c r="AA43" s="7">
        <f>IFERROR(Z43-Y43,"--")</f>
        <v/>
      </c>
      <c r="AB43" s="8">
        <f>IFERROR((AA43-R43)/(S43-R43)*100,"--")</f>
        <v/>
      </c>
    </row>
    <row r="44">
      <c r="A44" t="inlineStr">
        <is>
          <t>CE</t>
        </is>
      </c>
      <c r="B44" t="inlineStr">
        <is>
          <t>HY</t>
        </is>
      </c>
      <c r="C44" t="inlineStr">
        <is>
          <t>CE 7 02/15/31</t>
        </is>
      </c>
      <c r="D44" t="inlineStr">
        <is>
          <t>CE CDS USD SR 5Y D14 Corp</t>
        </is>
      </c>
      <c r="E44" t="inlineStr">
        <is>
          <t>US15089QBC78</t>
        </is>
      </c>
      <c r="F44" s="2" t="n">
        <v>45995</v>
      </c>
      <c r="G44" s="2" t="n">
        <v>46225</v>
      </c>
      <c r="H44" s="2" t="n">
        <v>48019</v>
      </c>
      <c r="I44" s="3" t="n">
        <v>177.0603</v>
      </c>
      <c r="J44" s="3" t="n">
        <v>177.0603</v>
      </c>
      <c r="K44" s="3" t="n">
        <v>176.423</v>
      </c>
      <c r="L44" s="3" t="n">
        <v>177.807</v>
      </c>
      <c r="M44" s="3" t="n">
        <v>0.6373000000000104</v>
      </c>
      <c r="N44" s="3" t="n">
        <v>-23.56200000000001</v>
      </c>
      <c r="O44" s="3" t="n">
        <v>46.6917</v>
      </c>
      <c r="P44" s="4" t="n">
        <v>34.44558791921282</v>
      </c>
      <c r="Q44" s="3" t="n">
        <v>0.6373000000000104</v>
      </c>
      <c r="R44" s="3" t="n">
        <v>-23.56200000000001</v>
      </c>
      <c r="S44" s="3" t="n">
        <v>46.6917</v>
      </c>
      <c r="T44" s="4" t="n">
        <v>34.44558791921282</v>
      </c>
      <c r="U44" s="5">
        <f>IFERROR(BDP(E44&amp;" Corp","LAST_PRICE"),"--")</f>
        <v/>
      </c>
      <c r="V44" s="6">
        <f>IFERROR(BDP(E44&amp;" Corp","YAS_BENCHMARK_BOND_ISIN"),"--")</f>
        <v/>
      </c>
      <c r="W44" s="5">
        <f>IFERROR(BDP(V44&amp;" CORP","LAST_PRICE"),"--")</f>
        <v/>
      </c>
      <c r="X44" s="7">
        <f>IFERROR(BDP(E44&amp;" Corp","YAS_YLD_SPREAD","YAS_BOND_PX="&amp;U44,"YAS_BNCHMRK_BOND_PX="&amp;W44),"--")</f>
        <v/>
      </c>
      <c r="Y44" s="7">
        <f>IFERROR(BDP(E44&amp;" Corp","BLOOMBERG_MID_G_SPREAD","YAS_BOND_PX="&amp;U44,"YAS_BNCHMRK_BOND_PX="&amp;W44),"--")</f>
        <v/>
      </c>
      <c r="Z44" s="7">
        <f>IFERROR(BDP(D44,"LAST_PRICE"),"--")</f>
        <v/>
      </c>
      <c r="AA44" s="7">
        <f>IFERROR(Z44-Y44,"--")</f>
        <v/>
      </c>
      <c r="AB44" s="8">
        <f>IFERROR((AA44-R44)/(S44-R44)*100,"--")</f>
        <v/>
      </c>
    </row>
    <row r="45">
      <c r="A45" t="inlineStr">
        <is>
          <t>CLF</t>
        </is>
      </c>
      <c r="B45" t="inlineStr">
        <is>
          <t>HY</t>
        </is>
      </c>
      <c r="C45" t="inlineStr">
        <is>
          <t>CLF 7 5/8 01/15/34</t>
        </is>
      </c>
      <c r="D45" t="inlineStr">
        <is>
          <t>CLF CDS USD SR 5Y D14 Corp</t>
        </is>
      </c>
      <c r="E45" t="inlineStr">
        <is>
          <t>US18589GAA31</t>
        </is>
      </c>
      <c r="F45" s="2" t="n">
        <v>45903</v>
      </c>
      <c r="G45" s="2" t="n">
        <v>46225</v>
      </c>
      <c r="H45" s="2" t="n">
        <v>49115</v>
      </c>
      <c r="I45" s="3" t="n">
        <v>338.4717</v>
      </c>
      <c r="J45" s="3" t="n">
        <v>262.4025</v>
      </c>
      <c r="K45" s="3" t="n">
        <v>314.009</v>
      </c>
      <c r="L45" s="3" t="n">
        <v>258.783</v>
      </c>
      <c r="M45" s="3" t="n">
        <v>24.46269999999998</v>
      </c>
      <c r="N45" s="3" t="n">
        <v>-18.69530000000003</v>
      </c>
      <c r="O45" s="3" t="n">
        <v>94.03029999999995</v>
      </c>
      <c r="P45" s="4" t="n">
        <v>38.28589069386193</v>
      </c>
      <c r="Q45" s="3" t="n">
        <v>-51.60650000000004</v>
      </c>
      <c r="R45" s="3" t="n">
        <v>-83.23420000000004</v>
      </c>
      <c r="S45" s="3" t="n">
        <v>-0.4543000000000461</v>
      </c>
      <c r="T45" s="4" t="n">
        <v>38.20698019688355</v>
      </c>
      <c r="U45" s="5">
        <f>IFERROR(BDP(E45&amp;" Corp","LAST_PRICE"),"--")</f>
        <v/>
      </c>
      <c r="V45" s="6">
        <f>IFERROR(BDP(E45&amp;" Corp","YAS_BENCHMARK_BOND_ISIN"),"--")</f>
        <v/>
      </c>
      <c r="W45" s="5">
        <f>IFERROR(BDP(V45&amp;" CORP","LAST_PRICE"),"--")</f>
        <v/>
      </c>
      <c r="X45" s="7">
        <f>IFERROR(BDP(E45&amp;" Corp","YAS_YLD_SPREAD","YAS_BOND_PX="&amp;U45,"YAS_BNCHMRK_BOND_PX="&amp;W45),"--")</f>
        <v/>
      </c>
      <c r="Y45" s="7">
        <f>IFERROR(BDP(E45&amp;" Corp","BLOOMBERG_MID_G_SPREAD","YAS_BOND_PX="&amp;U45,"YAS_BNCHMRK_BOND_PX="&amp;W45),"--")</f>
        <v/>
      </c>
      <c r="Z45" s="7">
        <f>IFERROR(BDP(D45,"LAST_PRICE"),"--")</f>
        <v/>
      </c>
      <c r="AA45" s="7">
        <f>IFERROR(Z45-Y45,"--")</f>
        <v/>
      </c>
      <c r="AB45" s="8">
        <f>IFERROR((AA45-R45)/(S45-R45)*100,"--")</f>
        <v/>
      </c>
    </row>
    <row r="46">
      <c r="A46" t="inlineStr">
        <is>
          <t>CRGYFN</t>
        </is>
      </c>
      <c r="B46" t="inlineStr">
        <is>
          <t>HY</t>
        </is>
      </c>
      <c r="C46" t="inlineStr">
        <is>
          <t>CRGYFN 7 5/8 04/01/32</t>
        </is>
      </c>
      <c r="D46" t="inlineStr">
        <is>
          <t>CZ060930 Curncy</t>
        </is>
      </c>
      <c r="E46" t="inlineStr">
        <is>
          <t>US45344LAD55</t>
        </is>
      </c>
      <c r="F46" s="2" t="n">
        <v>46106</v>
      </c>
      <c r="G46" s="2" t="n">
        <v>46225</v>
      </c>
      <c r="H46" s="2" t="n">
        <v>48385</v>
      </c>
      <c r="I46" s="3" t="n">
        <v>177.3997</v>
      </c>
      <c r="J46" s="3" t="n">
        <v>171.1253</v>
      </c>
      <c r="K46" s="3" t="n">
        <v>249.465</v>
      </c>
      <c r="L46" s="3" t="n">
        <v>257.289</v>
      </c>
      <c r="M46" s="3" t="n">
        <v>-72.06530000000001</v>
      </c>
      <c r="N46" s="3" t="n">
        <v>-130.9281</v>
      </c>
      <c r="O46" s="3" t="n">
        <v>-21.89389999999997</v>
      </c>
      <c r="P46" s="4" t="n">
        <v>53.98563019676392</v>
      </c>
      <c r="Q46" s="3" t="n">
        <v>-78.33969999999999</v>
      </c>
      <c r="R46" s="3" t="n">
        <v>-140.225</v>
      </c>
      <c r="S46" s="3" t="n">
        <v>-57.62949999999995</v>
      </c>
      <c r="T46" s="4" t="n">
        <v>74.92575261364115</v>
      </c>
      <c r="U46" s="5">
        <f>IFERROR(BDP(E46&amp;" Corp","LAST_PRICE"),"--")</f>
        <v/>
      </c>
      <c r="V46" s="6">
        <f>IFERROR(BDP(E46&amp;" Corp","YAS_BENCHMARK_BOND_ISIN"),"--")</f>
        <v/>
      </c>
      <c r="W46" s="5">
        <f>IFERROR(BDP(V46&amp;" CORP","LAST_PRICE"),"--")</f>
        <v/>
      </c>
      <c r="X46" s="7">
        <f>IFERROR(BDP(E46&amp;" Corp","YAS_YLD_SPREAD","YAS_BOND_PX="&amp;U46,"YAS_BNCHMRK_BOND_PX="&amp;W46),"--")</f>
        <v/>
      </c>
      <c r="Y46" s="7">
        <f>IFERROR(BDP(E46&amp;" Corp","BLOOMBERG_MID_G_SPREAD","YAS_BOND_PX="&amp;U46,"YAS_BNCHMRK_BOND_PX="&amp;W46),"--")</f>
        <v/>
      </c>
      <c r="Z46" s="7">
        <f>IFERROR(BDP(D46,"LAST_PRICE"),"--")</f>
        <v/>
      </c>
      <c r="AA46" s="7">
        <f>IFERROR(Z46-Y46,"--")</f>
        <v/>
      </c>
      <c r="AB46" s="8">
        <f>IFERROR((AA46-R46)/(S46-R46)*100,"--")</f>
        <v/>
      </c>
    </row>
    <row r="47">
      <c r="A47" t="inlineStr">
        <is>
          <t>CRWV</t>
        </is>
      </c>
      <c r="B47" t="inlineStr">
        <is>
          <t>HY</t>
        </is>
      </c>
      <c r="C47" t="inlineStr">
        <is>
          <t>CRWV 9 02/01/31</t>
        </is>
      </c>
      <c r="D47" t="inlineStr">
        <is>
          <t>CRWV CDS USD SR 5Y D14 Corp</t>
        </is>
      </c>
      <c r="E47" t="inlineStr">
        <is>
          <t>US21873SAC26</t>
        </is>
      </c>
      <c r="F47" s="2" t="n">
        <v>46044</v>
      </c>
      <c r="G47" s="2" t="n">
        <v>46225</v>
      </c>
      <c r="H47" s="2" t="n">
        <v>48019</v>
      </c>
      <c r="I47" s="3" t="n">
        <v>704.5309999999999</v>
      </c>
      <c r="J47" s="3" t="n">
        <v>704.5309999999999</v>
      </c>
      <c r="K47" s="3" t="n">
        <v>623.9</v>
      </c>
      <c r="L47" s="3" t="n">
        <v>659.249</v>
      </c>
      <c r="M47" s="3" t="n">
        <v>80.63099999999997</v>
      </c>
      <c r="N47" s="3" t="n">
        <v>-2.075799999999958</v>
      </c>
      <c r="O47" s="3" t="n">
        <v>87.85699999999997</v>
      </c>
      <c r="P47" s="4" t="n">
        <v>91.96511172786791</v>
      </c>
      <c r="Q47" s="3" t="n">
        <v>80.63099999999997</v>
      </c>
      <c r="R47" s="3" t="n">
        <v>-2.075799999999958</v>
      </c>
      <c r="S47" s="3" t="n">
        <v>87.85699999999997</v>
      </c>
      <c r="T47" s="4" t="n">
        <v>91.96511172786791</v>
      </c>
      <c r="U47" s="5">
        <f>IFERROR(BDP(E47&amp;" Corp","LAST_PRICE"),"--")</f>
        <v/>
      </c>
      <c r="V47" s="6">
        <f>IFERROR(BDP(E47&amp;" Corp","YAS_BENCHMARK_BOND_ISIN"),"--")</f>
        <v/>
      </c>
      <c r="W47" s="5">
        <f>IFERROR(BDP(V47&amp;" CORP","LAST_PRICE"),"--")</f>
        <v/>
      </c>
      <c r="X47" s="7">
        <f>IFERROR(BDP(E47&amp;" Corp","YAS_YLD_SPREAD","YAS_BOND_PX="&amp;U47,"YAS_BNCHMRK_BOND_PX="&amp;W47),"--")</f>
        <v/>
      </c>
      <c r="Y47" s="7">
        <f>IFERROR(BDP(E47&amp;" Corp","BLOOMBERG_MID_G_SPREAD","YAS_BOND_PX="&amp;U47,"YAS_BNCHMRK_BOND_PX="&amp;W47),"--")</f>
        <v/>
      </c>
      <c r="Z47" s="7">
        <f>IFERROR(BDP(D47,"LAST_PRICE"),"--")</f>
        <v/>
      </c>
      <c r="AA47" s="7">
        <f>IFERROR(Z47-Y47,"--")</f>
        <v/>
      </c>
      <c r="AB47" s="8">
        <f>IFERROR((AA47-R47)/(S47-R47)*100,"--")</f>
        <v/>
      </c>
    </row>
    <row r="48">
      <c r="A48" t="inlineStr">
        <is>
          <t>CSCHLD</t>
        </is>
      </c>
      <c r="B48" t="inlineStr">
        <is>
          <t>HY</t>
        </is>
      </c>
      <c r="C48" t="inlineStr">
        <is>
          <t>CSCHLD 4 5/8 12/01/30</t>
        </is>
      </c>
      <c r="D48" t="inlineStr">
        <is>
          <t>CSCHLD CDS USD SR 5Y D14 Corp</t>
        </is>
      </c>
      <c r="E48" t="inlineStr">
        <is>
          <t>US126307BD80</t>
        </is>
      </c>
      <c r="F48" s="2" t="n">
        <v>45659</v>
      </c>
      <c r="G48" s="2" t="n">
        <v>46225</v>
      </c>
      <c r="H48" s="2" t="n">
        <v>47837</v>
      </c>
      <c r="I48" s="3" t="n">
        <v>0</v>
      </c>
      <c r="J48" s="3" t="n">
        <v>0</v>
      </c>
      <c r="K48" s="3" t="n">
        <v>4564.108</v>
      </c>
      <c r="L48" s="3" t="n">
        <v>4694.757</v>
      </c>
      <c r="M48" s="3" t="n">
        <v>-4564.108</v>
      </c>
      <c r="N48" s="3" t="n">
        <v>-4564.108</v>
      </c>
      <c r="O48" s="3" t="n">
        <v>12078.6832</v>
      </c>
      <c r="P48" s="4" t="n">
        <v>0</v>
      </c>
      <c r="Q48" s="3" t="n">
        <v>-4564.108</v>
      </c>
      <c r="R48" s="3" t="n">
        <v>-4564.108</v>
      </c>
      <c r="S48" s="3" t="n">
        <v>16063.0554</v>
      </c>
      <c r="T48" s="4" t="n">
        <v>0</v>
      </c>
      <c r="U48" s="5">
        <f>IFERROR(BDP(E48&amp;" Corp","LAST_PRICE"),"--")</f>
        <v/>
      </c>
      <c r="V48" s="6">
        <f>IFERROR(BDP(E48&amp;" Corp","YAS_BENCHMARK_BOND_ISIN"),"--")</f>
        <v/>
      </c>
      <c r="W48" s="5">
        <f>IFERROR(BDP(V48&amp;" CORP","LAST_PRICE"),"--")</f>
        <v/>
      </c>
      <c r="X48" s="7">
        <f>IFERROR(BDP(E48&amp;" Corp","YAS_YLD_SPREAD","YAS_BOND_PX="&amp;U48,"YAS_BNCHMRK_BOND_PX="&amp;W48),"--")</f>
        <v/>
      </c>
      <c r="Y48" s="7">
        <f>IFERROR(BDP(E48&amp;" Corp","BLOOMBERG_MID_G_SPREAD","YAS_BOND_PX="&amp;U48,"YAS_BNCHMRK_BOND_PX="&amp;W48),"--")</f>
        <v/>
      </c>
      <c r="Z48" s="7">
        <f>IFERROR(BDP(D48,"LAST_PRICE"),"--")</f>
        <v/>
      </c>
      <c r="AA48" s="7">
        <f>IFERROR(Z48-Y48,"--")</f>
        <v/>
      </c>
      <c r="AB48" s="8">
        <f>IFERROR((AA48-R48)/(S48-R48)*100,"--")</f>
        <v/>
      </c>
    </row>
    <row r="49">
      <c r="A49" t="inlineStr">
        <is>
          <t>CVNA</t>
        </is>
      </c>
      <c r="B49" t="inlineStr">
        <is>
          <t>HY</t>
        </is>
      </c>
      <c r="C49" t="inlineStr">
        <is>
          <t>CVNA 9 06/01/31</t>
        </is>
      </c>
      <c r="D49" t="inlineStr">
        <is>
          <t>CVNA CDS USD SR 5Y D14 Corp</t>
        </is>
      </c>
      <c r="E49" t="inlineStr">
        <is>
          <t>US146869AM47</t>
        </is>
      </c>
      <c r="F49" s="2" t="n">
        <v>45659</v>
      </c>
      <c r="G49" s="2" t="n">
        <v>46225</v>
      </c>
      <c r="H49" s="2" t="n">
        <v>48019</v>
      </c>
      <c r="I49" s="3" t="n">
        <v>225.038</v>
      </c>
      <c r="J49" s="3" t="n">
        <v>225.038</v>
      </c>
      <c r="K49" s="3" t="n">
        <v>163.045</v>
      </c>
      <c r="L49" s="3" t="n">
        <v>168.576</v>
      </c>
      <c r="M49" s="3" t="n">
        <v>61.99300000000002</v>
      </c>
      <c r="N49" s="3" t="n">
        <v>-35.64090000000002</v>
      </c>
      <c r="O49" s="3" t="n">
        <v>262.4029</v>
      </c>
      <c r="P49" s="4" t="n">
        <v>32.75823888972025</v>
      </c>
      <c r="Q49" s="3" t="n">
        <v>61.99300000000002</v>
      </c>
      <c r="R49" s="3" t="n">
        <v>-35.64090000000002</v>
      </c>
      <c r="S49" s="3" t="n">
        <v>262.4029</v>
      </c>
      <c r="T49" s="4" t="n">
        <v>32.75823888972025</v>
      </c>
      <c r="U49" s="5">
        <f>IFERROR(BDP(E49&amp;" Corp","LAST_PRICE"),"--")</f>
        <v/>
      </c>
      <c r="V49" s="6">
        <f>IFERROR(BDP(E49&amp;" Corp","YAS_BENCHMARK_BOND_ISIN"),"--")</f>
        <v/>
      </c>
      <c r="W49" s="5">
        <f>IFERROR(BDP(V49&amp;" CORP","LAST_PRICE"),"--")</f>
        <v/>
      </c>
      <c r="X49" s="7">
        <f>IFERROR(BDP(E49&amp;" Corp","YAS_YLD_SPREAD","YAS_BOND_PX="&amp;U49,"YAS_BNCHMRK_BOND_PX="&amp;W49),"--")</f>
        <v/>
      </c>
      <c r="Y49" s="7">
        <f>IFERROR(BDP(E49&amp;" Corp","BLOOMBERG_MID_G_SPREAD","YAS_BOND_PX="&amp;U49,"YAS_BNCHMRK_BOND_PX="&amp;W49),"--")</f>
        <v/>
      </c>
      <c r="Z49" s="7">
        <f>IFERROR(BDP(D49,"LAST_PRICE"),"--")</f>
        <v/>
      </c>
      <c r="AA49" s="7">
        <f>IFERROR(Z49-Y49,"--")</f>
        <v/>
      </c>
      <c r="AB49" s="8">
        <f>IFERROR((AA49-R49)/(S49-R49)*100,"--")</f>
        <v/>
      </c>
    </row>
    <row r="50">
      <c r="A50" t="inlineStr">
        <is>
          <t>CYH</t>
        </is>
      </c>
      <c r="B50" t="inlineStr">
        <is>
          <t>HY</t>
        </is>
      </c>
      <c r="C50" t="inlineStr">
        <is>
          <t>CYH 6 1/8 04/01/30</t>
        </is>
      </c>
      <c r="D50" t="inlineStr">
        <is>
          <t>COMMUNITY CDS USD SR 5Y D14 Corp</t>
        </is>
      </c>
      <c r="E50" t="inlineStr">
        <is>
          <t>US12543DBL38</t>
        </is>
      </c>
      <c r="F50" s="2" t="n">
        <v>45659</v>
      </c>
      <c r="G50" s="2" t="n">
        <v>46225</v>
      </c>
      <c r="H50" s="2" t="n">
        <v>47654</v>
      </c>
      <c r="I50" s="3" t="n">
        <v>686.5707</v>
      </c>
      <c r="J50" s="3" t="n">
        <v>818.2044</v>
      </c>
      <c r="K50" s="3" t="n">
        <v>600.7</v>
      </c>
      <c r="L50" s="3" t="n">
        <v>665.173</v>
      </c>
      <c r="M50" s="3" t="n">
        <v>85.87069999999994</v>
      </c>
      <c r="N50" s="3" t="n">
        <v>-57.35170000000005</v>
      </c>
      <c r="O50" s="3" t="n">
        <v>1127.2341</v>
      </c>
      <c r="P50" s="4" t="n">
        <v>12.09050454597717</v>
      </c>
      <c r="Q50" s="3" t="n">
        <v>217.5043999999999</v>
      </c>
      <c r="R50" s="3" t="n">
        <v>3.414499999999975</v>
      </c>
      <c r="S50" s="3" t="n">
        <v>1162.1556</v>
      </c>
      <c r="T50" s="4" t="n">
        <v>18.47607718410955</v>
      </c>
      <c r="U50" s="5">
        <f>IFERROR(BDP(E50&amp;" Corp","LAST_PRICE"),"--")</f>
        <v/>
      </c>
      <c r="V50" s="6">
        <f>IFERROR(BDP(E50&amp;" Corp","YAS_BENCHMARK_BOND_ISIN"),"--")</f>
        <v/>
      </c>
      <c r="W50" s="5">
        <f>IFERROR(BDP(V50&amp;" CORP","LAST_PRICE"),"--")</f>
        <v/>
      </c>
      <c r="X50" s="7">
        <f>IFERROR(BDP(E50&amp;" Corp","YAS_YLD_SPREAD","YAS_BOND_PX="&amp;U50,"YAS_BNCHMRK_BOND_PX="&amp;W50),"--")</f>
        <v/>
      </c>
      <c r="Y50" s="7">
        <f>IFERROR(BDP(E50&amp;" Corp","BLOOMBERG_MID_G_SPREAD","YAS_BOND_PX="&amp;U50,"YAS_BNCHMRK_BOND_PX="&amp;W50),"--")</f>
        <v/>
      </c>
      <c r="Z50" s="7">
        <f>IFERROR(BDP(D50,"LAST_PRICE"),"--")</f>
        <v/>
      </c>
      <c r="AA50" s="7">
        <f>IFERROR(Z50-Y50,"--")</f>
        <v/>
      </c>
      <c r="AB50" s="8">
        <f>IFERROR((AA50-R50)/(S50-R50)*100,"--")</f>
        <v/>
      </c>
    </row>
    <row r="51">
      <c r="A51" t="inlineStr">
        <is>
          <t>CZR</t>
        </is>
      </c>
      <c r="B51" t="inlineStr">
        <is>
          <t>HY</t>
        </is>
      </c>
      <c r="C51" t="inlineStr">
        <is>
          <t>CZR 6 10/15/32</t>
        </is>
      </c>
      <c r="D51" t="inlineStr">
        <is>
          <t>CZR A CDS USD SR 5Y D14 Corp</t>
        </is>
      </c>
      <c r="E51" t="inlineStr">
        <is>
          <t>US12769GAD25</t>
        </is>
      </c>
      <c r="F51" s="2" t="n">
        <v>45659</v>
      </c>
      <c r="G51" s="2" t="n">
        <v>46225</v>
      </c>
      <c r="H51" s="2" t="n">
        <v>48568</v>
      </c>
      <c r="I51" s="3" t="n">
        <v>450.3654</v>
      </c>
      <c r="J51" s="3" t="n">
        <v>374.7385</v>
      </c>
      <c r="K51" s="3" t="n">
        <v>390.676</v>
      </c>
      <c r="L51" s="3" t="n">
        <v>405.002</v>
      </c>
      <c r="M51" s="3" t="n">
        <v>59.68940000000003</v>
      </c>
      <c r="N51" s="3" t="n">
        <v>3.157699999999977</v>
      </c>
      <c r="O51" s="3" t="n">
        <v>135.4451</v>
      </c>
      <c r="P51" s="4" t="n">
        <v>42.73400187772988</v>
      </c>
      <c r="Q51" s="3" t="n">
        <v>-15.9375</v>
      </c>
      <c r="R51" s="3" t="n">
        <v>-46.70949999999999</v>
      </c>
      <c r="S51" s="3" t="n">
        <v>87.41250000000002</v>
      </c>
      <c r="T51" s="4" t="n">
        <v>22.94329043706475</v>
      </c>
      <c r="U51" s="5">
        <f>IFERROR(BDP(E51&amp;" Corp","LAST_PRICE"),"--")</f>
        <v/>
      </c>
      <c r="V51" s="6">
        <f>IFERROR(BDP(E51&amp;" Corp","YAS_BENCHMARK_BOND_ISIN"),"--")</f>
        <v/>
      </c>
      <c r="W51" s="5">
        <f>IFERROR(BDP(V51&amp;" CORP","LAST_PRICE"),"--")</f>
        <v/>
      </c>
      <c r="X51" s="7">
        <f>IFERROR(BDP(E51&amp;" Corp","YAS_YLD_SPREAD","YAS_BOND_PX="&amp;U51,"YAS_BNCHMRK_BOND_PX="&amp;W51),"--")</f>
        <v/>
      </c>
      <c r="Y51" s="7">
        <f>IFERROR(BDP(E51&amp;" Corp","BLOOMBERG_MID_G_SPREAD","YAS_BOND_PX="&amp;U51,"YAS_BNCHMRK_BOND_PX="&amp;W51),"--")</f>
        <v/>
      </c>
      <c r="Z51" s="7">
        <f>IFERROR(BDP(D51,"LAST_PRICE"),"--")</f>
        <v/>
      </c>
      <c r="AA51" s="7">
        <f>IFERROR(Z51-Y51,"--")</f>
        <v/>
      </c>
      <c r="AB51" s="8">
        <f>IFERROR((AA51-R51)/(S51-R51)*100,"--")</f>
        <v/>
      </c>
    </row>
    <row r="52">
      <c r="A52" t="inlineStr">
        <is>
          <t>DISH</t>
        </is>
      </c>
      <c r="B52" t="inlineStr">
        <is>
          <t>HY</t>
        </is>
      </c>
      <c r="C52" t="inlineStr">
        <is>
          <t>DISH 5 1/8 06/01/29</t>
        </is>
      </c>
      <c r="D52" t="inlineStr">
        <is>
          <t>DISH CDS USD SR 5Y D14 Corp</t>
        </is>
      </c>
      <c r="E52" t="inlineStr">
        <is>
          <t>US25470XBD66</t>
        </is>
      </c>
      <c r="F52" s="2" t="n">
        <v>45659</v>
      </c>
      <c r="G52" s="2" t="n">
        <v>46205</v>
      </c>
      <c r="H52" s="2" t="n">
        <v>47289</v>
      </c>
      <c r="I52" s="3" t="n">
        <v>879.3536</v>
      </c>
      <c r="J52" s="3" t="n">
        <v>0</v>
      </c>
      <c r="K52" s="3" t="n">
        <v>395.133</v>
      </c>
      <c r="L52" s="3" t="n">
        <v>461.462</v>
      </c>
      <c r="M52" s="3" t="n">
        <v>484.2206</v>
      </c>
      <c r="N52" s="3" t="n">
        <v>-225.7572</v>
      </c>
      <c r="O52" s="3" t="n">
        <v>610.5185999999999</v>
      </c>
      <c r="P52" s="4" t="n">
        <v>84.89756609003875</v>
      </c>
      <c r="Q52" s="3" t="n">
        <v>-455.381</v>
      </c>
      <c r="R52" s="3" t="n">
        <v>-469.835</v>
      </c>
      <c r="S52" s="3" t="n">
        <v>461.9003</v>
      </c>
      <c r="T52" s="4" t="n">
        <v>1.551298957976585</v>
      </c>
      <c r="U52" s="5">
        <f>IFERROR(BDP(E52&amp;" Corp","LAST_PRICE"),"--")</f>
        <v/>
      </c>
      <c r="V52" s="6">
        <f>IFERROR(BDP(E52&amp;" Corp","YAS_BENCHMARK_BOND_ISIN"),"--")</f>
        <v/>
      </c>
      <c r="W52" s="5">
        <f>IFERROR(BDP(V52&amp;" CORP","LAST_PRICE"),"--")</f>
        <v/>
      </c>
      <c r="X52" s="7">
        <f>IFERROR(BDP(E52&amp;" Corp","YAS_YLD_SPREAD","YAS_BOND_PX="&amp;U52,"YAS_BNCHMRK_BOND_PX="&amp;W52),"--")</f>
        <v/>
      </c>
      <c r="Y52" s="7">
        <f>IFERROR(BDP(E52&amp;" Corp","BLOOMBERG_MID_G_SPREAD","YAS_BOND_PX="&amp;U52,"YAS_BNCHMRK_BOND_PX="&amp;W52),"--")</f>
        <v/>
      </c>
      <c r="Z52" s="7">
        <f>IFERROR(BDP(D52,"LAST_PRICE"),"--")</f>
        <v/>
      </c>
      <c r="AA52" s="7">
        <f>IFERROR(Z52-Y52,"--")</f>
        <v/>
      </c>
      <c r="AB52" s="8">
        <f>IFERROR((AA52-R52)/(S52-R52)*100,"--")</f>
        <v/>
      </c>
    </row>
    <row r="53">
      <c r="A53" t="inlineStr">
        <is>
          <t>DVA</t>
        </is>
      </c>
      <c r="B53" t="inlineStr">
        <is>
          <t>HY</t>
        </is>
      </c>
      <c r="C53" t="inlineStr">
        <is>
          <t>DVA 6 7/8 09/01/32</t>
        </is>
      </c>
      <c r="D53" t="inlineStr">
        <is>
          <t>DVA CDS USD SR 5Y D14 Corp</t>
        </is>
      </c>
      <c r="E53" t="inlineStr">
        <is>
          <t>US23918KAW80</t>
        </is>
      </c>
      <c r="F53" s="2" t="n">
        <v>45659</v>
      </c>
      <c r="G53" s="2" t="n">
        <v>46225</v>
      </c>
      <c r="H53" s="2" t="n">
        <v>48568</v>
      </c>
      <c r="I53" s="3" t="n">
        <v>113.9591</v>
      </c>
      <c r="J53" s="3" t="n">
        <v>87.2668</v>
      </c>
      <c r="K53" s="3" t="n">
        <v>148.364</v>
      </c>
      <c r="L53" s="3" t="n">
        <v>161.658</v>
      </c>
      <c r="M53" s="3" t="n">
        <v>-34.4049</v>
      </c>
      <c r="N53" s="3" t="n">
        <v>-110.7873</v>
      </c>
      <c r="O53" s="3" t="n">
        <v>-25.06759999999998</v>
      </c>
      <c r="P53" s="4" t="n">
        <v>89.10717139700675</v>
      </c>
      <c r="Q53" s="3" t="n">
        <v>-61.0972</v>
      </c>
      <c r="R53" s="3" t="n">
        <v>-118.257</v>
      </c>
      <c r="S53" s="3" t="n">
        <v>-51.51419999999999</v>
      </c>
      <c r="T53" s="4" t="n">
        <v>85.64189695367888</v>
      </c>
      <c r="U53" s="5">
        <f>IFERROR(BDP(E53&amp;" Corp","LAST_PRICE"),"--")</f>
        <v/>
      </c>
      <c r="V53" s="6">
        <f>IFERROR(BDP(E53&amp;" Corp","YAS_BENCHMARK_BOND_ISIN"),"--")</f>
        <v/>
      </c>
      <c r="W53" s="5">
        <f>IFERROR(BDP(V53&amp;" CORP","LAST_PRICE"),"--")</f>
        <v/>
      </c>
      <c r="X53" s="7">
        <f>IFERROR(BDP(E53&amp;" Corp","YAS_YLD_SPREAD","YAS_BOND_PX="&amp;U53,"YAS_BNCHMRK_BOND_PX="&amp;W53),"--")</f>
        <v/>
      </c>
      <c r="Y53" s="7">
        <f>IFERROR(BDP(E53&amp;" Corp","BLOOMBERG_MID_G_SPREAD","YAS_BOND_PX="&amp;U53,"YAS_BNCHMRK_BOND_PX="&amp;W53),"--")</f>
        <v/>
      </c>
      <c r="Z53" s="7">
        <f>IFERROR(BDP(D53,"LAST_PRICE"),"--")</f>
        <v/>
      </c>
      <c r="AA53" s="7">
        <f>IFERROR(Z53-Y53,"--")</f>
        <v/>
      </c>
      <c r="AB53" s="8">
        <f>IFERROR((AA53-R53)/(S53-R53)*100,"--")</f>
        <v/>
      </c>
    </row>
    <row r="54">
      <c r="A54" t="inlineStr">
        <is>
          <t>FD</t>
        </is>
      </c>
      <c r="B54" t="inlineStr">
        <is>
          <t>HY</t>
        </is>
      </c>
      <c r="C54" t="inlineStr">
        <is>
          <t>M 7 3/8 08/01/33</t>
        </is>
      </c>
      <c r="D54" t="inlineStr">
        <is>
          <t>FD CDS USD SR 5Y D14 Corp</t>
        </is>
      </c>
      <c r="E54" t="inlineStr">
        <is>
          <t>US55617LAS16</t>
        </is>
      </c>
      <c r="F54" s="2" t="n">
        <v>45853</v>
      </c>
      <c r="G54" s="2" t="n">
        <v>46225</v>
      </c>
      <c r="H54" s="2" t="n">
        <v>48933</v>
      </c>
      <c r="I54" s="3" t="n">
        <v>242.1055</v>
      </c>
      <c r="J54" s="3" t="n">
        <v>163.79</v>
      </c>
      <c r="K54" s="3" t="n">
        <v>171.76</v>
      </c>
      <c r="L54" s="3" t="n">
        <v>173.321</v>
      </c>
      <c r="M54" s="3" t="n">
        <v>70.34550000000002</v>
      </c>
      <c r="N54" s="3" t="n">
        <v>-22.2559</v>
      </c>
      <c r="O54" s="3" t="n">
        <v>70.97620000000001</v>
      </c>
      <c r="P54" s="4" t="n">
        <v>99.32351625673991</v>
      </c>
      <c r="Q54" s="3" t="n">
        <v>-7.969999999999999</v>
      </c>
      <c r="R54" s="3" t="n">
        <v>-70.05699999999999</v>
      </c>
      <c r="S54" s="3" t="n">
        <v>20.60500000000002</v>
      </c>
      <c r="T54" s="4" t="n">
        <v>68.48183362378944</v>
      </c>
      <c r="U54" s="5">
        <f>IFERROR(BDP(E54&amp;" Corp","LAST_PRICE"),"--")</f>
        <v/>
      </c>
      <c r="V54" s="6">
        <f>IFERROR(BDP(E54&amp;" Corp","YAS_BENCHMARK_BOND_ISIN"),"--")</f>
        <v/>
      </c>
      <c r="W54" s="5">
        <f>IFERROR(BDP(V54&amp;" CORP","LAST_PRICE"),"--")</f>
        <v/>
      </c>
      <c r="X54" s="7">
        <f>IFERROR(BDP(E54&amp;" Corp","YAS_YLD_SPREAD","YAS_BOND_PX="&amp;U54,"YAS_BNCHMRK_BOND_PX="&amp;W54),"--")</f>
        <v/>
      </c>
      <c r="Y54" s="7">
        <f>IFERROR(BDP(E54&amp;" Corp","BLOOMBERG_MID_G_SPREAD","YAS_BOND_PX="&amp;U54,"YAS_BNCHMRK_BOND_PX="&amp;W54),"--")</f>
        <v/>
      </c>
      <c r="Z54" s="7">
        <f>IFERROR(BDP(D54,"LAST_PRICE"),"--")</f>
        <v/>
      </c>
      <c r="AA54" s="7">
        <f>IFERROR(Z54-Y54,"--")</f>
        <v/>
      </c>
      <c r="AB54" s="8">
        <f>IFERROR((AA54-R54)/(S54-R54)*100,"--")</f>
        <v/>
      </c>
    </row>
    <row r="55">
      <c r="A55" t="inlineStr">
        <is>
          <t>FREMOR</t>
        </is>
      </c>
      <c r="B55" t="inlineStr">
        <is>
          <t>HY</t>
        </is>
      </c>
      <c r="C55" t="inlineStr">
        <is>
          <t>FREMOR 6 7/8 05/01/31</t>
        </is>
      </c>
      <c r="D55" t="inlineStr">
        <is>
          <t>CZ060947 Curncy</t>
        </is>
      </c>
      <c r="E55" t="inlineStr">
        <is>
          <t>US35641AAE82</t>
        </is>
      </c>
      <c r="F55" s="2" t="n">
        <v>46108</v>
      </c>
      <c r="G55" s="2" t="n">
        <v>46225</v>
      </c>
      <c r="H55" s="2" t="n">
        <v>48019</v>
      </c>
      <c r="I55" s="3" t="n">
        <v>238.3223</v>
      </c>
      <c r="J55" s="3" t="n">
        <v>238.3223</v>
      </c>
      <c r="K55" s="3" t="n">
        <v>326.869</v>
      </c>
      <c r="L55" s="3" t="n">
        <v>335.576</v>
      </c>
      <c r="M55" s="3" t="n">
        <v>-88.54670000000002</v>
      </c>
      <c r="N55" s="3" t="n">
        <v>-111.8767</v>
      </c>
      <c r="O55" s="3" t="n">
        <v>-33.49079999999998</v>
      </c>
      <c r="P55" s="4" t="n">
        <v>29.76300584671472</v>
      </c>
      <c r="Q55" s="3" t="n">
        <v>-88.54670000000002</v>
      </c>
      <c r="R55" s="3" t="n">
        <v>-111.8767</v>
      </c>
      <c r="S55" s="3" t="n">
        <v>-33.49079999999998</v>
      </c>
      <c r="T55" s="4" t="n">
        <v>29.76300584671472</v>
      </c>
      <c r="U55" s="5">
        <f>IFERROR(BDP(E55&amp;" Corp","LAST_PRICE"),"--")</f>
        <v/>
      </c>
      <c r="V55" s="6">
        <f>IFERROR(BDP(E55&amp;" Corp","YAS_BENCHMARK_BOND_ISIN"),"--")</f>
        <v/>
      </c>
      <c r="W55" s="5">
        <f>IFERROR(BDP(V55&amp;" CORP","LAST_PRICE"),"--")</f>
        <v/>
      </c>
      <c r="X55" s="7">
        <f>IFERROR(BDP(E55&amp;" Corp","YAS_YLD_SPREAD","YAS_BOND_PX="&amp;U55,"YAS_BNCHMRK_BOND_PX="&amp;W55),"--")</f>
        <v/>
      </c>
      <c r="Y55" s="7">
        <f>IFERROR(BDP(E55&amp;" Corp","BLOOMBERG_MID_G_SPREAD","YAS_BOND_PX="&amp;U55,"YAS_BNCHMRK_BOND_PX="&amp;W55),"--")</f>
        <v/>
      </c>
      <c r="Z55" s="7">
        <f>IFERROR(BDP(D55,"LAST_PRICE"),"--")</f>
        <v/>
      </c>
      <c r="AA55" s="7">
        <f>IFERROR(Z55-Y55,"--")</f>
        <v/>
      </c>
      <c r="AB55" s="8">
        <f>IFERROR((AA55-R55)/(S55-R55)*100,"--")</f>
        <v/>
      </c>
    </row>
    <row r="56">
      <c r="A56" t="inlineStr">
        <is>
          <t>GAP</t>
        </is>
      </c>
      <c r="B56" t="inlineStr">
        <is>
          <t>HY</t>
        </is>
      </c>
      <c r="C56" t="inlineStr">
        <is>
          <t>GAP 3 7/8 10/01/31</t>
        </is>
      </c>
      <c r="D56" t="inlineStr">
        <is>
          <t>GAP CDS USD SR 5Y D14 Corp</t>
        </is>
      </c>
      <c r="E56" t="inlineStr">
        <is>
          <t>US364760AQ18</t>
        </is>
      </c>
      <c r="F56" s="2" t="n">
        <v>45659</v>
      </c>
      <c r="G56" s="2" t="n">
        <v>46225</v>
      </c>
      <c r="H56" s="2" t="n">
        <v>48202</v>
      </c>
      <c r="I56" s="3" t="n">
        <v>162.3323</v>
      </c>
      <c r="J56" s="3" t="n">
        <v>143.9782</v>
      </c>
      <c r="K56" s="3" t="n">
        <v>148.81</v>
      </c>
      <c r="L56" s="3" t="n">
        <v>160.014</v>
      </c>
      <c r="M56" s="3" t="n">
        <v>13.5223</v>
      </c>
      <c r="N56" s="3" t="n">
        <v>-43.86780000000002</v>
      </c>
      <c r="O56" s="3" t="n">
        <v>77.0778</v>
      </c>
      <c r="P56" s="4" t="n">
        <v>47.45116812848092</v>
      </c>
      <c r="Q56" s="3" t="n">
        <v>-4.831800000000015</v>
      </c>
      <c r="R56" s="3" t="n">
        <v>-53.64670000000001</v>
      </c>
      <c r="S56" s="3" t="n">
        <v>58.54409999999999</v>
      </c>
      <c r="T56" s="4" t="n">
        <v>43.5106087130139</v>
      </c>
      <c r="U56" s="5">
        <f>IFERROR(BDP(E56&amp;" Corp","LAST_PRICE"),"--")</f>
        <v/>
      </c>
      <c r="V56" s="6">
        <f>IFERROR(BDP(E56&amp;" Corp","YAS_BENCHMARK_BOND_ISIN"),"--")</f>
        <v/>
      </c>
      <c r="W56" s="5">
        <f>IFERROR(BDP(V56&amp;" CORP","LAST_PRICE"),"--")</f>
        <v/>
      </c>
      <c r="X56" s="7">
        <f>IFERROR(BDP(E56&amp;" Corp","YAS_YLD_SPREAD","YAS_BOND_PX="&amp;U56,"YAS_BNCHMRK_BOND_PX="&amp;W56),"--")</f>
        <v/>
      </c>
      <c r="Y56" s="7">
        <f>IFERROR(BDP(E56&amp;" Corp","BLOOMBERG_MID_G_SPREAD","YAS_BOND_PX="&amp;U56,"YAS_BNCHMRK_BOND_PX="&amp;W56),"--")</f>
        <v/>
      </c>
      <c r="Z56" s="7">
        <f>IFERROR(BDP(D56,"LAST_PRICE"),"--")</f>
        <v/>
      </c>
      <c r="AA56" s="7">
        <f>IFERROR(Z56-Y56,"--")</f>
        <v/>
      </c>
      <c r="AB56" s="8">
        <f>IFERROR((AA56-R56)/(S56-R56)*100,"--")</f>
        <v/>
      </c>
    </row>
    <row r="57">
      <c r="A57" t="inlineStr">
        <is>
          <t>GFLCN</t>
        </is>
      </c>
      <c r="B57" t="inlineStr">
        <is>
          <t>HY</t>
        </is>
      </c>
      <c r="C57" t="inlineStr">
        <is>
          <t>GFLCN 6 3/4 01/15/31</t>
        </is>
      </c>
      <c r="D57" t="inlineStr">
        <is>
          <t>GFLCN CDS USD SR 5Y D14 Corp</t>
        </is>
      </c>
      <c r="E57" t="inlineStr">
        <is>
          <t>US36168QAQ73</t>
        </is>
      </c>
      <c r="F57" s="2" t="n">
        <v>45659</v>
      </c>
      <c r="G57" s="2" t="n">
        <v>46225</v>
      </c>
      <c r="H57" s="2" t="n">
        <v>48019</v>
      </c>
      <c r="I57" s="3" t="n">
        <v>127.9254</v>
      </c>
      <c r="J57" s="3" t="n">
        <v>127.9254</v>
      </c>
      <c r="K57" s="3" t="n">
        <v>172.211</v>
      </c>
      <c r="L57" s="3" t="n">
        <v>178.115</v>
      </c>
      <c r="M57" s="3" t="n">
        <v>-44.28560000000002</v>
      </c>
      <c r="N57" s="3" t="n">
        <v>-107.0102</v>
      </c>
      <c r="O57" s="3" t="n">
        <v>-27.23929999999999</v>
      </c>
      <c r="P57" s="4" t="n">
        <v>78.63092932385113</v>
      </c>
      <c r="Q57" s="3" t="n">
        <v>-44.28560000000002</v>
      </c>
      <c r="R57" s="3" t="n">
        <v>-107.0102</v>
      </c>
      <c r="S57" s="3" t="n">
        <v>-27.23929999999999</v>
      </c>
      <c r="T57" s="4" t="n">
        <v>78.63092932385113</v>
      </c>
      <c r="U57" s="5">
        <f>IFERROR(BDP(E57&amp;" Corp","LAST_PRICE"),"--")</f>
        <v/>
      </c>
      <c r="V57" s="6">
        <f>IFERROR(BDP(E57&amp;" Corp","YAS_BENCHMARK_BOND_ISIN"),"--")</f>
        <v/>
      </c>
      <c r="W57" s="5">
        <f>IFERROR(BDP(V57&amp;" CORP","LAST_PRICE"),"--")</f>
        <v/>
      </c>
      <c r="X57" s="7">
        <f>IFERROR(BDP(E57&amp;" Corp","YAS_YLD_SPREAD","YAS_BOND_PX="&amp;U57,"YAS_BNCHMRK_BOND_PX="&amp;W57),"--")</f>
        <v/>
      </c>
      <c r="Y57" s="7">
        <f>IFERROR(BDP(E57&amp;" Corp","BLOOMBERG_MID_G_SPREAD","YAS_BOND_PX="&amp;U57,"YAS_BNCHMRK_BOND_PX="&amp;W57),"--")</f>
        <v/>
      </c>
      <c r="Z57" s="7">
        <f>IFERROR(BDP(D57,"LAST_PRICE"),"--")</f>
        <v/>
      </c>
      <c r="AA57" s="7">
        <f>IFERROR(Z57-Y57,"--")</f>
        <v/>
      </c>
      <c r="AB57" s="8">
        <f>IFERROR((AA57-R57)/(S57-R57)*100,"--")</f>
        <v/>
      </c>
    </row>
    <row r="58">
      <c r="A58" t="inlineStr">
        <is>
          <t>GNW</t>
        </is>
      </c>
      <c r="B58" t="inlineStr">
        <is>
          <t>HY</t>
        </is>
      </c>
      <c r="C58" t="inlineStr">
        <is>
          <t>GNW 6 1/2 06/15/34</t>
        </is>
      </c>
      <c r="D58" t="inlineStr">
        <is>
          <t>GNW CDS USD SR 5Y D14 Corp</t>
        </is>
      </c>
      <c r="E58" t="inlineStr">
        <is>
          <t>US37247DAB29</t>
        </is>
      </c>
      <c r="F58" s="2" t="n">
        <v>45659</v>
      </c>
      <c r="G58" s="2" t="n">
        <v>46225</v>
      </c>
      <c r="H58" s="2" t="n">
        <v>49115</v>
      </c>
      <c r="I58" s="3" t="n">
        <v>99.18300000000001</v>
      </c>
      <c r="J58" s="3" t="n">
        <v>81.1694</v>
      </c>
      <c r="K58" s="3" t="n">
        <v>193.785</v>
      </c>
      <c r="L58" s="3" t="n">
        <v>191.42</v>
      </c>
      <c r="M58" s="3" t="n">
        <v>-94.60199999999999</v>
      </c>
      <c r="N58" s="3" t="n">
        <v>-125.1275</v>
      </c>
      <c r="O58" s="3" t="n">
        <v>-24.76760000000002</v>
      </c>
      <c r="P58" s="4" t="n">
        <v>30.41603269831876</v>
      </c>
      <c r="Q58" s="3" t="n">
        <v>-112.6156</v>
      </c>
      <c r="R58" s="3" t="n">
        <v>-149.3832</v>
      </c>
      <c r="S58" s="3" t="n">
        <v>-51.36330000000001</v>
      </c>
      <c r="T58" s="4" t="n">
        <v>37.51034228763751</v>
      </c>
      <c r="U58" s="5">
        <f>IFERROR(BDP(E58&amp;" Corp","LAST_PRICE"),"--")</f>
        <v/>
      </c>
      <c r="V58" s="6">
        <f>IFERROR(BDP(E58&amp;" Corp","YAS_BENCHMARK_BOND_ISIN"),"--")</f>
        <v/>
      </c>
      <c r="W58" s="5">
        <f>IFERROR(BDP(V58&amp;" CORP","LAST_PRICE"),"--")</f>
        <v/>
      </c>
      <c r="X58" s="7">
        <f>IFERROR(BDP(E58&amp;" Corp","YAS_YLD_SPREAD","YAS_BOND_PX="&amp;U58,"YAS_BNCHMRK_BOND_PX="&amp;W58),"--")</f>
        <v/>
      </c>
      <c r="Y58" s="7">
        <f>IFERROR(BDP(E58&amp;" Corp","BLOOMBERG_MID_G_SPREAD","YAS_BOND_PX="&amp;U58,"YAS_BNCHMRK_BOND_PX="&amp;W58),"--")</f>
        <v/>
      </c>
      <c r="Z58" s="7">
        <f>IFERROR(BDP(D58,"LAST_PRICE"),"--")</f>
        <v/>
      </c>
      <c r="AA58" s="7">
        <f>IFERROR(Z58-Y58,"--")</f>
        <v/>
      </c>
      <c r="AB58" s="8">
        <f>IFERROR((AA58-R58)/(S58-R58)*100,"--")</f>
        <v/>
      </c>
    </row>
    <row r="59">
      <c r="A59" t="inlineStr">
        <is>
          <t>GT</t>
        </is>
      </c>
      <c r="B59" t="inlineStr">
        <is>
          <t>HY</t>
        </is>
      </c>
      <c r="C59" t="inlineStr">
        <is>
          <t>GT 5 1/4 07/15/31</t>
        </is>
      </c>
      <c r="D59" t="inlineStr">
        <is>
          <t>GT CDS USD SR 5Y D14 Corp</t>
        </is>
      </c>
      <c r="E59" t="inlineStr">
        <is>
          <t>US382550BR12</t>
        </is>
      </c>
      <c r="F59" s="2" t="n">
        <v>45659</v>
      </c>
      <c r="G59" s="2" t="n">
        <v>46225</v>
      </c>
      <c r="H59" s="2" t="n">
        <v>48202</v>
      </c>
      <c r="I59" s="3" t="n">
        <v>383.6509</v>
      </c>
      <c r="J59" s="3" t="n">
        <v>360.7712</v>
      </c>
      <c r="K59" s="3" t="n">
        <v>341.541</v>
      </c>
      <c r="L59" s="3" t="n">
        <v>362.606</v>
      </c>
      <c r="M59" s="3" t="n">
        <v>42.10989999999998</v>
      </c>
      <c r="N59" s="3" t="n">
        <v>8.028899999999965</v>
      </c>
      <c r="O59" s="3" t="n">
        <v>161.7635</v>
      </c>
      <c r="P59" s="4" t="n">
        <v>22.16872454216553</v>
      </c>
      <c r="Q59" s="3" t="n">
        <v>19.23020000000002</v>
      </c>
      <c r="R59" s="3" t="n">
        <v>-20.36509999999998</v>
      </c>
      <c r="S59" s="3" t="n">
        <v>145.473</v>
      </c>
      <c r="T59" s="4" t="n">
        <v>23.87587653259414</v>
      </c>
      <c r="U59" s="5">
        <f>IFERROR(BDP(E59&amp;" Corp","LAST_PRICE"),"--")</f>
        <v/>
      </c>
      <c r="V59" s="6">
        <f>IFERROR(BDP(E59&amp;" Corp","YAS_BENCHMARK_BOND_ISIN"),"--")</f>
        <v/>
      </c>
      <c r="W59" s="5">
        <f>IFERROR(BDP(V59&amp;" CORP","LAST_PRICE"),"--")</f>
        <v/>
      </c>
      <c r="X59" s="7">
        <f>IFERROR(BDP(E59&amp;" Corp","YAS_YLD_SPREAD","YAS_BOND_PX="&amp;U59,"YAS_BNCHMRK_BOND_PX="&amp;W59),"--")</f>
        <v/>
      </c>
      <c r="Y59" s="7">
        <f>IFERROR(BDP(E59&amp;" Corp","BLOOMBERG_MID_G_SPREAD","YAS_BOND_PX="&amp;U59,"YAS_BNCHMRK_BOND_PX="&amp;W59),"--")</f>
        <v/>
      </c>
      <c r="Z59" s="7">
        <f>IFERROR(BDP(D59,"LAST_PRICE"),"--")</f>
        <v/>
      </c>
      <c r="AA59" s="7">
        <f>IFERROR(Z59-Y59,"--")</f>
        <v/>
      </c>
      <c r="AB59" s="8">
        <f>IFERROR((AA59-R59)/(S59-R59)*100,"--")</f>
        <v/>
      </c>
    </row>
    <row r="60">
      <c r="A60" t="inlineStr">
        <is>
          <t>GTN</t>
        </is>
      </c>
      <c r="B60" t="inlineStr">
        <is>
          <t>HY</t>
        </is>
      </c>
      <c r="C60" t="inlineStr">
        <is>
          <t>GTN 5 3/8 11/15/31</t>
        </is>
      </c>
      <c r="D60" t="inlineStr">
        <is>
          <t>GTN CDS USD SR 5Y D14 Corp</t>
        </is>
      </c>
      <c r="E60" t="inlineStr">
        <is>
          <t>US389286AA34</t>
        </is>
      </c>
      <c r="F60" s="2" t="n">
        <v>46044</v>
      </c>
      <c r="G60" s="2" t="n">
        <v>46225</v>
      </c>
      <c r="H60" s="2" t="n">
        <v>48202</v>
      </c>
      <c r="I60" s="3" t="n">
        <v>759.4787</v>
      </c>
      <c r="J60" s="3" t="n">
        <v>748.3667</v>
      </c>
      <c r="K60" s="3" t="n">
        <v>796.628</v>
      </c>
      <c r="L60" s="3" t="n">
        <v>806.016</v>
      </c>
      <c r="M60" s="3" t="n">
        <v>-37.14930000000004</v>
      </c>
      <c r="N60" s="3" t="n">
        <v>-175.4523</v>
      </c>
      <c r="O60" s="3" t="n">
        <v>-37.14930000000004</v>
      </c>
      <c r="P60" s="4" t="n">
        <v>100</v>
      </c>
      <c r="Q60" s="3" t="n">
        <v>-48.26130000000001</v>
      </c>
      <c r="R60" s="3" t="n">
        <v>-189.564</v>
      </c>
      <c r="S60" s="3" t="n">
        <v>-48.26130000000001</v>
      </c>
      <c r="T60" s="4" t="n">
        <v>100</v>
      </c>
      <c r="U60" s="5">
        <f>IFERROR(BDP(E60&amp;" Corp","LAST_PRICE"),"--")</f>
        <v/>
      </c>
      <c r="V60" s="6">
        <f>IFERROR(BDP(E60&amp;" Corp","YAS_BENCHMARK_BOND_ISIN"),"--")</f>
        <v/>
      </c>
      <c r="W60" s="5">
        <f>IFERROR(BDP(V60&amp;" CORP","LAST_PRICE"),"--")</f>
        <v/>
      </c>
      <c r="X60" s="7">
        <f>IFERROR(BDP(E60&amp;" Corp","YAS_YLD_SPREAD","YAS_BOND_PX="&amp;U60,"YAS_BNCHMRK_BOND_PX="&amp;W60),"--")</f>
        <v/>
      </c>
      <c r="Y60" s="7">
        <f>IFERROR(BDP(E60&amp;" Corp","BLOOMBERG_MID_G_SPREAD","YAS_BOND_PX="&amp;U60,"YAS_BNCHMRK_BOND_PX="&amp;W60),"--")</f>
        <v/>
      </c>
      <c r="Z60" s="7">
        <f>IFERROR(BDP(D60,"LAST_PRICE"),"--")</f>
        <v/>
      </c>
      <c r="AA60" s="7">
        <f>IFERROR(Z60-Y60,"--")</f>
        <v/>
      </c>
      <c r="AB60" s="8">
        <f>IFERROR((AA60-R60)/(S60-R60)*100,"--")</f>
        <v/>
      </c>
    </row>
    <row r="61">
      <c r="A61" t="inlineStr">
        <is>
          <t>HBGCN</t>
        </is>
      </c>
      <c r="B61" t="inlineStr">
        <is>
          <t>HY</t>
        </is>
      </c>
      <c r="C61" t="inlineStr">
        <is>
          <t>HBGCN 7 3/8 01/31/32</t>
        </is>
      </c>
      <c r="D61" t="inlineStr">
        <is>
          <t>HBGCN CDS USD SR 5Y D14 Corp</t>
        </is>
      </c>
      <c r="E61" t="inlineStr">
        <is>
          <t>US44332PAJ03</t>
        </is>
      </c>
      <c r="F61" s="2" t="n">
        <v>45659</v>
      </c>
      <c r="G61" s="2" t="n">
        <v>46225</v>
      </c>
      <c r="H61" s="2" t="n">
        <v>48385</v>
      </c>
      <c r="I61" s="3" t="n">
        <v>168.2685</v>
      </c>
      <c r="J61" s="3" t="n">
        <v>146.4216</v>
      </c>
      <c r="K61" s="3" t="n">
        <v>206.863</v>
      </c>
      <c r="L61" s="3" t="n">
        <v>210.537</v>
      </c>
      <c r="M61" s="3" t="n">
        <v>-38.59450000000001</v>
      </c>
      <c r="N61" s="3" t="n">
        <v>-144.5795</v>
      </c>
      <c r="O61" s="3" t="n">
        <v>-20.0703</v>
      </c>
      <c r="P61" s="4" t="n">
        <v>85.12222389992064</v>
      </c>
      <c r="Q61" s="3" t="n">
        <v>-60.44139999999999</v>
      </c>
      <c r="R61" s="3" t="n">
        <v>-158.7145</v>
      </c>
      <c r="S61" s="3" t="n">
        <v>-40.80330000000001</v>
      </c>
      <c r="T61" s="4" t="n">
        <v>83.34500878627308</v>
      </c>
      <c r="U61" s="5">
        <f>IFERROR(BDP(E61&amp;" Corp","LAST_PRICE"),"--")</f>
        <v/>
      </c>
      <c r="V61" s="6">
        <f>IFERROR(BDP(E61&amp;" Corp","YAS_BENCHMARK_BOND_ISIN"),"--")</f>
        <v/>
      </c>
      <c r="W61" s="5">
        <f>IFERROR(BDP(V61&amp;" CORP","LAST_PRICE"),"--")</f>
        <v/>
      </c>
      <c r="X61" s="7">
        <f>IFERROR(BDP(E61&amp;" Corp","YAS_YLD_SPREAD","YAS_BOND_PX="&amp;U61,"YAS_BNCHMRK_BOND_PX="&amp;W61),"--")</f>
        <v/>
      </c>
      <c r="Y61" s="7">
        <f>IFERROR(BDP(E61&amp;" Corp","BLOOMBERG_MID_G_SPREAD","YAS_BOND_PX="&amp;U61,"YAS_BNCHMRK_BOND_PX="&amp;W61),"--")</f>
        <v/>
      </c>
      <c r="Z61" s="7">
        <f>IFERROR(BDP(D61,"LAST_PRICE"),"--")</f>
        <v/>
      </c>
      <c r="AA61" s="7">
        <f>IFERROR(Z61-Y61,"--")</f>
        <v/>
      </c>
      <c r="AB61" s="8">
        <f>IFERROR((AA61-R61)/(S61-R61)*100,"--")</f>
        <v/>
      </c>
    </row>
    <row r="62">
      <c r="A62" t="inlineStr">
        <is>
          <t>HILCRP</t>
        </is>
      </c>
      <c r="B62" t="inlineStr">
        <is>
          <t>HY</t>
        </is>
      </c>
      <c r="C62" t="inlineStr">
        <is>
          <t>HILCRP 6 1/4 04/15/32</t>
        </is>
      </c>
      <c r="D62" t="inlineStr">
        <is>
          <t>HILCORPENERGYILP CDS USD SR 5Y D14 Corp</t>
        </is>
      </c>
      <c r="E62" t="inlineStr">
        <is>
          <t>US431318AZ78</t>
        </is>
      </c>
      <c r="F62" s="2" t="n">
        <v>45742</v>
      </c>
      <c r="G62" s="2" t="n">
        <v>46225</v>
      </c>
      <c r="H62" s="2" t="n">
        <v>48385</v>
      </c>
      <c r="I62" s="3" t="n">
        <v>193.5346</v>
      </c>
      <c r="J62" s="3" t="n">
        <v>170.7051</v>
      </c>
      <c r="K62" s="3" t="n">
        <v>231.467</v>
      </c>
      <c r="L62" s="3" t="n">
        <v>235.663</v>
      </c>
      <c r="M62" s="3" t="n">
        <v>-37.9324</v>
      </c>
      <c r="N62" s="3" t="n">
        <v>-154.609</v>
      </c>
      <c r="O62" s="3" t="n">
        <v>-16.12300000000005</v>
      </c>
      <c r="P62" s="4" t="n">
        <v>84.25154889302893</v>
      </c>
      <c r="Q62" s="3" t="n">
        <v>-60.76190000000003</v>
      </c>
      <c r="R62" s="3" t="n">
        <v>-150.8212</v>
      </c>
      <c r="S62" s="3" t="n">
        <v>-44.42570000000001</v>
      </c>
      <c r="T62" s="4" t="n">
        <v>84.6457791917891</v>
      </c>
      <c r="U62" s="5">
        <f>IFERROR(BDP(E62&amp;" Corp","LAST_PRICE"),"--")</f>
        <v/>
      </c>
      <c r="V62" s="6">
        <f>IFERROR(BDP(E62&amp;" Corp","YAS_BENCHMARK_BOND_ISIN"),"--")</f>
        <v/>
      </c>
      <c r="W62" s="5">
        <f>IFERROR(BDP(V62&amp;" CORP","LAST_PRICE"),"--")</f>
        <v/>
      </c>
      <c r="X62" s="7">
        <f>IFERROR(BDP(E62&amp;" Corp","YAS_YLD_SPREAD","YAS_BOND_PX="&amp;U62,"YAS_BNCHMRK_BOND_PX="&amp;W62),"--")</f>
        <v/>
      </c>
      <c r="Y62" s="7">
        <f>IFERROR(BDP(E62&amp;" Corp","BLOOMBERG_MID_G_SPREAD","YAS_BOND_PX="&amp;U62,"YAS_BNCHMRK_BOND_PX="&amp;W62),"--")</f>
        <v/>
      </c>
      <c r="Z62" s="7">
        <f>IFERROR(BDP(D62,"LAST_PRICE"),"--")</f>
        <v/>
      </c>
      <c r="AA62" s="7">
        <f>IFERROR(Z62-Y62,"--")</f>
        <v/>
      </c>
      <c r="AB62" s="8">
        <f>IFERROR((AA62-R62)/(S62-R62)*100,"--")</f>
        <v/>
      </c>
    </row>
    <row r="63">
      <c r="A63" t="inlineStr">
        <is>
          <t>HLT</t>
        </is>
      </c>
      <c r="B63" t="inlineStr">
        <is>
          <t>HY</t>
        </is>
      </c>
      <c r="C63" t="inlineStr">
        <is>
          <t>HLT 5 3/4 09/15/33</t>
        </is>
      </c>
      <c r="D63" t="inlineStr">
        <is>
          <t>HLT B CDS USD SR 5Y D14 Corp</t>
        </is>
      </c>
      <c r="E63" t="inlineStr">
        <is>
          <t>US432833AS06</t>
        </is>
      </c>
      <c r="F63" s="2" t="n">
        <v>45840</v>
      </c>
      <c r="G63" s="2" t="n">
        <v>46225</v>
      </c>
      <c r="H63" s="2" t="n">
        <v>48933</v>
      </c>
      <c r="I63" s="3" t="n">
        <v>117.2841</v>
      </c>
      <c r="J63" s="3" t="n">
        <v>81.6181</v>
      </c>
      <c r="K63" s="3" t="n">
        <v>124.309</v>
      </c>
      <c r="L63" s="3" t="n">
        <v>117.147</v>
      </c>
      <c r="M63" s="3" t="n">
        <v>-7.024900000000002</v>
      </c>
      <c r="N63" s="3" t="n">
        <v>-72.59610000000001</v>
      </c>
      <c r="O63" s="3" t="n">
        <v>5.18719999999999</v>
      </c>
      <c r="P63" s="4" t="n">
        <v>84.29984328255551</v>
      </c>
      <c r="Q63" s="3" t="n">
        <v>-42.6909</v>
      </c>
      <c r="R63" s="3" t="n">
        <v>-96.6234</v>
      </c>
      <c r="S63" s="3" t="n">
        <v>-34.94700000000002</v>
      </c>
      <c r="T63" s="4" t="n">
        <v>87.44430608790398</v>
      </c>
      <c r="U63" s="5">
        <f>IFERROR(BDP(E63&amp;" Corp","LAST_PRICE"),"--")</f>
        <v/>
      </c>
      <c r="V63" s="6">
        <f>IFERROR(BDP(E63&amp;" Corp","YAS_BENCHMARK_BOND_ISIN"),"--")</f>
        <v/>
      </c>
      <c r="W63" s="5">
        <f>IFERROR(BDP(V63&amp;" CORP","LAST_PRICE"),"--")</f>
        <v/>
      </c>
      <c r="X63" s="7">
        <f>IFERROR(BDP(E63&amp;" Corp","YAS_YLD_SPREAD","YAS_BOND_PX="&amp;U63,"YAS_BNCHMRK_BOND_PX="&amp;W63),"--")</f>
        <v/>
      </c>
      <c r="Y63" s="7">
        <f>IFERROR(BDP(E63&amp;" Corp","BLOOMBERG_MID_G_SPREAD","YAS_BOND_PX="&amp;U63,"YAS_BNCHMRK_BOND_PX="&amp;W63),"--")</f>
        <v/>
      </c>
      <c r="Z63" s="7">
        <f>IFERROR(BDP(D63,"LAST_PRICE"),"--")</f>
        <v/>
      </c>
      <c r="AA63" s="7">
        <f>IFERROR(Z63-Y63,"--")</f>
        <v/>
      </c>
      <c r="AB63" s="8">
        <f>IFERROR((AA63-R63)/(S63-R63)*100,"--")</f>
        <v/>
      </c>
    </row>
    <row r="64">
      <c r="A64" t="inlineStr">
        <is>
          <t>HOUS</t>
        </is>
      </c>
      <c r="B64" t="inlineStr">
        <is>
          <t>HY</t>
        </is>
      </c>
      <c r="C64" t="inlineStr">
        <is>
          <t>HOUS 5 1/4 04/15/30</t>
        </is>
      </c>
      <c r="D64" t="inlineStr">
        <is>
          <t>HOUS CDS USD SR 5Y D14 Corp</t>
        </is>
      </c>
      <c r="E64" t="inlineStr">
        <is>
          <t>USU75355AJ39</t>
        </is>
      </c>
      <c r="F64" s="2" t="n">
        <v>45659</v>
      </c>
      <c r="G64" s="2" t="n">
        <v>46225</v>
      </c>
      <c r="H64" s="2" t="n">
        <v>47654</v>
      </c>
      <c r="I64" s="3" t="n">
        <v>161.0759</v>
      </c>
      <c r="J64" s="3" t="n">
        <v>208.0717</v>
      </c>
      <c r="K64" s="3" t="n">
        <v>196.24</v>
      </c>
      <c r="L64" s="3" t="n">
        <v>202.425</v>
      </c>
      <c r="M64" s="3" t="n">
        <v>-35.16410000000002</v>
      </c>
      <c r="N64" s="3" t="n">
        <v>-156.7182</v>
      </c>
      <c r="O64" s="3" t="n">
        <v>739.7287999999999</v>
      </c>
      <c r="P64" s="4" t="n">
        <v>13.55954116640471</v>
      </c>
      <c r="Q64" s="3" t="n">
        <v>11.83169999999998</v>
      </c>
      <c r="R64" s="3" t="n">
        <v>-114.1959</v>
      </c>
      <c r="S64" s="3" t="n">
        <v>778.2503999999999</v>
      </c>
      <c r="T64" s="4" t="n">
        <v>14.12158916452452</v>
      </c>
      <c r="U64" s="5">
        <f>IFERROR(BDP(E64&amp;" Corp","LAST_PRICE"),"--")</f>
        <v/>
      </c>
      <c r="V64" s="6">
        <f>IFERROR(BDP(E64&amp;" Corp","YAS_BENCHMARK_BOND_ISIN"),"--")</f>
        <v/>
      </c>
      <c r="W64" s="5">
        <f>IFERROR(BDP(V64&amp;" CORP","LAST_PRICE"),"--")</f>
        <v/>
      </c>
      <c r="X64" s="7">
        <f>IFERROR(BDP(E64&amp;" Corp","YAS_YLD_SPREAD","YAS_BOND_PX="&amp;U64,"YAS_BNCHMRK_BOND_PX="&amp;W64),"--")</f>
        <v/>
      </c>
      <c r="Y64" s="7">
        <f>IFERROR(BDP(E64&amp;" Corp","BLOOMBERG_MID_G_SPREAD","YAS_BOND_PX="&amp;U64,"YAS_BNCHMRK_BOND_PX="&amp;W64),"--")</f>
        <v/>
      </c>
      <c r="Z64" s="7">
        <f>IFERROR(BDP(D64,"LAST_PRICE"),"--")</f>
        <v/>
      </c>
      <c r="AA64" s="7">
        <f>IFERROR(Z64-Y64,"--")</f>
        <v/>
      </c>
      <c r="AB64" s="8">
        <f>IFERROR((AA64-R64)/(S64-R64)*100,"--")</f>
        <v/>
      </c>
    </row>
    <row r="65">
      <c r="A65" t="inlineStr">
        <is>
          <t>HOV</t>
        </is>
      </c>
      <c r="B65" t="inlineStr">
        <is>
          <t>HY</t>
        </is>
      </c>
      <c r="C65" t="inlineStr">
        <is>
          <t>HOV 8 04/01/31</t>
        </is>
      </c>
      <c r="D65" t="inlineStr">
        <is>
          <t>HOV CDS USD SR 5Y D14 Corp</t>
        </is>
      </c>
      <c r="E65" t="inlineStr">
        <is>
          <t>US48251UAP30</t>
        </is>
      </c>
      <c r="F65" s="2" t="n">
        <v>45911</v>
      </c>
      <c r="G65" s="2" t="n">
        <v>46225</v>
      </c>
      <c r="H65" s="2" t="n">
        <v>48019</v>
      </c>
      <c r="I65" s="3" t="n">
        <v>266.822</v>
      </c>
      <c r="J65" s="3" t="n">
        <v>266.822</v>
      </c>
      <c r="K65" s="3" t="n">
        <v>292.294</v>
      </c>
      <c r="L65" s="3" t="n">
        <v>301.98</v>
      </c>
      <c r="M65" s="3" t="n">
        <v>-25.47199999999998</v>
      </c>
      <c r="N65" s="3" t="n">
        <v>-109.3837</v>
      </c>
      <c r="O65" s="3" t="n">
        <v>-6.589200000000005</v>
      </c>
      <c r="P65" s="4" t="n">
        <v>81.63053470759624</v>
      </c>
      <c r="Q65" s="3" t="n">
        <v>-25.47199999999998</v>
      </c>
      <c r="R65" s="3" t="n">
        <v>-109.3837</v>
      </c>
      <c r="S65" s="3" t="n">
        <v>-6.589200000000005</v>
      </c>
      <c r="T65" s="4" t="n">
        <v>81.63053470759624</v>
      </c>
      <c r="U65" s="5">
        <f>IFERROR(BDP(E65&amp;" Corp","LAST_PRICE"),"--")</f>
        <v/>
      </c>
      <c r="V65" s="6">
        <f>IFERROR(BDP(E65&amp;" Corp","YAS_BENCHMARK_BOND_ISIN"),"--")</f>
        <v/>
      </c>
      <c r="W65" s="5">
        <f>IFERROR(BDP(V65&amp;" CORP","LAST_PRICE"),"--")</f>
        <v/>
      </c>
      <c r="X65" s="7">
        <f>IFERROR(BDP(E65&amp;" Corp","YAS_YLD_SPREAD","YAS_BOND_PX="&amp;U65,"YAS_BNCHMRK_BOND_PX="&amp;W65),"--")</f>
        <v/>
      </c>
      <c r="Y65" s="7">
        <f>IFERROR(BDP(E65&amp;" Corp","BLOOMBERG_MID_G_SPREAD","YAS_BOND_PX="&amp;U65,"YAS_BNCHMRK_BOND_PX="&amp;W65),"--")</f>
        <v/>
      </c>
      <c r="Z65" s="7">
        <f>IFERROR(BDP(D65,"LAST_PRICE"),"--")</f>
        <v/>
      </c>
      <c r="AA65" s="7">
        <f>IFERROR(Z65-Y65,"--")</f>
        <v/>
      </c>
      <c r="AB65" s="8">
        <f>IFERROR((AA65-R65)/(S65-R65)*100,"--")</f>
        <v/>
      </c>
    </row>
    <row r="66">
      <c r="A66" t="inlineStr">
        <is>
          <t>HTZ</t>
        </is>
      </c>
      <c r="B66" t="inlineStr">
        <is>
          <t>HY</t>
        </is>
      </c>
      <c r="C66" t="inlineStr">
        <is>
          <t>HTZ 5 12/01/29</t>
        </is>
      </c>
      <c r="D66" t="inlineStr">
        <is>
          <t>HTZ CDS USD SR 5Y D14 Corp</t>
        </is>
      </c>
      <c r="E66" t="inlineStr">
        <is>
          <t>USU42804AX95</t>
        </is>
      </c>
      <c r="F66" s="2" t="n">
        <v>45659</v>
      </c>
      <c r="G66" s="2" t="n">
        <v>46225</v>
      </c>
      <c r="H66" s="2" t="n">
        <v>47472</v>
      </c>
      <c r="I66" s="3" t="n">
        <v>0</v>
      </c>
      <c r="J66" s="3" t="n">
        <v>0</v>
      </c>
      <c r="K66" s="3" t="n">
        <v>5096.059</v>
      </c>
      <c r="L66" s="3" t="n">
        <v>4918.51</v>
      </c>
      <c r="M66" s="3" t="n">
        <v>-5096.059</v>
      </c>
      <c r="N66" s="3" t="n">
        <v>-5346.525</v>
      </c>
      <c r="O66" s="3" t="n">
        <v>32126.0432</v>
      </c>
      <c r="P66" s="4" t="n">
        <v>0.6683982764757486</v>
      </c>
      <c r="Q66" s="3" t="n">
        <v>-5096.059</v>
      </c>
      <c r="R66" s="3" t="n">
        <v>-5346.525</v>
      </c>
      <c r="S66" s="3" t="n">
        <v>77529.28140000001</v>
      </c>
      <c r="T66" s="4" t="n">
        <v>0.3022184771163801</v>
      </c>
      <c r="U66" s="5">
        <f>IFERROR(BDP(E66&amp;" Corp","LAST_PRICE"),"--")</f>
        <v/>
      </c>
      <c r="V66" s="6">
        <f>IFERROR(BDP(E66&amp;" Corp","YAS_BENCHMARK_BOND_ISIN"),"--")</f>
        <v/>
      </c>
      <c r="W66" s="5">
        <f>IFERROR(BDP(V66&amp;" CORP","LAST_PRICE"),"--")</f>
        <v/>
      </c>
      <c r="X66" s="7">
        <f>IFERROR(BDP(E66&amp;" Corp","YAS_YLD_SPREAD","YAS_BOND_PX="&amp;U66,"YAS_BNCHMRK_BOND_PX="&amp;W66),"--")</f>
        <v/>
      </c>
      <c r="Y66" s="7">
        <f>IFERROR(BDP(E66&amp;" Corp","BLOOMBERG_MID_G_SPREAD","YAS_BOND_PX="&amp;U66,"YAS_BNCHMRK_BOND_PX="&amp;W66),"--")</f>
        <v/>
      </c>
      <c r="Z66" s="7">
        <f>IFERROR(BDP(D66,"LAST_PRICE"),"--")</f>
        <v/>
      </c>
      <c r="AA66" s="7">
        <f>IFERROR(Z66-Y66,"--")</f>
        <v/>
      </c>
      <c r="AB66" s="8">
        <f>IFERROR((AA66-R66)/(S66-R66)*100,"--")</f>
        <v/>
      </c>
    </row>
    <row r="67">
      <c r="A67" t="inlineStr">
        <is>
          <t>IHRT</t>
        </is>
      </c>
      <c r="B67" t="inlineStr">
        <is>
          <t>HY</t>
        </is>
      </c>
      <c r="C67" t="inlineStr">
        <is>
          <t>IHRT 10 7/8 05/01/30</t>
        </is>
      </c>
      <c r="D67" t="inlineStr">
        <is>
          <t>IHRT CDS USD SR 5Y D14 Corp</t>
        </is>
      </c>
      <c r="E67" t="inlineStr">
        <is>
          <t>USU45057AQ67</t>
        </is>
      </c>
      <c r="F67" s="2" t="n">
        <v>45692</v>
      </c>
      <c r="G67" s="2" t="n">
        <v>46225</v>
      </c>
      <c r="H67" s="2" t="n">
        <v>47654</v>
      </c>
      <c r="I67" s="3" t="n">
        <v>967.2858</v>
      </c>
      <c r="J67" s="3" t="n">
        <v>966.8874</v>
      </c>
      <c r="K67" s="3" t="n">
        <v>1321.533</v>
      </c>
      <c r="L67" s="3" t="n">
        <v>1405.42</v>
      </c>
      <c r="M67" s="3" t="n">
        <v>-354.2471999999999</v>
      </c>
      <c r="N67" s="3" t="n">
        <v>-3623.13</v>
      </c>
      <c r="O67" s="3" t="n">
        <v>40645.2889</v>
      </c>
      <c r="P67" s="4" t="n">
        <v>7.384232103216139</v>
      </c>
      <c r="Q67" s="3" t="n">
        <v>-354.6455999999999</v>
      </c>
      <c r="R67" s="3" t="n">
        <v>-3623.13</v>
      </c>
      <c r="S67" s="3" t="n">
        <v>35347.685</v>
      </c>
      <c r="T67" s="4" t="n">
        <v>8.387005506556637</v>
      </c>
      <c r="U67" s="5">
        <f>IFERROR(BDP(E67&amp;" Corp","LAST_PRICE"),"--")</f>
        <v/>
      </c>
      <c r="V67" s="6">
        <f>IFERROR(BDP(E67&amp;" Corp","YAS_BENCHMARK_BOND_ISIN"),"--")</f>
        <v/>
      </c>
      <c r="W67" s="5">
        <f>IFERROR(BDP(V67&amp;" CORP","LAST_PRICE"),"--")</f>
        <v/>
      </c>
      <c r="X67" s="7">
        <f>IFERROR(BDP(E67&amp;" Corp","YAS_YLD_SPREAD","YAS_BOND_PX="&amp;U67,"YAS_BNCHMRK_BOND_PX="&amp;W67),"--")</f>
        <v/>
      </c>
      <c r="Y67" s="7">
        <f>IFERROR(BDP(E67&amp;" Corp","BLOOMBERG_MID_G_SPREAD","YAS_BOND_PX="&amp;U67,"YAS_BNCHMRK_BOND_PX="&amp;W67),"--")</f>
        <v/>
      </c>
      <c r="Z67" s="7">
        <f>IFERROR(BDP(D67,"LAST_PRICE"),"--")</f>
        <v/>
      </c>
      <c r="AA67" s="7">
        <f>IFERROR(Z67-Y67,"--")</f>
        <v/>
      </c>
      <c r="AB67" s="8">
        <f>IFERROR((AA67-R67)/(S67-R67)*100,"--")</f>
        <v/>
      </c>
    </row>
    <row r="68">
      <c r="A68" t="inlineStr">
        <is>
          <t>IRM</t>
        </is>
      </c>
      <c r="B68" t="inlineStr">
        <is>
          <t>HY</t>
        </is>
      </c>
      <c r="C68" t="inlineStr">
        <is>
          <t>IRM 6 1/4 01/15/33</t>
        </is>
      </c>
      <c r="D68" t="inlineStr">
        <is>
          <t>IRM CDS USD SR 5Y D14 Corp</t>
        </is>
      </c>
      <c r="E68" t="inlineStr">
        <is>
          <t>US46284VAQ41</t>
        </is>
      </c>
      <c r="F68" s="2" t="n">
        <v>45659</v>
      </c>
      <c r="G68" s="2" t="n">
        <v>46225</v>
      </c>
      <c r="H68" s="2" t="n">
        <v>48750</v>
      </c>
      <c r="I68" s="3" t="n">
        <v>176.6725</v>
      </c>
      <c r="J68" s="3" t="n">
        <v>129.5675</v>
      </c>
      <c r="K68" s="3" t="n">
        <v>168.847</v>
      </c>
      <c r="L68" s="3" t="n">
        <v>177.133</v>
      </c>
      <c r="M68" s="3" t="n">
        <v>7.825500000000005</v>
      </c>
      <c r="N68" s="3" t="n">
        <v>-93.59290000000001</v>
      </c>
      <c r="O68" s="3" t="n">
        <v>14.00999999999999</v>
      </c>
      <c r="P68" s="4" t="n">
        <v>94.2524783253983</v>
      </c>
      <c r="Q68" s="3" t="n">
        <v>-39.27950000000001</v>
      </c>
      <c r="R68" s="3" t="n">
        <v>-105.6819</v>
      </c>
      <c r="S68" s="3" t="n">
        <v>-24.62899999999999</v>
      </c>
      <c r="T68" s="4" t="n">
        <v>81.92476765174345</v>
      </c>
      <c r="U68" s="5">
        <f>IFERROR(BDP(E68&amp;" Corp","LAST_PRICE"),"--")</f>
        <v/>
      </c>
      <c r="V68" s="6">
        <f>IFERROR(BDP(E68&amp;" Corp","YAS_BENCHMARK_BOND_ISIN"),"--")</f>
        <v/>
      </c>
      <c r="W68" s="5">
        <f>IFERROR(BDP(V68&amp;" CORP","LAST_PRICE"),"--")</f>
        <v/>
      </c>
      <c r="X68" s="7">
        <f>IFERROR(BDP(E68&amp;" Corp","YAS_YLD_SPREAD","YAS_BOND_PX="&amp;U68,"YAS_BNCHMRK_BOND_PX="&amp;W68),"--")</f>
        <v/>
      </c>
      <c r="Y68" s="7">
        <f>IFERROR(BDP(E68&amp;" Corp","BLOOMBERG_MID_G_SPREAD","YAS_BOND_PX="&amp;U68,"YAS_BNCHMRK_BOND_PX="&amp;W68),"--")</f>
        <v/>
      </c>
      <c r="Z68" s="7">
        <f>IFERROR(BDP(D68,"LAST_PRICE"),"--")</f>
        <v/>
      </c>
      <c r="AA68" s="7">
        <f>IFERROR(Z68-Y68,"--")</f>
        <v/>
      </c>
      <c r="AB68" s="8">
        <f>IFERROR((AA68-R68)/(S68-R68)*100,"--")</f>
        <v/>
      </c>
    </row>
    <row r="69">
      <c r="A69" t="inlineStr">
        <is>
          <t>JWN</t>
        </is>
      </c>
      <c r="B69" t="inlineStr">
        <is>
          <t>HY</t>
        </is>
      </c>
      <c r="C69" t="inlineStr">
        <is>
          <t>JWN 4 1/4 08/01/31</t>
        </is>
      </c>
      <c r="D69" t="inlineStr">
        <is>
          <t>JWN CDS USD SR 5Y D14 Corp</t>
        </is>
      </c>
      <c r="E69" t="inlineStr">
        <is>
          <t>US655664AY65</t>
        </is>
      </c>
      <c r="F69" s="2" t="n">
        <v>45659</v>
      </c>
      <c r="G69" s="2" t="n">
        <v>46225</v>
      </c>
      <c r="H69" s="2" t="n">
        <v>48202</v>
      </c>
      <c r="I69" s="3" t="n">
        <v>206.7921</v>
      </c>
      <c r="J69" s="3" t="n">
        <v>162.5164</v>
      </c>
      <c r="K69" s="3" t="n">
        <v>127.127</v>
      </c>
      <c r="L69" s="3" t="n">
        <v>127.265</v>
      </c>
      <c r="M69" s="3" t="n">
        <v>79.66510000000001</v>
      </c>
      <c r="N69" s="3" t="n">
        <v>-24.28890000000001</v>
      </c>
      <c r="O69" s="3" t="n">
        <v>296.4913</v>
      </c>
      <c r="P69" s="4" t="n">
        <v>32.40661362515518</v>
      </c>
      <c r="Q69" s="3" t="n">
        <v>35.38940000000001</v>
      </c>
      <c r="R69" s="3" t="n">
        <v>-48.5258</v>
      </c>
      <c r="S69" s="3" t="n">
        <v>263.7836</v>
      </c>
      <c r="T69" s="4" t="n">
        <v>26.86925209423732</v>
      </c>
      <c r="U69" s="5">
        <f>IFERROR(BDP(E69&amp;" Corp","LAST_PRICE"),"--")</f>
        <v/>
      </c>
      <c r="V69" s="6">
        <f>IFERROR(BDP(E69&amp;" Corp","YAS_BENCHMARK_BOND_ISIN"),"--")</f>
        <v/>
      </c>
      <c r="W69" s="5">
        <f>IFERROR(BDP(V69&amp;" CORP","LAST_PRICE"),"--")</f>
        <v/>
      </c>
      <c r="X69" s="7">
        <f>IFERROR(BDP(E69&amp;" Corp","YAS_YLD_SPREAD","YAS_BOND_PX="&amp;U69,"YAS_BNCHMRK_BOND_PX="&amp;W69),"--")</f>
        <v/>
      </c>
      <c r="Y69" s="7">
        <f>IFERROR(BDP(E69&amp;" Corp","BLOOMBERG_MID_G_SPREAD","YAS_BOND_PX="&amp;U69,"YAS_BNCHMRK_BOND_PX="&amp;W69),"--")</f>
        <v/>
      </c>
      <c r="Z69" s="7">
        <f>IFERROR(BDP(D69,"LAST_PRICE"),"--")</f>
        <v/>
      </c>
      <c r="AA69" s="7">
        <f>IFERROR(Z69-Y69,"--")</f>
        <v/>
      </c>
      <c r="AB69" s="8">
        <f>IFERROR((AA69-R69)/(S69-R69)*100,"--")</f>
        <v/>
      </c>
    </row>
    <row r="70">
      <c r="A70" t="inlineStr">
        <is>
          <t>KBH</t>
        </is>
      </c>
      <c r="B70" t="inlineStr">
        <is>
          <t>HY</t>
        </is>
      </c>
      <c r="C70" t="inlineStr">
        <is>
          <t>KBH 4 06/15/31</t>
        </is>
      </c>
      <c r="D70" t="inlineStr">
        <is>
          <t>KBH CDS USD SR 5Y D14 Corp</t>
        </is>
      </c>
      <c r="E70" t="inlineStr">
        <is>
          <t>US48666KAZ21</t>
        </is>
      </c>
      <c r="F70" s="2" t="n">
        <v>45659</v>
      </c>
      <c r="G70" s="2" t="n">
        <v>46225</v>
      </c>
      <c r="H70" s="2" t="n">
        <v>48019</v>
      </c>
      <c r="I70" s="3" t="n">
        <v>135.2824</v>
      </c>
      <c r="J70" s="3" t="n">
        <v>135.2824</v>
      </c>
      <c r="K70" s="3" t="n">
        <v>131.901</v>
      </c>
      <c r="L70" s="3" t="n">
        <v>141.109</v>
      </c>
      <c r="M70" s="3" t="n">
        <v>3.381399999999985</v>
      </c>
      <c r="N70" s="3" t="n">
        <v>-37.4478</v>
      </c>
      <c r="O70" s="3" t="n">
        <v>53.5624</v>
      </c>
      <c r="P70" s="4" t="n">
        <v>44.8622242342067</v>
      </c>
      <c r="Q70" s="3" t="n">
        <v>3.381399999999985</v>
      </c>
      <c r="R70" s="3" t="n">
        <v>-37.4478</v>
      </c>
      <c r="S70" s="3" t="n">
        <v>53.5624</v>
      </c>
      <c r="T70" s="4" t="n">
        <v>44.8622242342067</v>
      </c>
      <c r="U70" s="5">
        <f>IFERROR(BDP(E70&amp;" Corp","LAST_PRICE"),"--")</f>
        <v/>
      </c>
      <c r="V70" s="6">
        <f>IFERROR(BDP(E70&amp;" Corp","YAS_BENCHMARK_BOND_ISIN"),"--")</f>
        <v/>
      </c>
      <c r="W70" s="5">
        <f>IFERROR(BDP(V70&amp;" CORP","LAST_PRICE"),"--")</f>
        <v/>
      </c>
      <c r="X70" s="7">
        <f>IFERROR(BDP(E70&amp;" Corp","YAS_YLD_SPREAD","YAS_BOND_PX="&amp;U70,"YAS_BNCHMRK_BOND_PX="&amp;W70),"--")</f>
        <v/>
      </c>
      <c r="Y70" s="7">
        <f>IFERROR(BDP(E70&amp;" Corp","BLOOMBERG_MID_G_SPREAD","YAS_BOND_PX="&amp;U70,"YAS_BNCHMRK_BOND_PX="&amp;W70),"--")</f>
        <v/>
      </c>
      <c r="Z70" s="7">
        <f>IFERROR(BDP(D70,"LAST_PRICE"),"--")</f>
        <v/>
      </c>
      <c r="AA70" s="7">
        <f>IFERROR(Z70-Y70,"--")</f>
        <v/>
      </c>
      <c r="AB70" s="8">
        <f>IFERROR((AA70-R70)/(S70-R70)*100,"--")</f>
        <v/>
      </c>
    </row>
    <row r="71">
      <c r="A71" t="inlineStr">
        <is>
          <t>KSS</t>
        </is>
      </c>
      <c r="B71" t="inlineStr">
        <is>
          <t>HY</t>
        </is>
      </c>
      <c r="C71" t="inlineStr">
        <is>
          <t>KSS 3 3/8 05/01/31</t>
        </is>
      </c>
      <c r="D71" t="inlineStr">
        <is>
          <t>KSS CDS USD SR 5Y D14 Corp</t>
        </is>
      </c>
      <c r="E71" t="inlineStr">
        <is>
          <t>US500255AX28</t>
        </is>
      </c>
      <c r="F71" s="2" t="n">
        <v>45659</v>
      </c>
      <c r="G71" s="2" t="n">
        <v>46225</v>
      </c>
      <c r="H71" s="2" t="n">
        <v>48019</v>
      </c>
      <c r="I71" s="3" t="n">
        <v>423.7339</v>
      </c>
      <c r="J71" s="3" t="n">
        <v>423.7339</v>
      </c>
      <c r="K71" s="3" t="n">
        <v>309.879</v>
      </c>
      <c r="L71" s="3" t="n">
        <v>326.103</v>
      </c>
      <c r="M71" s="3" t="n">
        <v>113.8549</v>
      </c>
      <c r="N71" s="3" t="n">
        <v>-120.2903000000001</v>
      </c>
      <c r="O71" s="3" t="n">
        <v>1110.361</v>
      </c>
      <c r="P71" s="4" t="n">
        <v>19.02612055908932</v>
      </c>
      <c r="Q71" s="3" t="n">
        <v>113.8549</v>
      </c>
      <c r="R71" s="3" t="n">
        <v>-120.2903000000001</v>
      </c>
      <c r="S71" s="3" t="n">
        <v>1110.361</v>
      </c>
      <c r="T71" s="4" t="n">
        <v>19.02612055908932</v>
      </c>
      <c r="U71" s="5">
        <f>IFERROR(BDP(E71&amp;" Corp","LAST_PRICE"),"--")</f>
        <v/>
      </c>
      <c r="V71" s="6">
        <f>IFERROR(BDP(E71&amp;" Corp","YAS_BENCHMARK_BOND_ISIN"),"--")</f>
        <v/>
      </c>
      <c r="W71" s="5">
        <f>IFERROR(BDP(V71&amp;" CORP","LAST_PRICE"),"--")</f>
        <v/>
      </c>
      <c r="X71" s="7">
        <f>IFERROR(BDP(E71&amp;" Corp","YAS_YLD_SPREAD","YAS_BOND_PX="&amp;U71,"YAS_BNCHMRK_BOND_PX="&amp;W71),"--")</f>
        <v/>
      </c>
      <c r="Y71" s="7">
        <f>IFERROR(BDP(E71&amp;" Corp","BLOOMBERG_MID_G_SPREAD","YAS_BOND_PX="&amp;U71,"YAS_BNCHMRK_BOND_PX="&amp;W71),"--")</f>
        <v/>
      </c>
      <c r="Z71" s="7">
        <f>IFERROR(BDP(D71,"LAST_PRICE"),"--")</f>
        <v/>
      </c>
      <c r="AA71" s="7">
        <f>IFERROR(Z71-Y71,"--")</f>
        <v/>
      </c>
      <c r="AB71" s="8">
        <f>IFERROR((AA71-R71)/(S71-R71)*100,"--")</f>
        <v/>
      </c>
    </row>
    <row r="72">
      <c r="A72" t="inlineStr">
        <is>
          <t>LUMN</t>
        </is>
      </c>
      <c r="B72" t="inlineStr">
        <is>
          <t>HY</t>
        </is>
      </c>
      <c r="C72" t="inlineStr">
        <is>
          <t>LUMN 4 1/2 01/15/29</t>
        </is>
      </c>
      <c r="D72" t="inlineStr">
        <is>
          <t>LUMEN CDS USD SR 5Y D14 Corp</t>
        </is>
      </c>
      <c r="E72" t="inlineStr">
        <is>
          <t>USU1566PAD79</t>
        </is>
      </c>
      <c r="F72" s="2" t="n">
        <v>45659</v>
      </c>
      <c r="G72" s="2" t="n">
        <v>46225</v>
      </c>
      <c r="H72" s="2" t="n">
        <v>47289</v>
      </c>
      <c r="I72" s="3" t="n">
        <v>206.842</v>
      </c>
      <c r="J72" s="3" t="n">
        <v>323.9506</v>
      </c>
      <c r="K72" s="3" t="n">
        <v>216.315</v>
      </c>
      <c r="L72" s="3" t="n">
        <v>211.119</v>
      </c>
      <c r="M72" s="3" t="n">
        <v>-9.472999999999985</v>
      </c>
      <c r="N72" s="3" t="n">
        <v>-264.3367</v>
      </c>
      <c r="O72" s="3" t="n">
        <v>34.10400000000001</v>
      </c>
      <c r="P72" s="4" t="n">
        <v>85.39843928793893</v>
      </c>
      <c r="Q72" s="3" t="n">
        <v>107.6356</v>
      </c>
      <c r="R72" s="3" t="n">
        <v>-110.7478</v>
      </c>
      <c r="S72" s="3" t="n">
        <v>314.6137</v>
      </c>
      <c r="T72" s="4" t="n">
        <v>51.3406596506736</v>
      </c>
      <c r="U72" s="5">
        <f>IFERROR(BDP(E72&amp;" Corp","LAST_PRICE"),"--")</f>
        <v/>
      </c>
      <c r="V72" s="6">
        <f>IFERROR(BDP(E72&amp;" Corp","YAS_BENCHMARK_BOND_ISIN"),"--")</f>
        <v/>
      </c>
      <c r="W72" s="5">
        <f>IFERROR(BDP(V72&amp;" CORP","LAST_PRICE"),"--")</f>
        <v/>
      </c>
      <c r="X72" s="7">
        <f>IFERROR(BDP(E72&amp;" Corp","YAS_YLD_SPREAD","YAS_BOND_PX="&amp;U72,"YAS_BNCHMRK_BOND_PX="&amp;W72),"--")</f>
        <v/>
      </c>
      <c r="Y72" s="7">
        <f>IFERROR(BDP(E72&amp;" Corp","BLOOMBERG_MID_G_SPREAD","YAS_BOND_PX="&amp;U72,"YAS_BNCHMRK_BOND_PX="&amp;W72),"--")</f>
        <v/>
      </c>
      <c r="Z72" s="7">
        <f>IFERROR(BDP(D72,"LAST_PRICE"),"--")</f>
        <v/>
      </c>
      <c r="AA72" s="7">
        <f>IFERROR(Z72-Y72,"--")</f>
        <v/>
      </c>
      <c r="AB72" s="8">
        <f>IFERROR((AA72-R72)/(S72-R72)*100,"--")</f>
        <v/>
      </c>
    </row>
    <row r="73">
      <c r="A73" t="inlineStr">
        <is>
          <t>LW</t>
        </is>
      </c>
      <c r="B73" t="inlineStr">
        <is>
          <t>HY</t>
        </is>
      </c>
      <c r="C73" t="inlineStr">
        <is>
          <t>LW 4 3/8 01/31/32</t>
        </is>
      </c>
      <c r="D73" t="inlineStr">
        <is>
          <t>LW CDS USD SR 5Y D14 Corp</t>
        </is>
      </c>
      <c r="E73" t="inlineStr">
        <is>
          <t>US513272AE49</t>
        </is>
      </c>
      <c r="F73" s="2" t="n">
        <v>45659</v>
      </c>
      <c r="G73" s="2" t="n">
        <v>46225</v>
      </c>
      <c r="H73" s="2" t="n">
        <v>48385</v>
      </c>
      <c r="I73" s="3" t="n">
        <v>131.9879</v>
      </c>
      <c r="J73" s="3" t="n">
        <v>110.6196</v>
      </c>
      <c r="K73" s="3" t="n">
        <v>127.693</v>
      </c>
      <c r="L73" s="3" t="n">
        <v>135.023</v>
      </c>
      <c r="M73" s="3" t="n">
        <v>4.294899999999998</v>
      </c>
      <c r="N73" s="3" t="n">
        <v>-28.17779999999999</v>
      </c>
      <c r="O73" s="3" t="n">
        <v>37.5205</v>
      </c>
      <c r="P73" s="4" t="n">
        <v>49.42700191633573</v>
      </c>
      <c r="Q73" s="3" t="n">
        <v>-17.07339999999999</v>
      </c>
      <c r="R73" s="3" t="n">
        <v>-45.88279999999999</v>
      </c>
      <c r="S73" s="3" t="n">
        <v>19.0119</v>
      </c>
      <c r="T73" s="4" t="n">
        <v>44.39407224318781</v>
      </c>
      <c r="U73" s="5">
        <f>IFERROR(BDP(E73&amp;" Corp","LAST_PRICE"),"--")</f>
        <v/>
      </c>
      <c r="V73" s="6">
        <f>IFERROR(BDP(E73&amp;" Corp","YAS_BENCHMARK_BOND_ISIN"),"--")</f>
        <v/>
      </c>
      <c r="W73" s="5">
        <f>IFERROR(BDP(V73&amp;" CORP","LAST_PRICE"),"--")</f>
        <v/>
      </c>
      <c r="X73" s="7">
        <f>IFERROR(BDP(E73&amp;" Corp","YAS_YLD_SPREAD","YAS_BOND_PX="&amp;U73,"YAS_BNCHMRK_BOND_PX="&amp;W73),"--")</f>
        <v/>
      </c>
      <c r="Y73" s="7">
        <f>IFERROR(BDP(E73&amp;" Corp","BLOOMBERG_MID_G_SPREAD","YAS_BOND_PX="&amp;U73,"YAS_BNCHMRK_BOND_PX="&amp;W73),"--")</f>
        <v/>
      </c>
      <c r="Z73" s="7">
        <f>IFERROR(BDP(D73,"LAST_PRICE"),"--")</f>
        <v/>
      </c>
      <c r="AA73" s="7">
        <f>IFERROR(Z73-Y73,"--")</f>
        <v/>
      </c>
      <c r="AB73" s="8">
        <f>IFERROR((AA73-R73)/(S73-R73)*100,"--")</f>
        <v/>
      </c>
    </row>
    <row r="74">
      <c r="A74" t="inlineStr">
        <is>
          <t>MBI AA</t>
        </is>
      </c>
      <c r="B74" t="inlineStr">
        <is>
          <t>HY</t>
        </is>
      </c>
      <c r="C74" t="inlineStr">
        <is>
          <t>MBI 5.7 12/01/34</t>
        </is>
      </c>
      <c r="D74" t="inlineStr">
        <is>
          <t>MBI AA CDS USD SR 5Y D14 Corp</t>
        </is>
      </c>
      <c r="E74" t="inlineStr">
        <is>
          <t>US55262CAJ99</t>
        </is>
      </c>
      <c r="F74" s="2" t="n">
        <v>45659</v>
      </c>
      <c r="G74" s="2" t="n">
        <v>46225</v>
      </c>
      <c r="H74" s="2" t="n">
        <v>49298</v>
      </c>
      <c r="I74" s="3" t="n">
        <v>216.0955</v>
      </c>
      <c r="J74" s="3" t="n">
        <v>177.3243</v>
      </c>
      <c r="K74" s="3" t="n">
        <v>114.478</v>
      </c>
      <c r="L74" s="3" t="n">
        <v>114.937</v>
      </c>
      <c r="M74" s="3" t="n">
        <v>101.6175</v>
      </c>
      <c r="N74" s="3" t="n">
        <v>-91.21669999999997</v>
      </c>
      <c r="O74" s="3" t="n">
        <v>386.9745</v>
      </c>
      <c r="P74" s="4" t="n">
        <v>40.32575254417061</v>
      </c>
      <c r="Q74" s="3" t="n">
        <v>62.8463</v>
      </c>
      <c r="R74" s="3" t="n">
        <v>-120.2594</v>
      </c>
      <c r="S74" s="3" t="n">
        <v>304.179</v>
      </c>
      <c r="T74" s="4" t="n">
        <v>43.14070074715199</v>
      </c>
      <c r="U74" s="5">
        <f>IFERROR(BDP(E74&amp;" Corp","LAST_PRICE"),"--")</f>
        <v/>
      </c>
      <c r="V74" s="6">
        <f>IFERROR(BDP(E74&amp;" Corp","YAS_BENCHMARK_BOND_ISIN"),"--")</f>
        <v/>
      </c>
      <c r="W74" s="5">
        <f>IFERROR(BDP(V74&amp;" CORP","LAST_PRICE"),"--")</f>
        <v/>
      </c>
      <c r="X74" s="7">
        <f>IFERROR(BDP(E74&amp;" Corp","YAS_YLD_SPREAD","YAS_BOND_PX="&amp;U74,"YAS_BNCHMRK_BOND_PX="&amp;W74),"--")</f>
        <v/>
      </c>
      <c r="Y74" s="7">
        <f>IFERROR(BDP(E74&amp;" Corp","BLOOMBERG_MID_G_SPREAD","YAS_BOND_PX="&amp;U74,"YAS_BNCHMRK_BOND_PX="&amp;W74),"--")</f>
        <v/>
      </c>
      <c r="Z74" s="7">
        <f>IFERROR(BDP(D74,"LAST_PRICE"),"--")</f>
        <v/>
      </c>
      <c r="AA74" s="7">
        <f>IFERROR(Z74-Y74,"--")</f>
        <v/>
      </c>
      <c r="AB74" s="8">
        <f>IFERROR((AA74-R74)/(S74-R74)*100,"--")</f>
        <v/>
      </c>
    </row>
    <row r="75">
      <c r="A75" t="inlineStr">
        <is>
          <t>MEDIND</t>
        </is>
      </c>
      <c r="B75" t="inlineStr">
        <is>
          <t>HY</t>
        </is>
      </c>
      <c r="C75" t="inlineStr">
        <is>
          <t>MEDIND 5 1/4 10/01/29</t>
        </is>
      </c>
      <c r="D75" t="inlineStr">
        <is>
          <t>CY884361 Curncy</t>
        </is>
      </c>
      <c r="E75" t="inlineStr">
        <is>
          <t>USU6203WAB47</t>
        </is>
      </c>
      <c r="F75" s="2" t="n">
        <v>45659</v>
      </c>
      <c r="G75" s="2" t="n">
        <v>46225</v>
      </c>
      <c r="H75" s="2" t="n">
        <v>47472</v>
      </c>
      <c r="I75" s="3" t="n">
        <v>32.4117</v>
      </c>
      <c r="J75" s="3" t="n">
        <v>44.0002</v>
      </c>
      <c r="K75" s="3" t="n">
        <v>113.244</v>
      </c>
      <c r="L75" s="3" t="n">
        <v>119.241</v>
      </c>
      <c r="M75" s="3" t="n">
        <v>-80.8323</v>
      </c>
      <c r="N75" s="3" t="n">
        <v>-178.3919</v>
      </c>
      <c r="O75" s="3" t="n">
        <v>-50.13099999999999</v>
      </c>
      <c r="P75" s="4" t="n">
        <v>76.06339890021042</v>
      </c>
      <c r="Q75" s="3" t="n">
        <v>-69.24379999999999</v>
      </c>
      <c r="R75" s="3" t="n">
        <v>-138.3859</v>
      </c>
      <c r="S75" s="3" t="n">
        <v>-39.48559999999999</v>
      </c>
      <c r="T75" s="4" t="n">
        <v>69.91091028035305</v>
      </c>
      <c r="U75" s="5">
        <f>IFERROR(BDP(E75&amp;" Corp","LAST_PRICE"),"--")</f>
        <v/>
      </c>
      <c r="V75" s="6">
        <f>IFERROR(BDP(E75&amp;" Corp","YAS_BENCHMARK_BOND_ISIN"),"--")</f>
        <v/>
      </c>
      <c r="W75" s="5">
        <f>IFERROR(BDP(V75&amp;" CORP","LAST_PRICE"),"--")</f>
        <v/>
      </c>
      <c r="X75" s="7">
        <f>IFERROR(BDP(E75&amp;" Corp","YAS_YLD_SPREAD","YAS_BOND_PX="&amp;U75,"YAS_BNCHMRK_BOND_PX="&amp;W75),"--")</f>
        <v/>
      </c>
      <c r="Y75" s="7">
        <f>IFERROR(BDP(E75&amp;" Corp","BLOOMBERG_MID_G_SPREAD","YAS_BOND_PX="&amp;U75,"YAS_BNCHMRK_BOND_PX="&amp;W75),"--")</f>
        <v/>
      </c>
      <c r="Z75" s="7">
        <f>IFERROR(BDP(D75,"LAST_PRICE"),"--")</f>
        <v/>
      </c>
      <c r="AA75" s="7">
        <f>IFERROR(Z75-Y75,"--")</f>
        <v/>
      </c>
      <c r="AB75" s="8">
        <f>IFERROR((AA75-R75)/(S75-R75)*100,"--")</f>
        <v/>
      </c>
    </row>
    <row r="76">
      <c r="A76" t="inlineStr">
        <is>
          <t>MGM</t>
        </is>
      </c>
      <c r="B76" t="inlineStr">
        <is>
          <t>HY</t>
        </is>
      </c>
      <c r="C76" t="inlineStr">
        <is>
          <t>MGM 6 1/2 04/15/32</t>
        </is>
      </c>
      <c r="D76" t="inlineStr">
        <is>
          <t>MGM CDS USD SR 5Y D14 Corp</t>
        </is>
      </c>
      <c r="E76" t="inlineStr">
        <is>
          <t>US552953CJ87</t>
        </is>
      </c>
      <c r="F76" s="2" t="n">
        <v>45659</v>
      </c>
      <c r="G76" s="2" t="n">
        <v>46225</v>
      </c>
      <c r="H76" s="2" t="n">
        <v>48385</v>
      </c>
      <c r="I76" s="3" t="n">
        <v>254.7671</v>
      </c>
      <c r="J76" s="3" t="n">
        <v>219.5779</v>
      </c>
      <c r="K76" s="3" t="n">
        <v>213.983</v>
      </c>
      <c r="L76" s="3" t="n">
        <v>222.705</v>
      </c>
      <c r="M76" s="3" t="n">
        <v>40.7841</v>
      </c>
      <c r="N76" s="3" t="n">
        <v>-19.1857</v>
      </c>
      <c r="O76" s="3" t="n">
        <v>84.90730000000002</v>
      </c>
      <c r="P76" s="4" t="n">
        <v>57.61175103032863</v>
      </c>
      <c r="Q76" s="3" t="n">
        <v>5.594899999999996</v>
      </c>
      <c r="R76" s="3" t="n">
        <v>-36.38549999999998</v>
      </c>
      <c r="S76" s="3" t="n">
        <v>57.92499999999995</v>
      </c>
      <c r="T76" s="4" t="n">
        <v>44.51296515234253</v>
      </c>
      <c r="U76" s="5">
        <f>IFERROR(BDP(E76&amp;" Corp","LAST_PRICE"),"--")</f>
        <v/>
      </c>
      <c r="V76" s="6">
        <f>IFERROR(BDP(E76&amp;" Corp","YAS_BENCHMARK_BOND_ISIN"),"--")</f>
        <v/>
      </c>
      <c r="W76" s="5">
        <f>IFERROR(BDP(V76&amp;" CORP","LAST_PRICE"),"--")</f>
        <v/>
      </c>
      <c r="X76" s="7">
        <f>IFERROR(BDP(E76&amp;" Corp","YAS_YLD_SPREAD","YAS_BOND_PX="&amp;U76,"YAS_BNCHMRK_BOND_PX="&amp;W76),"--")</f>
        <v/>
      </c>
      <c r="Y76" s="7">
        <f>IFERROR(BDP(E76&amp;" Corp","BLOOMBERG_MID_G_SPREAD","YAS_BOND_PX="&amp;U76,"YAS_BNCHMRK_BOND_PX="&amp;W76),"--")</f>
        <v/>
      </c>
      <c r="Z76" s="7">
        <f>IFERROR(BDP(D76,"LAST_PRICE"),"--")</f>
        <v/>
      </c>
      <c r="AA76" s="7">
        <f>IFERROR(Z76-Y76,"--")</f>
        <v/>
      </c>
      <c r="AB76" s="8">
        <f>IFERROR((AA76-R76)/(S76-R76)*100,"--")</f>
        <v/>
      </c>
    </row>
    <row r="77">
      <c r="A77" t="inlineStr">
        <is>
          <t>MOH</t>
        </is>
      </c>
      <c r="B77" t="inlineStr">
        <is>
          <t>HY</t>
        </is>
      </c>
      <c r="C77" t="inlineStr">
        <is>
          <t>MOH 6 1/2 02/15/31</t>
        </is>
      </c>
      <c r="D77" t="inlineStr">
        <is>
          <t>CZ060964 Curncy</t>
        </is>
      </c>
      <c r="E77" t="inlineStr">
        <is>
          <t>US60855RAN08</t>
        </is>
      </c>
      <c r="F77" s="2" t="n">
        <v>46106</v>
      </c>
      <c r="G77" s="2" t="n">
        <v>46225</v>
      </c>
      <c r="H77" s="2" t="n">
        <v>48019</v>
      </c>
      <c r="I77" s="3" t="n">
        <v>129.7001</v>
      </c>
      <c r="J77" s="3" t="n">
        <v>129.7001</v>
      </c>
      <c r="K77" s="3" t="n">
        <v>157.888</v>
      </c>
      <c r="L77" s="3" t="n">
        <v>179.934</v>
      </c>
      <c r="M77" s="3" t="n">
        <v>-28.18790000000001</v>
      </c>
      <c r="N77" s="3" t="n">
        <v>-75.40479999999999</v>
      </c>
      <c r="O77" s="3" t="n">
        <v>-7.932500000000005</v>
      </c>
      <c r="P77" s="4" t="n">
        <v>69.97968055038881</v>
      </c>
      <c r="Q77" s="3" t="n">
        <v>-28.18790000000001</v>
      </c>
      <c r="R77" s="3" t="n">
        <v>-75.40479999999999</v>
      </c>
      <c r="S77" s="3" t="n">
        <v>-7.932500000000005</v>
      </c>
      <c r="T77" s="4" t="n">
        <v>69.97968055038881</v>
      </c>
      <c r="U77" s="5">
        <f>IFERROR(BDP(E77&amp;" Corp","LAST_PRICE"),"--")</f>
        <v/>
      </c>
      <c r="V77" s="6">
        <f>IFERROR(BDP(E77&amp;" Corp","YAS_BENCHMARK_BOND_ISIN"),"--")</f>
        <v/>
      </c>
      <c r="W77" s="5">
        <f>IFERROR(BDP(V77&amp;" CORP","LAST_PRICE"),"--")</f>
        <v/>
      </c>
      <c r="X77" s="7">
        <f>IFERROR(BDP(E77&amp;" Corp","YAS_YLD_SPREAD","YAS_BOND_PX="&amp;U77,"YAS_BNCHMRK_BOND_PX="&amp;W77),"--")</f>
        <v/>
      </c>
      <c r="Y77" s="7">
        <f>IFERROR(BDP(E77&amp;" Corp","BLOOMBERG_MID_G_SPREAD","YAS_BOND_PX="&amp;U77,"YAS_BNCHMRK_BOND_PX="&amp;W77),"--")</f>
        <v/>
      </c>
      <c r="Z77" s="7">
        <f>IFERROR(BDP(D77,"LAST_PRICE"),"--")</f>
        <v/>
      </c>
      <c r="AA77" s="7">
        <f>IFERROR(Z77-Y77,"--")</f>
        <v/>
      </c>
      <c r="AB77" s="8">
        <f>IFERROR((AA77-R77)/(S77-R77)*100,"--")</f>
        <v/>
      </c>
    </row>
    <row r="78">
      <c r="A78" t="inlineStr">
        <is>
          <t>MPW</t>
        </is>
      </c>
      <c r="B78" t="inlineStr">
        <is>
          <t>HY</t>
        </is>
      </c>
      <c r="C78" t="inlineStr">
        <is>
          <t>MPW 3 1/2 03/15/31</t>
        </is>
      </c>
      <c r="D78" t="inlineStr">
        <is>
          <t>MPW CDS USD SR 5Y D14 Corp</t>
        </is>
      </c>
      <c r="E78" t="inlineStr">
        <is>
          <t>US55342UAM62</t>
        </is>
      </c>
      <c r="F78" s="2" t="n">
        <v>45659</v>
      </c>
      <c r="G78" s="2" t="n">
        <v>46225</v>
      </c>
      <c r="H78" s="2" t="n">
        <v>48019</v>
      </c>
      <c r="I78" s="3" t="n">
        <v>940.0397</v>
      </c>
      <c r="J78" s="3" t="n">
        <v>940.0397</v>
      </c>
      <c r="K78" s="3" t="n">
        <v>850.629</v>
      </c>
      <c r="L78" s="3" t="n">
        <v>872.854</v>
      </c>
      <c r="M78" s="3" t="n">
        <v>89.41070000000002</v>
      </c>
      <c r="N78" s="3" t="n">
        <v>-29.93319999999994</v>
      </c>
      <c r="O78" s="3" t="n">
        <v>527.3242</v>
      </c>
      <c r="P78" s="4" t="n">
        <v>21.41629702898517</v>
      </c>
      <c r="Q78" s="3" t="n">
        <v>89.41070000000002</v>
      </c>
      <c r="R78" s="3" t="n">
        <v>-29.93319999999994</v>
      </c>
      <c r="S78" s="3" t="n">
        <v>527.3242</v>
      </c>
      <c r="T78" s="4" t="n">
        <v>21.41629702898517</v>
      </c>
      <c r="U78" s="5">
        <f>IFERROR(BDP(E78&amp;" Corp","LAST_PRICE"),"--")</f>
        <v/>
      </c>
      <c r="V78" s="6">
        <f>IFERROR(BDP(E78&amp;" Corp","YAS_BENCHMARK_BOND_ISIN"),"--")</f>
        <v/>
      </c>
      <c r="W78" s="5">
        <f>IFERROR(BDP(V78&amp;" CORP","LAST_PRICE"),"--")</f>
        <v/>
      </c>
      <c r="X78" s="7">
        <f>IFERROR(BDP(E78&amp;" Corp","YAS_YLD_SPREAD","YAS_BOND_PX="&amp;U78,"YAS_BNCHMRK_BOND_PX="&amp;W78),"--")</f>
        <v/>
      </c>
      <c r="Y78" s="7">
        <f>IFERROR(BDP(E78&amp;" Corp","BLOOMBERG_MID_G_SPREAD","YAS_BOND_PX="&amp;U78,"YAS_BNCHMRK_BOND_PX="&amp;W78),"--")</f>
        <v/>
      </c>
      <c r="Z78" s="7">
        <f>IFERROR(BDP(D78,"LAST_PRICE"),"--")</f>
        <v/>
      </c>
      <c r="AA78" s="7">
        <f>IFERROR(Z78-Y78,"--")</f>
        <v/>
      </c>
      <c r="AB78" s="8">
        <f>IFERROR((AA78-R78)/(S78-R78)*100,"--")</f>
        <v/>
      </c>
    </row>
    <row r="79">
      <c r="A79" t="inlineStr">
        <is>
          <t>MUR</t>
        </is>
      </c>
      <c r="B79" t="inlineStr">
        <is>
          <t>HY</t>
        </is>
      </c>
      <c r="C79" t="inlineStr">
        <is>
          <t>MUR 6 10/01/32</t>
        </is>
      </c>
      <c r="D79" t="inlineStr">
        <is>
          <t>MUR CDS USD SR 5Y D14 Corp</t>
        </is>
      </c>
      <c r="E79" t="inlineStr">
        <is>
          <t>US626717AP72</t>
        </is>
      </c>
      <c r="F79" s="2" t="n">
        <v>45659</v>
      </c>
      <c r="G79" s="2" t="n">
        <v>46225</v>
      </c>
      <c r="H79" s="2" t="n">
        <v>48568</v>
      </c>
      <c r="I79" s="3" t="n">
        <v>175.5525</v>
      </c>
      <c r="J79" s="3" t="n">
        <v>138.772</v>
      </c>
      <c r="K79" s="3" t="n">
        <v>154.914</v>
      </c>
      <c r="L79" s="3" t="n">
        <v>168.921</v>
      </c>
      <c r="M79" s="3" t="n">
        <v>20.63850000000002</v>
      </c>
      <c r="N79" s="3" t="n">
        <v>-51.07999999999998</v>
      </c>
      <c r="O79" s="3" t="n">
        <v>49.06709999999998</v>
      </c>
      <c r="P79" s="4" t="n">
        <v>71.61315704598539</v>
      </c>
      <c r="Q79" s="3" t="n">
        <v>-16.142</v>
      </c>
      <c r="R79" s="3" t="n">
        <v>-74.31809999999999</v>
      </c>
      <c r="S79" s="3" t="n">
        <v>19.57479999999998</v>
      </c>
      <c r="T79" s="4" t="n">
        <v>61.96006300795908</v>
      </c>
      <c r="U79" s="5">
        <f>IFERROR(BDP(E79&amp;" Corp","LAST_PRICE"),"--")</f>
        <v/>
      </c>
      <c r="V79" s="6">
        <f>IFERROR(BDP(E79&amp;" Corp","YAS_BENCHMARK_BOND_ISIN"),"--")</f>
        <v/>
      </c>
      <c r="W79" s="5">
        <f>IFERROR(BDP(V79&amp;" CORP","LAST_PRICE"),"--")</f>
        <v/>
      </c>
      <c r="X79" s="7">
        <f>IFERROR(BDP(E79&amp;" Corp","YAS_YLD_SPREAD","YAS_BOND_PX="&amp;U79,"YAS_BNCHMRK_BOND_PX="&amp;W79),"--")</f>
        <v/>
      </c>
      <c r="Y79" s="7">
        <f>IFERROR(BDP(E79&amp;" Corp","BLOOMBERG_MID_G_SPREAD","YAS_BOND_PX="&amp;U79,"YAS_BNCHMRK_BOND_PX="&amp;W79),"--")</f>
        <v/>
      </c>
      <c r="Z79" s="7">
        <f>IFERROR(BDP(D79,"LAST_PRICE"),"--")</f>
        <v/>
      </c>
      <c r="AA79" s="7">
        <f>IFERROR(Z79-Y79,"--")</f>
        <v/>
      </c>
      <c r="AB79" s="8">
        <f>IFERROR((AA79-R79)/(S79-R79)*100,"--")</f>
        <v/>
      </c>
    </row>
    <row r="80">
      <c r="A80" t="inlineStr">
        <is>
          <t>NAVI</t>
        </is>
      </c>
      <c r="B80" t="inlineStr">
        <is>
          <t>HY</t>
        </is>
      </c>
      <c r="C80" t="inlineStr">
        <is>
          <t>NAVI 7 7/8 06/15/32</t>
        </is>
      </c>
      <c r="D80" t="inlineStr">
        <is>
          <t>NAVI CDS USD SR 5Y D14 Corp</t>
        </is>
      </c>
      <c r="E80" t="inlineStr">
        <is>
          <t>US63938CAQ15</t>
        </is>
      </c>
      <c r="F80" s="2" t="n">
        <v>45792</v>
      </c>
      <c r="G80" s="2" t="n">
        <v>46225</v>
      </c>
      <c r="H80" s="2" t="n">
        <v>48385</v>
      </c>
      <c r="I80" s="3" t="n">
        <v>485.5776</v>
      </c>
      <c r="J80" s="3" t="n">
        <v>444.7534</v>
      </c>
      <c r="K80" s="3" t="n">
        <v>504.367</v>
      </c>
      <c r="L80" s="3" t="n">
        <v>510.551</v>
      </c>
      <c r="M80" s="3" t="n">
        <v>-18.7894</v>
      </c>
      <c r="N80" s="3" t="n">
        <v>-41.92939999999999</v>
      </c>
      <c r="O80" s="3" t="n">
        <v>70.29200000000003</v>
      </c>
      <c r="P80" s="4" t="n">
        <v>20.61995305708179</v>
      </c>
      <c r="Q80" s="3" t="n">
        <v>-59.61360000000002</v>
      </c>
      <c r="R80" s="3" t="n">
        <v>-70.78909999999996</v>
      </c>
      <c r="S80" s="3" t="n">
        <v>30.3805000000001</v>
      </c>
      <c r="T80" s="4" t="n">
        <v>11.04630244658468</v>
      </c>
      <c r="U80" s="5">
        <f>IFERROR(BDP(E80&amp;" Corp","LAST_PRICE"),"--")</f>
        <v/>
      </c>
      <c r="V80" s="6">
        <f>IFERROR(BDP(E80&amp;" Corp","YAS_BENCHMARK_BOND_ISIN"),"--")</f>
        <v/>
      </c>
      <c r="W80" s="5">
        <f>IFERROR(BDP(V80&amp;" CORP","LAST_PRICE"),"--")</f>
        <v/>
      </c>
      <c r="X80" s="7">
        <f>IFERROR(BDP(E80&amp;" Corp","YAS_YLD_SPREAD","YAS_BOND_PX="&amp;U80,"YAS_BNCHMRK_BOND_PX="&amp;W80),"--")</f>
        <v/>
      </c>
      <c r="Y80" s="7">
        <f>IFERROR(BDP(E80&amp;" Corp","BLOOMBERG_MID_G_SPREAD","YAS_BOND_PX="&amp;U80,"YAS_BNCHMRK_BOND_PX="&amp;W80),"--")</f>
        <v/>
      </c>
      <c r="Z80" s="7">
        <f>IFERROR(BDP(D80,"LAST_PRICE"),"--")</f>
        <v/>
      </c>
      <c r="AA80" s="7">
        <f>IFERROR(Z80-Y80,"--")</f>
        <v/>
      </c>
      <c r="AB80" s="8">
        <f>IFERROR((AA80-R80)/(S80-R80)*100,"--")</f>
        <v/>
      </c>
    </row>
    <row r="81">
      <c r="A81" t="inlineStr">
        <is>
          <t>NBR</t>
        </is>
      </c>
      <c r="B81" t="inlineStr">
        <is>
          <t>HY</t>
        </is>
      </c>
      <c r="C81" t="inlineStr">
        <is>
          <t>NBR 8 7/8 08/15/31</t>
        </is>
      </c>
      <c r="D81" t="inlineStr">
        <is>
          <t>NBR CDS USD SR 5Y D14 Corp</t>
        </is>
      </c>
      <c r="E81" t="inlineStr">
        <is>
          <t>US62957HAQ83</t>
        </is>
      </c>
      <c r="F81" s="2" t="n">
        <v>45659</v>
      </c>
      <c r="G81" s="2" t="n">
        <v>46225</v>
      </c>
      <c r="H81" s="2" t="n">
        <v>48202</v>
      </c>
      <c r="I81" s="3" t="n">
        <v>300.3275</v>
      </c>
      <c r="J81" s="3" t="n">
        <v>283.1788</v>
      </c>
      <c r="K81" s="3" t="n">
        <v>337.629</v>
      </c>
      <c r="L81" s="3" t="n">
        <v>342.597</v>
      </c>
      <c r="M81" s="3" t="n">
        <v>-37.30150000000003</v>
      </c>
      <c r="N81" s="3" t="n">
        <v>-131.5709000000001</v>
      </c>
      <c r="O81" s="3" t="n">
        <v>458.3416</v>
      </c>
      <c r="P81" s="4" t="n">
        <v>15.9802343567902</v>
      </c>
      <c r="Q81" s="3" t="n">
        <v>-54.4502</v>
      </c>
      <c r="R81" s="3" t="n">
        <v>-120.9157</v>
      </c>
      <c r="S81" s="3" t="n">
        <v>438.4578999999999</v>
      </c>
      <c r="T81" s="4" t="n">
        <v>11.88213029717527</v>
      </c>
      <c r="U81" s="5">
        <f>IFERROR(BDP(E81&amp;" Corp","LAST_PRICE"),"--")</f>
        <v/>
      </c>
      <c r="V81" s="6">
        <f>IFERROR(BDP(E81&amp;" Corp","YAS_BENCHMARK_BOND_ISIN"),"--")</f>
        <v/>
      </c>
      <c r="W81" s="5">
        <f>IFERROR(BDP(V81&amp;" CORP","LAST_PRICE"),"--")</f>
        <v/>
      </c>
      <c r="X81" s="7">
        <f>IFERROR(BDP(E81&amp;" Corp","YAS_YLD_SPREAD","YAS_BOND_PX="&amp;U81,"YAS_BNCHMRK_BOND_PX="&amp;W81),"--")</f>
        <v/>
      </c>
      <c r="Y81" s="7">
        <f>IFERROR(BDP(E81&amp;" Corp","BLOOMBERG_MID_G_SPREAD","YAS_BOND_PX="&amp;U81,"YAS_BNCHMRK_BOND_PX="&amp;W81),"--")</f>
        <v/>
      </c>
      <c r="Z81" s="7">
        <f>IFERROR(BDP(D81,"LAST_PRICE"),"--")</f>
        <v/>
      </c>
      <c r="AA81" s="7">
        <f>IFERROR(Z81-Y81,"--")</f>
        <v/>
      </c>
      <c r="AB81" s="8">
        <f>IFERROR((AA81-R81)/(S81-R81)*100,"--")</f>
        <v/>
      </c>
    </row>
    <row r="82">
      <c r="A82" t="inlineStr">
        <is>
          <t>NCLH</t>
        </is>
      </c>
      <c r="B82" t="inlineStr">
        <is>
          <t>HY</t>
        </is>
      </c>
      <c r="C82" t="inlineStr">
        <is>
          <t>NCLH 5 7/8 01/15/31</t>
        </is>
      </c>
      <c r="D82" t="inlineStr">
        <is>
          <t>NCLH CDS USD SR 5Y D14 Corp</t>
        </is>
      </c>
      <c r="E82" t="inlineStr">
        <is>
          <t>US62886HBY62</t>
        </is>
      </c>
      <c r="F82" s="2" t="n">
        <v>45909</v>
      </c>
      <c r="G82" s="2" t="n">
        <v>46225</v>
      </c>
      <c r="H82" s="2" t="n">
        <v>48019</v>
      </c>
      <c r="I82" s="3" t="n">
        <v>204.8999</v>
      </c>
      <c r="J82" s="3" t="n">
        <v>204.8999</v>
      </c>
      <c r="K82" s="3" t="n">
        <v>234.764</v>
      </c>
      <c r="L82" s="3" t="n">
        <v>247.474</v>
      </c>
      <c r="M82" s="3" t="n">
        <v>-29.86410000000001</v>
      </c>
      <c r="N82" s="3" t="n">
        <v>-60.80760000000001</v>
      </c>
      <c r="O82" s="3" t="n">
        <v>-5.13349999999997</v>
      </c>
      <c r="P82" s="4" t="n">
        <v>55.57970402754599</v>
      </c>
      <c r="Q82" s="3" t="n">
        <v>-29.86410000000001</v>
      </c>
      <c r="R82" s="3" t="n">
        <v>-60.80760000000001</v>
      </c>
      <c r="S82" s="3" t="n">
        <v>-5.13349999999997</v>
      </c>
      <c r="T82" s="4" t="n">
        <v>55.57970402754599</v>
      </c>
      <c r="U82" s="5">
        <f>IFERROR(BDP(E82&amp;" Corp","LAST_PRICE"),"--")</f>
        <v/>
      </c>
      <c r="V82" s="6">
        <f>IFERROR(BDP(E82&amp;" Corp","YAS_BENCHMARK_BOND_ISIN"),"--")</f>
        <v/>
      </c>
      <c r="W82" s="5">
        <f>IFERROR(BDP(V82&amp;" CORP","LAST_PRICE"),"--")</f>
        <v/>
      </c>
      <c r="X82" s="7">
        <f>IFERROR(BDP(E82&amp;" Corp","YAS_YLD_SPREAD","YAS_BOND_PX="&amp;U82,"YAS_BNCHMRK_BOND_PX="&amp;W82),"--")</f>
        <v/>
      </c>
      <c r="Y82" s="7">
        <f>IFERROR(BDP(E82&amp;" Corp","BLOOMBERG_MID_G_SPREAD","YAS_BOND_PX="&amp;U82,"YAS_BNCHMRK_BOND_PX="&amp;W82),"--")</f>
        <v/>
      </c>
      <c r="Z82" s="7">
        <f>IFERROR(BDP(D82,"LAST_PRICE"),"--")</f>
        <v/>
      </c>
      <c r="AA82" s="7">
        <f>IFERROR(Z82-Y82,"--")</f>
        <v/>
      </c>
      <c r="AB82" s="8">
        <f>IFERROR((AA82-R82)/(S82-R82)*100,"--")</f>
        <v/>
      </c>
    </row>
    <row r="83">
      <c r="A83" t="inlineStr">
        <is>
          <t>NEWALB</t>
        </is>
      </c>
      <c r="B83" t="inlineStr">
        <is>
          <t>HY</t>
        </is>
      </c>
      <c r="C83" t="inlineStr">
        <is>
          <t>ACI 5 5/8 03/31/32</t>
        </is>
      </c>
      <c r="D83" t="inlineStr">
        <is>
          <t>NEWALB CDS USD SR 5Y D14 Corp</t>
        </is>
      </c>
      <c r="E83" t="inlineStr">
        <is>
          <t>US01309QAE89</t>
        </is>
      </c>
      <c r="F83" s="2" t="n">
        <v>46045</v>
      </c>
      <c r="G83" s="2" t="n">
        <v>46225</v>
      </c>
      <c r="H83" s="2" t="n">
        <v>48385</v>
      </c>
      <c r="I83" s="3" t="n">
        <v>136.046</v>
      </c>
      <c r="J83" s="3" t="n">
        <v>116.4621</v>
      </c>
      <c r="K83" s="3" t="n">
        <v>189.567</v>
      </c>
      <c r="L83" s="3" t="n">
        <v>229.146</v>
      </c>
      <c r="M83" s="3" t="n">
        <v>-53.52100000000002</v>
      </c>
      <c r="N83" s="3" t="n">
        <v>-118.8464</v>
      </c>
      <c r="O83" s="3" t="n">
        <v>-47.5057</v>
      </c>
      <c r="P83" s="4" t="n">
        <v>91.56820720850789</v>
      </c>
      <c r="Q83" s="3" t="n">
        <v>-73.1049</v>
      </c>
      <c r="R83" s="3" t="n">
        <v>-127.0821</v>
      </c>
      <c r="S83" s="3" t="n">
        <v>-68.9418</v>
      </c>
      <c r="T83" s="4" t="n">
        <v>92.83956223136104</v>
      </c>
      <c r="U83" s="5">
        <f>IFERROR(BDP(E83&amp;" Corp","LAST_PRICE"),"--")</f>
        <v/>
      </c>
      <c r="V83" s="6">
        <f>IFERROR(BDP(E83&amp;" Corp","YAS_BENCHMARK_BOND_ISIN"),"--")</f>
        <v/>
      </c>
      <c r="W83" s="5">
        <f>IFERROR(BDP(V83&amp;" CORP","LAST_PRICE"),"--")</f>
        <v/>
      </c>
      <c r="X83" s="7">
        <f>IFERROR(BDP(E83&amp;" Corp","YAS_YLD_SPREAD","YAS_BOND_PX="&amp;U83,"YAS_BNCHMRK_BOND_PX="&amp;W83),"--")</f>
        <v/>
      </c>
      <c r="Y83" s="7">
        <f>IFERROR(BDP(E83&amp;" Corp","BLOOMBERG_MID_G_SPREAD","YAS_BOND_PX="&amp;U83,"YAS_BNCHMRK_BOND_PX="&amp;W83),"--")</f>
        <v/>
      </c>
      <c r="Z83" s="7">
        <f>IFERROR(BDP(D83,"LAST_PRICE"),"--")</f>
        <v/>
      </c>
      <c r="AA83" s="7">
        <f>IFERROR(Z83-Y83,"--")</f>
        <v/>
      </c>
      <c r="AB83" s="8">
        <f>IFERROR((AA83-R83)/(S83-R83)*100,"--")</f>
        <v/>
      </c>
    </row>
    <row r="84">
      <c r="A84" t="inlineStr">
        <is>
          <t>NRG</t>
        </is>
      </c>
      <c r="B84" t="inlineStr">
        <is>
          <t>HY</t>
        </is>
      </c>
      <c r="C84" t="inlineStr">
        <is>
          <t>NRG 6 02/01/33</t>
        </is>
      </c>
      <c r="D84" t="inlineStr">
        <is>
          <t>NRG CDS USD SR 5Y D14 Corp</t>
        </is>
      </c>
      <c r="E84" t="inlineStr">
        <is>
          <t>USU66962BB30</t>
        </is>
      </c>
      <c r="F84" s="2" t="n">
        <v>45659</v>
      </c>
      <c r="G84" s="2" t="n">
        <v>46225</v>
      </c>
      <c r="H84" s="2" t="n">
        <v>48750</v>
      </c>
      <c r="I84" s="3" t="n">
        <v>146.792</v>
      </c>
      <c r="J84" s="3" t="n">
        <v>110.9934</v>
      </c>
      <c r="K84" s="3" t="n">
        <v>152.265</v>
      </c>
      <c r="L84" s="3" t="n">
        <v>143.13</v>
      </c>
      <c r="M84" s="3" t="n">
        <v>-5.472999999999985</v>
      </c>
      <c r="N84" s="3" t="n">
        <v>-91.36399999999998</v>
      </c>
      <c r="O84" s="3" t="n">
        <v>4.325400000000002</v>
      </c>
      <c r="P84" s="4" t="n">
        <v>89.76020332450616</v>
      </c>
      <c r="Q84" s="3" t="n">
        <v>-41.27159999999999</v>
      </c>
      <c r="R84" s="3" t="n">
        <v>-110.512</v>
      </c>
      <c r="S84" s="3" t="n">
        <v>-33.7199</v>
      </c>
      <c r="T84" s="4" t="n">
        <v>90.16604572605776</v>
      </c>
      <c r="U84" s="5">
        <f>IFERROR(BDP(E84&amp;" Corp","LAST_PRICE"),"--")</f>
        <v/>
      </c>
      <c r="V84" s="6">
        <f>IFERROR(BDP(E84&amp;" Corp","YAS_BENCHMARK_BOND_ISIN"),"--")</f>
        <v/>
      </c>
      <c r="W84" s="5">
        <f>IFERROR(BDP(V84&amp;" CORP","LAST_PRICE"),"--")</f>
        <v/>
      </c>
      <c r="X84" s="7">
        <f>IFERROR(BDP(E84&amp;" Corp","YAS_YLD_SPREAD","YAS_BOND_PX="&amp;U84,"YAS_BNCHMRK_BOND_PX="&amp;W84),"--")</f>
        <v/>
      </c>
      <c r="Y84" s="7">
        <f>IFERROR(BDP(E84&amp;" Corp","BLOOMBERG_MID_G_SPREAD","YAS_BOND_PX="&amp;U84,"YAS_BNCHMRK_BOND_PX="&amp;W84),"--")</f>
        <v/>
      </c>
      <c r="Z84" s="7">
        <f>IFERROR(BDP(D84,"LAST_PRICE"),"--")</f>
        <v/>
      </c>
      <c r="AA84" s="7">
        <f>IFERROR(Z84-Y84,"--")</f>
        <v/>
      </c>
      <c r="AB84" s="8">
        <f>IFERROR((AA84-R84)/(S84-R84)*100,"--")</f>
        <v/>
      </c>
    </row>
    <row r="85">
      <c r="A85" t="inlineStr">
        <is>
          <t>NWL</t>
        </is>
      </c>
      <c r="B85" t="inlineStr">
        <is>
          <t>HY</t>
        </is>
      </c>
      <c r="C85" t="inlineStr">
        <is>
          <t>NWL 6 5/8 05/15/32</t>
        </is>
      </c>
      <c r="D85" t="inlineStr">
        <is>
          <t>NWL CDS USD SR 5Y D14 Corp</t>
        </is>
      </c>
      <c r="E85" t="inlineStr">
        <is>
          <t>US651229BE57</t>
        </is>
      </c>
      <c r="F85" s="2" t="n">
        <v>45659</v>
      </c>
      <c r="G85" s="2" t="n">
        <v>46225</v>
      </c>
      <c r="H85" s="2" t="n">
        <v>48385</v>
      </c>
      <c r="I85" s="3" t="n">
        <v>368.9242</v>
      </c>
      <c r="J85" s="3" t="n">
        <v>334.4418</v>
      </c>
      <c r="K85" s="3" t="n">
        <v>208.455</v>
      </c>
      <c r="L85" s="3" t="n">
        <v>219.875</v>
      </c>
      <c r="M85" s="3" t="n">
        <v>160.4692</v>
      </c>
      <c r="N85" s="3" t="n">
        <v>36.08530000000002</v>
      </c>
      <c r="O85" s="3" t="n">
        <v>196.4063</v>
      </c>
      <c r="P85" s="4" t="n">
        <v>77.58428403016444</v>
      </c>
      <c r="Q85" s="3" t="n">
        <v>125.9868</v>
      </c>
      <c r="R85" s="3" t="n">
        <v>28.911</v>
      </c>
      <c r="S85" s="3" t="n">
        <v>147.8178</v>
      </c>
      <c r="T85" s="4" t="n">
        <v>81.64024261017873</v>
      </c>
      <c r="U85" s="5">
        <f>IFERROR(BDP(E85&amp;" Corp","LAST_PRICE"),"--")</f>
        <v/>
      </c>
      <c r="V85" s="6">
        <f>IFERROR(BDP(E85&amp;" Corp","YAS_BENCHMARK_BOND_ISIN"),"--")</f>
        <v/>
      </c>
      <c r="W85" s="5">
        <f>IFERROR(BDP(V85&amp;" CORP","LAST_PRICE"),"--")</f>
        <v/>
      </c>
      <c r="X85" s="7">
        <f>IFERROR(BDP(E85&amp;" Corp","YAS_YLD_SPREAD","YAS_BOND_PX="&amp;U85,"YAS_BNCHMRK_BOND_PX="&amp;W85),"--")</f>
        <v/>
      </c>
      <c r="Y85" s="7">
        <f>IFERROR(BDP(E85&amp;" Corp","BLOOMBERG_MID_G_SPREAD","YAS_BOND_PX="&amp;U85,"YAS_BNCHMRK_BOND_PX="&amp;W85),"--")</f>
        <v/>
      </c>
      <c r="Z85" s="7">
        <f>IFERROR(BDP(D85,"LAST_PRICE"),"--")</f>
        <v/>
      </c>
      <c r="AA85" s="7">
        <f>IFERROR(Z85-Y85,"--")</f>
        <v/>
      </c>
      <c r="AB85" s="8">
        <f>IFERROR((AA85-R85)/(S85-R85)*100,"--")</f>
        <v/>
      </c>
    </row>
    <row r="86">
      <c r="A86" t="inlineStr">
        <is>
          <t>OGN</t>
        </is>
      </c>
      <c r="B86" t="inlineStr">
        <is>
          <t>HY</t>
        </is>
      </c>
      <c r="C86" t="inlineStr">
        <is>
          <t>OGN 5 1/8 04/30/31</t>
        </is>
      </c>
      <c r="D86" t="inlineStr">
        <is>
          <t>ORGANON&amp;CO CDS USD SR 5Y D14 Corp</t>
        </is>
      </c>
      <c r="E86" t="inlineStr">
        <is>
          <t>USU6835WAB01</t>
        </is>
      </c>
      <c r="F86" s="2" t="n">
        <v>45659</v>
      </c>
      <c r="G86" s="2" t="n">
        <v>46225</v>
      </c>
      <c r="H86" s="2" t="n">
        <v>48019</v>
      </c>
      <c r="I86" s="3" t="n">
        <v>67.8306</v>
      </c>
      <c r="J86" s="3" t="n">
        <v>67.8306</v>
      </c>
      <c r="K86" s="3" t="n">
        <v>94.68300000000001</v>
      </c>
      <c r="L86" s="3" t="n">
        <v>92.619</v>
      </c>
      <c r="M86" s="3" t="n">
        <v>-26.8524</v>
      </c>
      <c r="N86" s="3" t="n">
        <v>-121.4321</v>
      </c>
      <c r="O86" s="3" t="n">
        <v>73.4701</v>
      </c>
      <c r="P86" s="4" t="n">
        <v>48.52674828708964</v>
      </c>
      <c r="Q86" s="3" t="n">
        <v>-26.8524</v>
      </c>
      <c r="R86" s="3" t="n">
        <v>-121.4321</v>
      </c>
      <c r="S86" s="3" t="n">
        <v>73.4701</v>
      </c>
      <c r="T86" s="4" t="n">
        <v>48.52674828708964</v>
      </c>
      <c r="U86" s="5">
        <f>IFERROR(BDP(E86&amp;" Corp","LAST_PRICE"),"--")</f>
        <v/>
      </c>
      <c r="V86" s="6">
        <f>IFERROR(BDP(E86&amp;" Corp","YAS_BENCHMARK_BOND_ISIN"),"--")</f>
        <v/>
      </c>
      <c r="W86" s="5">
        <f>IFERROR(BDP(V86&amp;" CORP","LAST_PRICE"),"--")</f>
        <v/>
      </c>
      <c r="X86" s="7">
        <f>IFERROR(BDP(E86&amp;" Corp","YAS_YLD_SPREAD","YAS_BOND_PX="&amp;U86,"YAS_BNCHMRK_BOND_PX="&amp;W86),"--")</f>
        <v/>
      </c>
      <c r="Y86" s="7">
        <f>IFERROR(BDP(E86&amp;" Corp","BLOOMBERG_MID_G_SPREAD","YAS_BOND_PX="&amp;U86,"YAS_BNCHMRK_BOND_PX="&amp;W86),"--")</f>
        <v/>
      </c>
      <c r="Z86" s="7">
        <f>IFERROR(BDP(D86,"LAST_PRICE"),"--")</f>
        <v/>
      </c>
      <c r="AA86" s="7">
        <f>IFERROR(Z86-Y86,"--")</f>
        <v/>
      </c>
      <c r="AB86" s="8">
        <f>IFERROR((AA86-R86)/(S86-R86)*100,"--")</f>
        <v/>
      </c>
    </row>
    <row r="87">
      <c r="A87" t="inlineStr">
        <is>
          <t>OLN</t>
        </is>
      </c>
      <c r="B87" t="inlineStr">
        <is>
          <t>HY</t>
        </is>
      </c>
      <c r="C87" t="inlineStr">
        <is>
          <t>OLN 6 5/8 04/01/33</t>
        </is>
      </c>
      <c r="D87" t="inlineStr">
        <is>
          <t>OLN CDS USD SR 5Y D14 Corp</t>
        </is>
      </c>
      <c r="E87" t="inlineStr">
        <is>
          <t>US680665AN65</t>
        </is>
      </c>
      <c r="F87" s="2" t="n">
        <v>45719</v>
      </c>
      <c r="G87" s="2" t="n">
        <v>46225</v>
      </c>
      <c r="H87" s="2" t="n">
        <v>48750</v>
      </c>
      <c r="I87" s="3" t="n">
        <v>208.1672</v>
      </c>
      <c r="J87" s="3" t="n">
        <v>156.8012</v>
      </c>
      <c r="K87" s="3" t="n">
        <v>223.908</v>
      </c>
      <c r="L87" s="3" t="n">
        <v>205.732</v>
      </c>
      <c r="M87" s="3" t="n">
        <v>-15.74079999999998</v>
      </c>
      <c r="N87" s="3" t="n">
        <v>-80.28809999999999</v>
      </c>
      <c r="O87" s="3" t="n">
        <v>68.2962</v>
      </c>
      <c r="P87" s="4" t="n">
        <v>43.44153453628682</v>
      </c>
      <c r="Q87" s="3" t="n">
        <v>-67.10679999999999</v>
      </c>
      <c r="R87" s="3" t="n">
        <v>-114.5649</v>
      </c>
      <c r="S87" s="3" t="n">
        <v>24.88749999999999</v>
      </c>
      <c r="T87" s="4" t="n">
        <v>34.03175563848311</v>
      </c>
      <c r="U87" s="5">
        <f>IFERROR(BDP(E87&amp;" Corp","LAST_PRICE"),"--")</f>
        <v/>
      </c>
      <c r="V87" s="6">
        <f>IFERROR(BDP(E87&amp;" Corp","YAS_BENCHMARK_BOND_ISIN"),"--")</f>
        <v/>
      </c>
      <c r="W87" s="5">
        <f>IFERROR(BDP(V87&amp;" CORP","LAST_PRICE"),"--")</f>
        <v/>
      </c>
      <c r="X87" s="7">
        <f>IFERROR(BDP(E87&amp;" Corp","YAS_YLD_SPREAD","YAS_BOND_PX="&amp;U87,"YAS_BNCHMRK_BOND_PX="&amp;W87),"--")</f>
        <v/>
      </c>
      <c r="Y87" s="7">
        <f>IFERROR(BDP(E87&amp;" Corp","BLOOMBERG_MID_G_SPREAD","YAS_BOND_PX="&amp;U87,"YAS_BNCHMRK_BOND_PX="&amp;W87),"--")</f>
        <v/>
      </c>
      <c r="Z87" s="7">
        <f>IFERROR(BDP(D87,"LAST_PRICE"),"--")</f>
        <v/>
      </c>
      <c r="AA87" s="7">
        <f>IFERROR(Z87-Y87,"--")</f>
        <v/>
      </c>
      <c r="AB87" s="8">
        <f>IFERROR((AA87-R87)/(S87-R87)*100,"--")</f>
        <v/>
      </c>
    </row>
    <row r="88">
      <c r="A88" t="inlineStr">
        <is>
          <t>OMF</t>
        </is>
      </c>
      <c r="B88" t="inlineStr">
        <is>
          <t>HY</t>
        </is>
      </c>
      <c r="C88" t="inlineStr">
        <is>
          <t>OMF 7 1/8 11/15/31</t>
        </is>
      </c>
      <c r="D88" t="inlineStr">
        <is>
          <t>AMGFIN CDS USD SR 5Y D14 Corp</t>
        </is>
      </c>
      <c r="E88" t="inlineStr">
        <is>
          <t>US682691AG50</t>
        </is>
      </c>
      <c r="F88" s="2" t="n">
        <v>45659</v>
      </c>
      <c r="G88" s="2" t="n">
        <v>46225</v>
      </c>
      <c r="H88" s="2" t="n">
        <v>48202</v>
      </c>
      <c r="I88" s="3" t="n">
        <v>218.2667</v>
      </c>
      <c r="J88" s="3" t="n">
        <v>210.8128</v>
      </c>
      <c r="K88" s="3" t="n">
        <v>230.574</v>
      </c>
      <c r="L88" s="3" t="n">
        <v>249.708</v>
      </c>
      <c r="M88" s="3" t="n">
        <v>-12.30730000000003</v>
      </c>
      <c r="N88" s="3" t="n">
        <v>-77.4735</v>
      </c>
      <c r="O88" s="3" t="n">
        <v>28.67750000000001</v>
      </c>
      <c r="P88" s="4" t="n">
        <v>61.39009524168399</v>
      </c>
      <c r="Q88" s="3" t="n">
        <v>-19.7612</v>
      </c>
      <c r="R88" s="3" t="n">
        <v>-84.55789999999996</v>
      </c>
      <c r="S88" s="3" t="n">
        <v>18.97700000000003</v>
      </c>
      <c r="T88" s="4" t="n">
        <v>62.58440390631561</v>
      </c>
      <c r="U88" s="5">
        <f>IFERROR(BDP(E88&amp;" Corp","LAST_PRICE"),"--")</f>
        <v/>
      </c>
      <c r="V88" s="6">
        <f>IFERROR(BDP(E88&amp;" Corp","YAS_BENCHMARK_BOND_ISIN"),"--")</f>
        <v/>
      </c>
      <c r="W88" s="5">
        <f>IFERROR(BDP(V88&amp;" CORP","LAST_PRICE"),"--")</f>
        <v/>
      </c>
      <c r="X88" s="7">
        <f>IFERROR(BDP(E88&amp;" Corp","YAS_YLD_SPREAD","YAS_BOND_PX="&amp;U88,"YAS_BNCHMRK_BOND_PX="&amp;W88),"--")</f>
        <v/>
      </c>
      <c r="Y88" s="7">
        <f>IFERROR(BDP(E88&amp;" Corp","BLOOMBERG_MID_G_SPREAD","YAS_BOND_PX="&amp;U88,"YAS_BNCHMRK_BOND_PX="&amp;W88),"--")</f>
        <v/>
      </c>
      <c r="Z88" s="7">
        <f>IFERROR(BDP(D88,"LAST_PRICE"),"--")</f>
        <v/>
      </c>
      <c r="AA88" s="7">
        <f>IFERROR(Z88-Y88,"--")</f>
        <v/>
      </c>
      <c r="AB88" s="8">
        <f>IFERROR((AA88-R88)/(S88-R88)*100,"--")</f>
        <v/>
      </c>
    </row>
    <row r="89">
      <c r="A89" t="inlineStr">
        <is>
          <t>PARA</t>
        </is>
      </c>
      <c r="B89" t="inlineStr">
        <is>
          <t>HY</t>
        </is>
      </c>
      <c r="C89" t="inlineStr">
        <is>
          <t>PARA 4.95 01/15/31</t>
        </is>
      </c>
      <c r="D89" t="inlineStr">
        <is>
          <t>PARA CDS USD SR 5Y D14 Corp</t>
        </is>
      </c>
      <c r="E89" t="inlineStr">
        <is>
          <t>US92556HAB33</t>
        </is>
      </c>
      <c r="F89" s="2" t="n">
        <v>45659</v>
      </c>
      <c r="G89" s="2" t="n">
        <v>46225</v>
      </c>
      <c r="H89" s="2" t="n">
        <v>48019</v>
      </c>
      <c r="I89" s="3" t="n">
        <v>309.1318</v>
      </c>
      <c r="J89" s="3" t="n">
        <v>309.1318</v>
      </c>
      <c r="K89" s="3" t="n">
        <v>256.247</v>
      </c>
      <c r="L89" s="3" t="n">
        <v>258.423</v>
      </c>
      <c r="M89" s="3" t="n">
        <v>52.88479999999998</v>
      </c>
      <c r="N89" s="3" t="n">
        <v>-55.37950000000001</v>
      </c>
      <c r="O89" s="3" t="n">
        <v>112.7628</v>
      </c>
      <c r="P89" s="4" t="n">
        <v>64.38849712416209</v>
      </c>
      <c r="Q89" s="3" t="n">
        <v>52.88479999999998</v>
      </c>
      <c r="R89" s="3" t="n">
        <v>-55.37950000000001</v>
      </c>
      <c r="S89" s="3" t="n">
        <v>112.7628</v>
      </c>
      <c r="T89" s="4" t="n">
        <v>64.38849712416209</v>
      </c>
      <c r="U89" s="5">
        <f>IFERROR(BDP(E89&amp;" Corp","LAST_PRICE"),"--")</f>
        <v/>
      </c>
      <c r="V89" s="6">
        <f>IFERROR(BDP(E89&amp;" Corp","YAS_BENCHMARK_BOND_ISIN"),"--")</f>
        <v/>
      </c>
      <c r="W89" s="5">
        <f>IFERROR(BDP(V89&amp;" CORP","LAST_PRICE"),"--")</f>
        <v/>
      </c>
      <c r="X89" s="7">
        <f>IFERROR(BDP(E89&amp;" Corp","YAS_YLD_SPREAD","YAS_BOND_PX="&amp;U89,"YAS_BNCHMRK_BOND_PX="&amp;W89),"--")</f>
        <v/>
      </c>
      <c r="Y89" s="7">
        <f>IFERROR(BDP(E89&amp;" Corp","BLOOMBERG_MID_G_SPREAD","YAS_BOND_PX="&amp;U89,"YAS_BNCHMRK_BOND_PX="&amp;W89),"--")</f>
        <v/>
      </c>
      <c r="Z89" s="7">
        <f>IFERROR(BDP(D89,"LAST_PRICE"),"--")</f>
        <v/>
      </c>
      <c r="AA89" s="7">
        <f>IFERROR(Z89-Y89,"--")</f>
        <v/>
      </c>
      <c r="AB89" s="8">
        <f>IFERROR((AA89-R89)/(S89-R89)*100,"--")</f>
        <v/>
      </c>
    </row>
    <row r="90">
      <c r="A90" t="inlineStr">
        <is>
          <t>PBI</t>
        </is>
      </c>
      <c r="B90" t="inlineStr">
        <is>
          <t>HY</t>
        </is>
      </c>
      <c r="C90" t="inlineStr">
        <is>
          <t>PBI 7 1/4 03/15/29</t>
        </is>
      </c>
      <c r="D90" t="inlineStr">
        <is>
          <t>PBI CDS USD SR 5Y D14 Corp</t>
        </is>
      </c>
      <c r="E90" t="inlineStr">
        <is>
          <t>US724479AQ31</t>
        </is>
      </c>
      <c r="F90" s="2" t="n">
        <v>45659</v>
      </c>
      <c r="G90" s="2" t="n">
        <v>46225</v>
      </c>
      <c r="H90" s="2" t="n">
        <v>47289</v>
      </c>
      <c r="I90" s="3" t="n">
        <v>107.1218</v>
      </c>
      <c r="J90" s="3" t="n">
        <v>156.0995</v>
      </c>
      <c r="K90" s="3" t="n">
        <v>182.17</v>
      </c>
      <c r="L90" s="3" t="n">
        <v>200.965</v>
      </c>
      <c r="M90" s="3" t="n">
        <v>-75.04819999999999</v>
      </c>
      <c r="N90" s="3" t="n">
        <v>-196.1136</v>
      </c>
      <c r="O90" s="3" t="n">
        <v>25.9829</v>
      </c>
      <c r="P90" s="4" t="n">
        <v>54.51026918479131</v>
      </c>
      <c r="Q90" s="3" t="n">
        <v>-26.07049999999998</v>
      </c>
      <c r="R90" s="3" t="n">
        <v>-138.6624</v>
      </c>
      <c r="S90" s="3" t="n">
        <v>93.84459999999999</v>
      </c>
      <c r="T90" s="4" t="n">
        <v>48.42516569393611</v>
      </c>
      <c r="U90" s="5">
        <f>IFERROR(BDP(E90&amp;" Corp","LAST_PRICE"),"--")</f>
        <v/>
      </c>
      <c r="V90" s="6">
        <f>IFERROR(BDP(E90&amp;" Corp","YAS_BENCHMARK_BOND_ISIN"),"--")</f>
        <v/>
      </c>
      <c r="W90" s="5">
        <f>IFERROR(BDP(V90&amp;" CORP","LAST_PRICE"),"--")</f>
        <v/>
      </c>
      <c r="X90" s="7">
        <f>IFERROR(BDP(E90&amp;" Corp","YAS_YLD_SPREAD","YAS_BOND_PX="&amp;U90,"YAS_BNCHMRK_BOND_PX="&amp;W90),"--")</f>
        <v/>
      </c>
      <c r="Y90" s="7">
        <f>IFERROR(BDP(E90&amp;" Corp","BLOOMBERG_MID_G_SPREAD","YAS_BOND_PX="&amp;U90,"YAS_BNCHMRK_BOND_PX="&amp;W90),"--")</f>
        <v/>
      </c>
      <c r="Z90" s="7">
        <f>IFERROR(BDP(D90,"LAST_PRICE"),"--")</f>
        <v/>
      </c>
      <c r="AA90" s="7">
        <f>IFERROR(Z90-Y90,"--")</f>
        <v/>
      </c>
      <c r="AB90" s="8">
        <f>IFERROR((AA90-R90)/(S90-R90)*100,"--")</f>
        <v/>
      </c>
    </row>
    <row r="91">
      <c r="A91" t="inlineStr">
        <is>
          <t>PCG</t>
        </is>
      </c>
      <c r="B91" t="inlineStr">
        <is>
          <t>HY</t>
        </is>
      </c>
      <c r="C91" t="inlineStr">
        <is>
          <t>PCG 5 1/4 07/01/30</t>
        </is>
      </c>
      <c r="D91" t="inlineStr">
        <is>
          <t>PG&amp;E CDS USD SR 5Y D14 Corp</t>
        </is>
      </c>
      <c r="E91" t="inlineStr">
        <is>
          <t>US69331CAJ71</t>
        </is>
      </c>
      <c r="F91" s="2" t="n">
        <v>45659</v>
      </c>
      <c r="G91" s="2" t="n">
        <v>46225</v>
      </c>
      <c r="H91" s="2" t="n">
        <v>47837</v>
      </c>
      <c r="I91" s="3" t="n">
        <v>96.37479999999999</v>
      </c>
      <c r="J91" s="3" t="n">
        <v>103.7184</v>
      </c>
      <c r="K91" s="3" t="n">
        <v>138.69</v>
      </c>
      <c r="L91" s="3" t="n">
        <v>142.598</v>
      </c>
      <c r="M91" s="3" t="n">
        <v>-42.3152</v>
      </c>
      <c r="N91" s="3" t="n">
        <v>-86.3657</v>
      </c>
      <c r="O91" s="3" t="n">
        <v>17.36660000000001</v>
      </c>
      <c r="P91" s="4" t="n">
        <v>42.46555797953</v>
      </c>
      <c r="Q91" s="3" t="n">
        <v>-34.9716</v>
      </c>
      <c r="R91" s="3" t="n">
        <v>-82.19840000000002</v>
      </c>
      <c r="S91" s="3" t="n">
        <v>23.7492</v>
      </c>
      <c r="T91" s="4" t="n">
        <v>44.57562040102844</v>
      </c>
      <c r="U91" s="5">
        <f>IFERROR(BDP(E91&amp;" Corp","LAST_PRICE"),"--")</f>
        <v/>
      </c>
      <c r="V91" s="6">
        <f>IFERROR(BDP(E91&amp;" Corp","YAS_BENCHMARK_BOND_ISIN"),"--")</f>
        <v/>
      </c>
      <c r="W91" s="5">
        <f>IFERROR(BDP(V91&amp;" CORP","LAST_PRICE"),"--")</f>
        <v/>
      </c>
      <c r="X91" s="7">
        <f>IFERROR(BDP(E91&amp;" Corp","YAS_YLD_SPREAD","YAS_BOND_PX="&amp;U91,"YAS_BNCHMRK_BOND_PX="&amp;W91),"--")</f>
        <v/>
      </c>
      <c r="Y91" s="7">
        <f>IFERROR(BDP(E91&amp;" Corp","BLOOMBERG_MID_G_SPREAD","YAS_BOND_PX="&amp;U91,"YAS_BNCHMRK_BOND_PX="&amp;W91),"--")</f>
        <v/>
      </c>
      <c r="Z91" s="7">
        <f>IFERROR(BDP(D91,"LAST_PRICE"),"--")</f>
        <v/>
      </c>
      <c r="AA91" s="7">
        <f>IFERROR(Z91-Y91,"--")</f>
        <v/>
      </c>
      <c r="AB91" s="8">
        <f>IFERROR((AA91-R91)/(S91-R91)*100,"--")</f>
        <v/>
      </c>
    </row>
    <row r="92">
      <c r="A92" t="inlineStr">
        <is>
          <t>PFSI</t>
        </is>
      </c>
      <c r="B92" t="inlineStr">
        <is>
          <t>HY</t>
        </is>
      </c>
      <c r="C92" t="inlineStr">
        <is>
          <t>PFSI 7 1/8 11/15/30</t>
        </is>
      </c>
      <c r="D92" t="inlineStr">
        <is>
          <t>PFSI CDS USD SR 5Y D14 Corp</t>
        </is>
      </c>
      <c r="E92" t="inlineStr">
        <is>
          <t>US70932MAE75</t>
        </is>
      </c>
      <c r="F92" s="2" t="n">
        <v>46044</v>
      </c>
      <c r="G92" s="2" t="n">
        <v>46225</v>
      </c>
      <c r="H92" s="2" t="n">
        <v>47837</v>
      </c>
      <c r="I92" s="3" t="n">
        <v>163.3784</v>
      </c>
      <c r="J92" s="3" t="n">
        <v>180.4888</v>
      </c>
      <c r="K92" s="3" t="n">
        <v>228.871</v>
      </c>
      <c r="L92" s="3" t="n">
        <v>240.673</v>
      </c>
      <c r="M92" s="3" t="n">
        <v>-65.49260000000001</v>
      </c>
      <c r="N92" s="3" t="n">
        <v>-153.5158</v>
      </c>
      <c r="O92" s="3" t="n">
        <v>-59.946</v>
      </c>
      <c r="P92" s="4" t="n">
        <v>94.07223270756162</v>
      </c>
      <c r="Q92" s="3" t="n">
        <v>-48.38220000000001</v>
      </c>
      <c r="R92" s="3" t="n">
        <v>-139.3427</v>
      </c>
      <c r="S92" s="3" t="n">
        <v>-42.5513</v>
      </c>
      <c r="T92" s="4" t="n">
        <v>93.9758077680455</v>
      </c>
      <c r="U92" s="5">
        <f>IFERROR(BDP(E92&amp;" Corp","LAST_PRICE"),"--")</f>
        <v/>
      </c>
      <c r="V92" s="6">
        <f>IFERROR(BDP(E92&amp;" Corp","YAS_BENCHMARK_BOND_ISIN"),"--")</f>
        <v/>
      </c>
      <c r="W92" s="5">
        <f>IFERROR(BDP(V92&amp;" CORP","LAST_PRICE"),"--")</f>
        <v/>
      </c>
      <c r="X92" s="7">
        <f>IFERROR(BDP(E92&amp;" Corp","YAS_YLD_SPREAD","YAS_BOND_PX="&amp;U92,"YAS_BNCHMRK_BOND_PX="&amp;W92),"--")</f>
        <v/>
      </c>
      <c r="Y92" s="7">
        <f>IFERROR(BDP(E92&amp;" Corp","BLOOMBERG_MID_G_SPREAD","YAS_BOND_PX="&amp;U92,"YAS_BNCHMRK_BOND_PX="&amp;W92),"--")</f>
        <v/>
      </c>
      <c r="Z92" s="7">
        <f>IFERROR(BDP(D92,"LAST_PRICE"),"--")</f>
        <v/>
      </c>
      <c r="AA92" s="7">
        <f>IFERROR(Z92-Y92,"--")</f>
        <v/>
      </c>
      <c r="AB92" s="8">
        <f>IFERROR((AA92-R92)/(S92-R92)*100,"--")</f>
        <v/>
      </c>
    </row>
    <row r="93">
      <c r="A93" t="inlineStr">
        <is>
          <t>POST</t>
        </is>
      </c>
      <c r="B93" t="inlineStr">
        <is>
          <t>HY</t>
        </is>
      </c>
      <c r="C93" t="inlineStr">
        <is>
          <t>POST 6 1/4 02/15/32</t>
        </is>
      </c>
      <c r="D93" t="inlineStr">
        <is>
          <t>POST CDS USD SR 5Y D14 Corp</t>
        </is>
      </c>
      <c r="E93" t="inlineStr">
        <is>
          <t>USU7318UAV45</t>
        </is>
      </c>
      <c r="F93" s="2" t="n">
        <v>45659</v>
      </c>
      <c r="G93" s="2" t="n">
        <v>46225</v>
      </c>
      <c r="H93" s="2" t="n">
        <v>48385</v>
      </c>
      <c r="I93" s="3" t="n">
        <v>178.865</v>
      </c>
      <c r="J93" s="3" t="n">
        <v>143.7231</v>
      </c>
      <c r="K93" s="3" t="n">
        <v>154.414</v>
      </c>
      <c r="L93" s="3" t="n">
        <v>169.357</v>
      </c>
      <c r="M93" s="3" t="n">
        <v>24.45100000000002</v>
      </c>
      <c r="N93" s="3" t="n">
        <v>-30.86489999999998</v>
      </c>
      <c r="O93" s="3" t="n">
        <v>46.76270000000002</v>
      </c>
      <c r="P93" s="4" t="n">
        <v>71.25803193709453</v>
      </c>
      <c r="Q93" s="3" t="n">
        <v>-10.6909</v>
      </c>
      <c r="R93" s="3" t="n">
        <v>-56.4905</v>
      </c>
      <c r="S93" s="3" t="n">
        <v>21.51570000000001</v>
      </c>
      <c r="T93" s="4" t="n">
        <v>58.71276898502938</v>
      </c>
      <c r="U93" s="5">
        <f>IFERROR(BDP(E93&amp;" Corp","LAST_PRICE"),"--")</f>
        <v/>
      </c>
      <c r="V93" s="6">
        <f>IFERROR(BDP(E93&amp;" Corp","YAS_BENCHMARK_BOND_ISIN"),"--")</f>
        <v/>
      </c>
      <c r="W93" s="5">
        <f>IFERROR(BDP(V93&amp;" CORP","LAST_PRICE"),"--")</f>
        <v/>
      </c>
      <c r="X93" s="7">
        <f>IFERROR(BDP(E93&amp;" Corp","YAS_YLD_SPREAD","YAS_BOND_PX="&amp;U93,"YAS_BNCHMRK_BOND_PX="&amp;W93),"--")</f>
        <v/>
      </c>
      <c r="Y93" s="7">
        <f>IFERROR(BDP(E93&amp;" Corp","BLOOMBERG_MID_G_SPREAD","YAS_BOND_PX="&amp;U93,"YAS_BNCHMRK_BOND_PX="&amp;W93),"--")</f>
        <v/>
      </c>
      <c r="Z93" s="7">
        <f>IFERROR(BDP(D93,"LAST_PRICE"),"--")</f>
        <v/>
      </c>
      <c r="AA93" s="7">
        <f>IFERROR(Z93-Y93,"--")</f>
        <v/>
      </c>
      <c r="AB93" s="8">
        <f>IFERROR((AA93-R93)/(S93-R93)*100,"--")</f>
        <v/>
      </c>
    </row>
    <row r="94">
      <c r="A94" t="inlineStr">
        <is>
          <t>RGCARE</t>
        </is>
      </c>
      <c r="B94" t="inlineStr">
        <is>
          <t>HY</t>
        </is>
      </c>
      <c r="C94" t="inlineStr">
        <is>
          <t>RGCARE 10 06/01/32</t>
        </is>
      </c>
      <c r="D94" t="inlineStr">
        <is>
          <t>RGCARE CDS USD SR 5Y D14 Corp</t>
        </is>
      </c>
      <c r="E94" t="inlineStr">
        <is>
          <t>US53219LAX73</t>
        </is>
      </c>
      <c r="F94" s="2" t="n">
        <v>45659</v>
      </c>
      <c r="G94" s="2" t="n">
        <v>46225</v>
      </c>
      <c r="H94" s="2" t="n">
        <v>48385</v>
      </c>
      <c r="I94" s="3" t="n">
        <v>530.9195999999999</v>
      </c>
      <c r="J94" s="3" t="n">
        <v>484.3283</v>
      </c>
      <c r="K94" s="3" t="n">
        <v>647.208</v>
      </c>
      <c r="L94" s="3" t="n">
        <v>654.36</v>
      </c>
      <c r="M94" s="3" t="n">
        <v>-116.2884</v>
      </c>
      <c r="N94" s="3" t="n">
        <v>-202.9411</v>
      </c>
      <c r="O94" s="3" t="n">
        <v>-3.17229999999995</v>
      </c>
      <c r="P94" s="4" t="n">
        <v>43.37649322616943</v>
      </c>
      <c r="Q94" s="3" t="n">
        <v>-162.8797</v>
      </c>
      <c r="R94" s="3" t="n">
        <v>-249.421</v>
      </c>
      <c r="S94" s="3" t="n">
        <v>-43.92139999999995</v>
      </c>
      <c r="T94" s="4" t="n">
        <v>42.11263671559459</v>
      </c>
      <c r="U94" s="5">
        <f>IFERROR(BDP(E94&amp;" Corp","LAST_PRICE"),"--")</f>
        <v/>
      </c>
      <c r="V94" s="6">
        <f>IFERROR(BDP(E94&amp;" Corp","YAS_BENCHMARK_BOND_ISIN"),"--")</f>
        <v/>
      </c>
      <c r="W94" s="5">
        <f>IFERROR(BDP(V94&amp;" CORP","LAST_PRICE"),"--")</f>
        <v/>
      </c>
      <c r="X94" s="7">
        <f>IFERROR(BDP(E94&amp;" Corp","YAS_YLD_SPREAD","YAS_BOND_PX="&amp;U94,"YAS_BNCHMRK_BOND_PX="&amp;W94),"--")</f>
        <v/>
      </c>
      <c r="Y94" s="7">
        <f>IFERROR(BDP(E94&amp;" Corp","BLOOMBERG_MID_G_SPREAD","YAS_BOND_PX="&amp;U94,"YAS_BNCHMRK_BOND_PX="&amp;W94),"--")</f>
        <v/>
      </c>
      <c r="Z94" s="7">
        <f>IFERROR(BDP(D94,"LAST_PRICE"),"--")</f>
        <v/>
      </c>
      <c r="AA94" s="7">
        <f>IFERROR(Z94-Y94,"--")</f>
        <v/>
      </c>
      <c r="AB94" s="8">
        <f>IFERROR((AA94-R94)/(S94-R94)*100,"--")</f>
        <v/>
      </c>
    </row>
    <row r="95">
      <c r="A95" t="inlineStr">
        <is>
          <t>RIG</t>
        </is>
      </c>
      <c r="B95" t="inlineStr">
        <is>
          <t>HY</t>
        </is>
      </c>
      <c r="C95" t="inlineStr">
        <is>
          <t>RIG 7 1/2 04/15/31</t>
        </is>
      </c>
      <c r="D95" t="inlineStr">
        <is>
          <t>RIGINC CDS USD SR 5Y D14 Corp</t>
        </is>
      </c>
      <c r="E95" t="inlineStr">
        <is>
          <t>US893830AF64</t>
        </is>
      </c>
      <c r="F95" s="2" t="n">
        <v>45659</v>
      </c>
      <c r="G95" s="2" t="n">
        <v>46225</v>
      </c>
      <c r="H95" s="2" t="n">
        <v>48019</v>
      </c>
      <c r="I95" s="3" t="n">
        <v>214.3323</v>
      </c>
      <c r="J95" s="3" t="n">
        <v>214.3323</v>
      </c>
      <c r="K95" s="3" t="n">
        <v>260.917</v>
      </c>
      <c r="L95" s="3" t="n">
        <v>256.259</v>
      </c>
      <c r="M95" s="3" t="n">
        <v>-46.58469999999997</v>
      </c>
      <c r="N95" s="3" t="n">
        <v>-129.2331</v>
      </c>
      <c r="O95" s="3" t="n">
        <v>215.1771000000001</v>
      </c>
      <c r="P95" s="4" t="n">
        <v>23.99708254865856</v>
      </c>
      <c r="Q95" s="3" t="n">
        <v>-46.58469999999997</v>
      </c>
      <c r="R95" s="3" t="n">
        <v>-129.2331</v>
      </c>
      <c r="S95" s="3" t="n">
        <v>215.1771000000001</v>
      </c>
      <c r="T95" s="4" t="n">
        <v>23.99708254865856</v>
      </c>
      <c r="U95" s="5">
        <f>IFERROR(BDP(E95&amp;" Corp","LAST_PRICE"),"--")</f>
        <v/>
      </c>
      <c r="V95" s="6">
        <f>IFERROR(BDP(E95&amp;" Corp","YAS_BENCHMARK_BOND_ISIN"),"--")</f>
        <v/>
      </c>
      <c r="W95" s="5">
        <f>IFERROR(BDP(V95&amp;" CORP","LAST_PRICE"),"--")</f>
        <v/>
      </c>
      <c r="X95" s="7">
        <f>IFERROR(BDP(E95&amp;" Corp","YAS_YLD_SPREAD","YAS_BOND_PX="&amp;U95,"YAS_BNCHMRK_BOND_PX="&amp;W95),"--")</f>
        <v/>
      </c>
      <c r="Y95" s="7">
        <f>IFERROR(BDP(E95&amp;" Corp","BLOOMBERG_MID_G_SPREAD","YAS_BOND_PX="&amp;U95,"YAS_BNCHMRK_BOND_PX="&amp;W95),"--")</f>
        <v/>
      </c>
      <c r="Z95" s="7">
        <f>IFERROR(BDP(D95,"LAST_PRICE"),"--")</f>
        <v/>
      </c>
      <c r="AA95" s="7">
        <f>IFERROR(Z95-Y95,"--")</f>
        <v/>
      </c>
      <c r="AB95" s="8">
        <f>IFERROR((AA95-R95)/(S95-R95)*100,"--")</f>
        <v/>
      </c>
    </row>
    <row r="96">
      <c r="A96" t="inlineStr">
        <is>
          <t>RRD</t>
        </is>
      </c>
      <c r="B96" t="inlineStr">
        <is>
          <t>HY</t>
        </is>
      </c>
      <c r="C96" t="inlineStr">
        <is>
          <t>RRD 11 06/01/31</t>
        </is>
      </c>
      <c r="D96" t="inlineStr">
        <is>
          <t>RRD CDS USD SR 5Y D14 Corp</t>
        </is>
      </c>
      <c r="E96" t="inlineStr">
        <is>
          <t>US257867BL44</t>
        </is>
      </c>
      <c r="F96" s="2" t="n">
        <v>46163</v>
      </c>
      <c r="G96" s="2" t="n">
        <v>46225</v>
      </c>
      <c r="H96" s="2" t="n">
        <v>48019</v>
      </c>
      <c r="I96" s="3" t="n">
        <v>549.6828</v>
      </c>
      <c r="J96" s="3" t="n">
        <v>549.6828</v>
      </c>
      <c r="K96" s="3" t="n">
        <v>750.855</v>
      </c>
      <c r="L96" s="3" t="n">
        <v>758.446</v>
      </c>
      <c r="M96" s="3" t="n">
        <v>-201.1722</v>
      </c>
      <c r="N96" s="3" t="n">
        <v>-251.8553000000001</v>
      </c>
      <c r="O96" s="3" t="n">
        <v>-155.4048</v>
      </c>
      <c r="P96" s="4" t="n">
        <v>52.54830197873527</v>
      </c>
      <c r="Q96" s="3" t="n">
        <v>-201.1722</v>
      </c>
      <c r="R96" s="3" t="n">
        <v>-251.8553000000001</v>
      </c>
      <c r="S96" s="3" t="n">
        <v>-155.4048</v>
      </c>
      <c r="T96" s="4" t="n">
        <v>52.54830197873527</v>
      </c>
      <c r="U96" s="5">
        <f>IFERROR(BDP(E96&amp;" Corp","LAST_PRICE"),"--")</f>
        <v/>
      </c>
      <c r="V96" s="6">
        <f>IFERROR(BDP(E96&amp;" Corp","YAS_BENCHMARK_BOND_ISIN"),"--")</f>
        <v/>
      </c>
      <c r="W96" s="5">
        <f>IFERROR(BDP(V96&amp;" CORP","LAST_PRICE"),"--")</f>
        <v/>
      </c>
      <c r="X96" s="7">
        <f>IFERROR(BDP(E96&amp;" Corp","YAS_YLD_SPREAD","YAS_BOND_PX="&amp;U96,"YAS_BNCHMRK_BOND_PX="&amp;W96),"--")</f>
        <v/>
      </c>
      <c r="Y96" s="7">
        <f>IFERROR(BDP(E96&amp;" Corp","BLOOMBERG_MID_G_SPREAD","YAS_BOND_PX="&amp;U96,"YAS_BNCHMRK_BOND_PX="&amp;W96),"--")</f>
        <v/>
      </c>
      <c r="Z96" s="7">
        <f>IFERROR(BDP(D96,"LAST_PRICE"),"--")</f>
        <v/>
      </c>
      <c r="AA96" s="7">
        <f>IFERROR(Z96-Y96,"--")</f>
        <v/>
      </c>
      <c r="AB96" s="8">
        <f>IFERROR((AA96-R96)/(S96-R96)*100,"--")</f>
        <v/>
      </c>
    </row>
    <row r="97">
      <c r="A97" t="inlineStr">
        <is>
          <t>SABHLD</t>
        </is>
      </c>
      <c r="B97" t="inlineStr">
        <is>
          <t>HY</t>
        </is>
      </c>
      <c r="C97" t="inlineStr">
        <is>
          <t>SABHLD 11 1/8 07/15/30</t>
        </is>
      </c>
      <c r="D97" t="inlineStr">
        <is>
          <t>SABHLD CDS USD SR 5Y D14 Corp</t>
        </is>
      </c>
      <c r="E97" t="inlineStr">
        <is>
          <t>US78573NAM48</t>
        </is>
      </c>
      <c r="F97" s="2" t="n">
        <v>45798</v>
      </c>
      <c r="G97" s="2" t="n">
        <v>46225</v>
      </c>
      <c r="H97" s="2" t="n">
        <v>47837</v>
      </c>
      <c r="I97" s="3" t="n">
        <v>994.0881000000001</v>
      </c>
      <c r="J97" s="3" t="n">
        <v>990.2397</v>
      </c>
      <c r="K97" s="3" t="n">
        <v>879.544</v>
      </c>
      <c r="L97" s="3" t="n">
        <v>931.167</v>
      </c>
      <c r="M97" s="3" t="n">
        <v>114.5441000000001</v>
      </c>
      <c r="N97" s="3" t="n">
        <v>-212.3620000000001</v>
      </c>
      <c r="O97" s="3" t="n">
        <v>455.5565000000001</v>
      </c>
      <c r="P97" s="4" t="n">
        <v>48.94401038450051</v>
      </c>
      <c r="Q97" s="3" t="n">
        <v>110.6957</v>
      </c>
      <c r="R97" s="3" t="n">
        <v>-195.4793</v>
      </c>
      <c r="S97" s="3" t="n">
        <v>464.6536000000001</v>
      </c>
      <c r="T97" s="4" t="n">
        <v>46.38081210616831</v>
      </c>
      <c r="U97" s="5">
        <f>IFERROR(BDP(E97&amp;" Corp","LAST_PRICE"),"--")</f>
        <v/>
      </c>
      <c r="V97" s="6">
        <f>IFERROR(BDP(E97&amp;" Corp","YAS_BENCHMARK_BOND_ISIN"),"--")</f>
        <v/>
      </c>
      <c r="W97" s="5">
        <f>IFERROR(BDP(V97&amp;" CORP","LAST_PRICE"),"--")</f>
        <v/>
      </c>
      <c r="X97" s="7">
        <f>IFERROR(BDP(E97&amp;" Corp","YAS_YLD_SPREAD","YAS_BOND_PX="&amp;U97,"YAS_BNCHMRK_BOND_PX="&amp;W97),"--")</f>
        <v/>
      </c>
      <c r="Y97" s="7">
        <f>IFERROR(BDP(E97&amp;" Corp","BLOOMBERG_MID_G_SPREAD","YAS_BOND_PX="&amp;U97,"YAS_BNCHMRK_BOND_PX="&amp;W97),"--")</f>
        <v/>
      </c>
      <c r="Z97" s="7">
        <f>IFERROR(BDP(D97,"LAST_PRICE"),"--")</f>
        <v/>
      </c>
      <c r="AA97" s="7">
        <f>IFERROR(Z97-Y97,"--")</f>
        <v/>
      </c>
      <c r="AB97" s="8">
        <f>IFERROR((AA97-R97)/(S97-R97)*100,"--")</f>
        <v/>
      </c>
    </row>
    <row r="98">
      <c r="A98" t="inlineStr">
        <is>
          <t>SEE</t>
        </is>
      </c>
      <c r="B98" t="inlineStr">
        <is>
          <t>HY</t>
        </is>
      </c>
      <c r="C98" t="inlineStr">
        <is>
          <t>SEE 6 7/8 07/15/33</t>
        </is>
      </c>
      <c r="D98" t="inlineStr">
        <is>
          <t>SEE CDS USD SR 5Y D14 Corp</t>
        </is>
      </c>
      <c r="E98" t="inlineStr">
        <is>
          <t>US81211KAK60</t>
        </is>
      </c>
      <c r="F98" s="2" t="n">
        <v>45659</v>
      </c>
      <c r="G98" s="2" t="n">
        <v>46225</v>
      </c>
      <c r="H98" s="2" t="n">
        <v>48933</v>
      </c>
      <c r="I98" s="3" t="n">
        <v>249.4692</v>
      </c>
      <c r="J98" s="3" t="n">
        <v>194.8633</v>
      </c>
      <c r="K98" s="3" t="n">
        <v>268.347</v>
      </c>
      <c r="L98" s="3" t="n">
        <v>273.094</v>
      </c>
      <c r="M98" s="3" t="n">
        <v>-18.87779999999998</v>
      </c>
      <c r="N98" s="3" t="n">
        <v>-35.12810000000002</v>
      </c>
      <c r="O98" s="3" t="n">
        <v>210.0888</v>
      </c>
      <c r="P98" s="4" t="n">
        <v>6.626908667387949</v>
      </c>
      <c r="Q98" s="3" t="n">
        <v>-73.48369999999997</v>
      </c>
      <c r="R98" s="3" t="n">
        <v>-73.48369999999997</v>
      </c>
      <c r="S98" s="3" t="n">
        <v>161.2416</v>
      </c>
      <c r="T98" s="4" t="n">
        <v>0</v>
      </c>
      <c r="U98" s="5">
        <f>IFERROR(BDP(E98&amp;" Corp","LAST_PRICE"),"--")</f>
        <v/>
      </c>
      <c r="V98" s="6">
        <f>IFERROR(BDP(E98&amp;" Corp","YAS_BENCHMARK_BOND_ISIN"),"--")</f>
        <v/>
      </c>
      <c r="W98" s="5">
        <f>IFERROR(BDP(V98&amp;" CORP","LAST_PRICE"),"--")</f>
        <v/>
      </c>
      <c r="X98" s="7">
        <f>IFERROR(BDP(E98&amp;" Corp","YAS_YLD_SPREAD","YAS_BOND_PX="&amp;U98,"YAS_BNCHMRK_BOND_PX="&amp;W98),"--")</f>
        <v/>
      </c>
      <c r="Y98" s="7">
        <f>IFERROR(BDP(E98&amp;" Corp","BLOOMBERG_MID_G_SPREAD","YAS_BOND_PX="&amp;U98,"YAS_BNCHMRK_BOND_PX="&amp;W98),"--")</f>
        <v/>
      </c>
      <c r="Z98" s="7">
        <f>IFERROR(BDP(D98,"LAST_PRICE"),"--")</f>
        <v/>
      </c>
      <c r="AA98" s="7">
        <f>IFERROR(Z98-Y98,"--")</f>
        <v/>
      </c>
      <c r="AB98" s="8">
        <f>IFERROR((AA98-R98)/(S98-R98)*100,"--")</f>
        <v/>
      </c>
    </row>
    <row r="99">
      <c r="A99" t="inlineStr">
        <is>
          <t>SIRI</t>
        </is>
      </c>
      <c r="B99" t="inlineStr">
        <is>
          <t>HY</t>
        </is>
      </c>
      <c r="C99" t="inlineStr">
        <is>
          <t>SIRI 3 7/8 09/01/31</t>
        </is>
      </c>
      <c r="D99" t="inlineStr">
        <is>
          <t>SIRI CDS USD SR 5Y D14 Corp</t>
        </is>
      </c>
      <c r="E99" t="inlineStr">
        <is>
          <t>US82967NBM92</t>
        </is>
      </c>
      <c r="F99" s="2" t="n">
        <v>45659</v>
      </c>
      <c r="G99" s="2" t="n">
        <v>46225</v>
      </c>
      <c r="H99" s="2" t="n">
        <v>48202</v>
      </c>
      <c r="I99" s="3" t="n">
        <v>174.0336</v>
      </c>
      <c r="J99" s="3" t="n">
        <v>149.8045</v>
      </c>
      <c r="K99" s="3" t="n">
        <v>160.63</v>
      </c>
      <c r="L99" s="3" t="n">
        <v>173.469</v>
      </c>
      <c r="M99" s="3" t="n">
        <v>13.40360000000001</v>
      </c>
      <c r="N99" s="3" t="n">
        <v>-17.196</v>
      </c>
      <c r="O99" s="3" t="n">
        <v>65.47929999999999</v>
      </c>
      <c r="P99" s="4" t="n">
        <v>37.01177981815611</v>
      </c>
      <c r="Q99" s="3" t="n">
        <v>-10.82550000000001</v>
      </c>
      <c r="R99" s="3" t="n">
        <v>-23.9015</v>
      </c>
      <c r="S99" s="3" t="n">
        <v>40.4573</v>
      </c>
      <c r="T99" s="4" t="n">
        <v>20.31734587966213</v>
      </c>
      <c r="U99" s="5">
        <f>IFERROR(BDP(E99&amp;" Corp","LAST_PRICE"),"--")</f>
        <v/>
      </c>
      <c r="V99" s="6">
        <f>IFERROR(BDP(E99&amp;" Corp","YAS_BENCHMARK_BOND_ISIN"),"--")</f>
        <v/>
      </c>
      <c r="W99" s="5">
        <f>IFERROR(BDP(V99&amp;" CORP","LAST_PRICE"),"--")</f>
        <v/>
      </c>
      <c r="X99" s="7">
        <f>IFERROR(BDP(E99&amp;" Corp","YAS_YLD_SPREAD","YAS_BOND_PX="&amp;U99,"YAS_BNCHMRK_BOND_PX="&amp;W99),"--")</f>
        <v/>
      </c>
      <c r="Y99" s="7">
        <f>IFERROR(BDP(E99&amp;" Corp","BLOOMBERG_MID_G_SPREAD","YAS_BOND_PX="&amp;U99,"YAS_BNCHMRK_BOND_PX="&amp;W99),"--")</f>
        <v/>
      </c>
      <c r="Z99" s="7">
        <f>IFERROR(BDP(D99,"LAST_PRICE"),"--")</f>
        <v/>
      </c>
      <c r="AA99" s="7">
        <f>IFERROR(Z99-Y99,"--")</f>
        <v/>
      </c>
      <c r="AB99" s="8">
        <f>IFERROR((AA99-R99)/(S99-R99)*100,"--")</f>
        <v/>
      </c>
    </row>
    <row r="100">
      <c r="A100" t="inlineStr">
        <is>
          <t>SM</t>
        </is>
      </c>
      <c r="B100" t="inlineStr">
        <is>
          <t>HY</t>
        </is>
      </c>
      <c r="C100" t="inlineStr">
        <is>
          <t>SM 7 08/01/32</t>
        </is>
      </c>
      <c r="D100" t="inlineStr">
        <is>
          <t>CZ061015 Curncy</t>
        </is>
      </c>
      <c r="E100" t="inlineStr">
        <is>
          <t>US78454LAY65</t>
        </is>
      </c>
      <c r="F100" s="2" t="n">
        <v>46070</v>
      </c>
      <c r="G100" s="2" t="n">
        <v>46225</v>
      </c>
      <c r="H100" s="2" t="n">
        <v>48568</v>
      </c>
      <c r="I100" s="3" t="n">
        <v>173.8989</v>
      </c>
      <c r="J100" s="3" t="n">
        <v>150</v>
      </c>
      <c r="K100" s="3" t="n">
        <v>202.537</v>
      </c>
      <c r="L100" s="3" t="n">
        <v>210.849</v>
      </c>
      <c r="M100" s="3" t="n">
        <v>-28.63810000000001</v>
      </c>
      <c r="N100" s="3" t="n">
        <v>-91.02569999999997</v>
      </c>
      <c r="O100" s="3" t="n">
        <v>-13.07249999999999</v>
      </c>
      <c r="P100" s="4" t="n">
        <v>80.03212183720485</v>
      </c>
      <c r="Q100" s="3" t="n">
        <v>-52.53700000000001</v>
      </c>
      <c r="R100" s="3" t="n">
        <v>-114.5104</v>
      </c>
      <c r="S100" s="3" t="n">
        <v>-38.6705</v>
      </c>
      <c r="T100" s="4" t="n">
        <v>81.71608876066556</v>
      </c>
      <c r="U100" s="5">
        <f>IFERROR(BDP(E100&amp;" Corp","LAST_PRICE"),"--")</f>
        <v/>
      </c>
      <c r="V100" s="6">
        <f>IFERROR(BDP(E100&amp;" Corp","YAS_BENCHMARK_BOND_ISIN"),"--")</f>
        <v/>
      </c>
      <c r="W100" s="5">
        <f>IFERROR(BDP(V100&amp;" CORP","LAST_PRICE"),"--")</f>
        <v/>
      </c>
      <c r="X100" s="7">
        <f>IFERROR(BDP(E100&amp;" Corp","YAS_YLD_SPREAD","YAS_BOND_PX="&amp;U100,"YAS_BNCHMRK_BOND_PX="&amp;W100),"--")</f>
        <v/>
      </c>
      <c r="Y100" s="7">
        <f>IFERROR(BDP(E100&amp;" Corp","BLOOMBERG_MID_G_SPREAD","YAS_BOND_PX="&amp;U100,"YAS_BNCHMRK_BOND_PX="&amp;W100),"--")</f>
        <v/>
      </c>
      <c r="Z100" s="7">
        <f>IFERROR(BDP(D100,"LAST_PRICE"),"--")</f>
        <v/>
      </c>
      <c r="AA100" s="7">
        <f>IFERROR(Z100-Y100,"--")</f>
        <v/>
      </c>
      <c r="AB100" s="8">
        <f>IFERROR((AA100-R100)/(S100-R100)*100,"--")</f>
        <v/>
      </c>
    </row>
    <row r="101">
      <c r="A101" t="inlineStr">
        <is>
          <t>SPLS</t>
        </is>
      </c>
      <c r="B101" t="inlineStr">
        <is>
          <t>HY</t>
        </is>
      </c>
      <c r="C101" t="inlineStr">
        <is>
          <t>SPLS 12 3/4 01/15/30</t>
        </is>
      </c>
      <c r="D101" t="inlineStr">
        <is>
          <t>SPLS CDS USD SR 5Y D14 Corp</t>
        </is>
      </c>
      <c r="E101" t="inlineStr">
        <is>
          <t>US855030AS17</t>
        </is>
      </c>
      <c r="F101" s="2" t="n">
        <v>45659</v>
      </c>
      <c r="G101" s="2" t="n">
        <v>46225</v>
      </c>
      <c r="H101" s="2" t="n">
        <v>47654</v>
      </c>
      <c r="I101" s="3" t="n">
        <v>1765.5551</v>
      </c>
      <c r="J101" s="3" t="n">
        <v>1841.9325</v>
      </c>
      <c r="K101" s="3" t="n">
        <v>1751.47</v>
      </c>
      <c r="L101" s="3" t="n">
        <v>1753.245</v>
      </c>
      <c r="M101" s="3" t="n">
        <v>14.08510000000001</v>
      </c>
      <c r="N101" s="3" t="n">
        <v>-448.4674</v>
      </c>
      <c r="O101" s="3" t="n">
        <v>1907.8906</v>
      </c>
      <c r="P101" s="4" t="n">
        <v>19.62997558096011</v>
      </c>
      <c r="Q101" s="3" t="n">
        <v>90.46249999999986</v>
      </c>
      <c r="R101" s="3" t="n">
        <v>-180.1103000000001</v>
      </c>
      <c r="S101" s="3" t="n">
        <v>1837.3585</v>
      </c>
      <c r="T101" s="4" t="n">
        <v>13.41149860657077</v>
      </c>
      <c r="U101" s="5">
        <f>IFERROR(BDP(E101&amp;" Corp","LAST_PRICE"),"--")</f>
        <v/>
      </c>
      <c r="V101" s="6">
        <f>IFERROR(BDP(E101&amp;" Corp","YAS_BENCHMARK_BOND_ISIN"),"--")</f>
        <v/>
      </c>
      <c r="W101" s="5">
        <f>IFERROR(BDP(V101&amp;" CORP","LAST_PRICE"),"--")</f>
        <v/>
      </c>
      <c r="X101" s="7">
        <f>IFERROR(BDP(E101&amp;" Corp","YAS_YLD_SPREAD","YAS_BOND_PX="&amp;U101,"YAS_BNCHMRK_BOND_PX="&amp;W101),"--")</f>
        <v/>
      </c>
      <c r="Y101" s="7">
        <f>IFERROR(BDP(E101&amp;" Corp","BLOOMBERG_MID_G_SPREAD","YAS_BOND_PX="&amp;U101,"YAS_BNCHMRK_BOND_PX="&amp;W101),"--")</f>
        <v/>
      </c>
      <c r="Z101" s="7">
        <f>IFERROR(BDP(D101,"LAST_PRICE"),"--")</f>
        <v/>
      </c>
      <c r="AA101" s="7">
        <f>IFERROR(Z101-Y101,"--")</f>
        <v/>
      </c>
      <c r="AB101" s="8">
        <f>IFERROR((AA101-R101)/(S101-R101)*100,"--")</f>
        <v/>
      </c>
    </row>
    <row r="102">
      <c r="A102" t="inlineStr">
        <is>
          <t>SVC</t>
        </is>
      </c>
      <c r="B102" t="inlineStr">
        <is>
          <t>HY</t>
        </is>
      </c>
      <c r="C102" t="inlineStr">
        <is>
          <t>SVC 4 3/8 02/15/30</t>
        </is>
      </c>
      <c r="D102" t="inlineStr">
        <is>
          <t>HPT CDS USD SR 5Y D14 Corp</t>
        </is>
      </c>
      <c r="E102" t="inlineStr">
        <is>
          <t>US44106MAY84</t>
        </is>
      </c>
      <c r="F102" s="2" t="n">
        <v>45659</v>
      </c>
      <c r="G102" s="2" t="n">
        <v>46225</v>
      </c>
      <c r="H102" s="2" t="n">
        <v>47654</v>
      </c>
      <c r="I102" s="3" t="n">
        <v>291.8171</v>
      </c>
      <c r="J102" s="3" t="n">
        <v>341.8398</v>
      </c>
      <c r="K102" s="3" t="n">
        <v>299.825</v>
      </c>
      <c r="L102" s="3" t="n">
        <v>299.923</v>
      </c>
      <c r="M102" s="3" t="n">
        <v>-8.007900000000006</v>
      </c>
      <c r="N102" s="3" t="n">
        <v>-126.287</v>
      </c>
      <c r="O102" s="3" t="n">
        <v>119.1638</v>
      </c>
      <c r="P102" s="4" t="n">
        <v>48.1885168025527</v>
      </c>
      <c r="Q102" s="3" t="n">
        <v>42.01480000000004</v>
      </c>
      <c r="R102" s="3" t="n">
        <v>-96.06940000000009</v>
      </c>
      <c r="S102" s="3" t="n">
        <v>192.972</v>
      </c>
      <c r="T102" s="4" t="n">
        <v>47.77315637137104</v>
      </c>
      <c r="U102" s="5">
        <f>IFERROR(BDP(E102&amp;" Corp","LAST_PRICE"),"--")</f>
        <v/>
      </c>
      <c r="V102" s="6">
        <f>IFERROR(BDP(E102&amp;" Corp","YAS_BENCHMARK_BOND_ISIN"),"--")</f>
        <v/>
      </c>
      <c r="W102" s="5">
        <f>IFERROR(BDP(V102&amp;" CORP","LAST_PRICE"),"--")</f>
        <v/>
      </c>
      <c r="X102" s="7">
        <f>IFERROR(BDP(E102&amp;" Corp","YAS_YLD_SPREAD","YAS_BOND_PX="&amp;U102,"YAS_BNCHMRK_BOND_PX="&amp;W102),"--")</f>
        <v/>
      </c>
      <c r="Y102" s="7">
        <f>IFERROR(BDP(E102&amp;" Corp","BLOOMBERG_MID_G_SPREAD","YAS_BOND_PX="&amp;U102,"YAS_BNCHMRK_BOND_PX="&amp;W102),"--")</f>
        <v/>
      </c>
      <c r="Z102" s="7">
        <f>IFERROR(BDP(D102,"LAST_PRICE"),"--")</f>
        <v/>
      </c>
      <c r="AA102" s="7">
        <f>IFERROR(Z102-Y102,"--")</f>
        <v/>
      </c>
      <c r="AB102" s="8">
        <f>IFERROR((AA102-R102)/(S102-R102)*100,"--")</f>
        <v/>
      </c>
    </row>
    <row r="103">
      <c r="A103" t="inlineStr">
        <is>
          <t>SWY</t>
        </is>
      </c>
      <c r="B103" t="inlineStr">
        <is>
          <t>HY</t>
        </is>
      </c>
      <c r="C103" t="inlineStr">
        <is>
          <t>SWY 7 1/4 02/01/31</t>
        </is>
      </c>
      <c r="D103" t="inlineStr">
        <is>
          <t>SWY CDS USD SR 5Y D14 Corp</t>
        </is>
      </c>
      <c r="E103" t="inlineStr">
        <is>
          <t>US786514BA67</t>
        </is>
      </c>
      <c r="F103" s="2" t="n">
        <v>45659</v>
      </c>
      <c r="G103" s="2" t="n">
        <v>46225</v>
      </c>
      <c r="H103" s="2" t="n">
        <v>48019</v>
      </c>
      <c r="I103" s="3" t="n">
        <v>116.9929</v>
      </c>
      <c r="J103" s="3" t="n">
        <v>116.9929</v>
      </c>
      <c r="K103" s="3" t="n">
        <v>134.478</v>
      </c>
      <c r="L103" s="3" t="n">
        <v>153.903</v>
      </c>
      <c r="M103" s="3" t="n">
        <v>-17.4851</v>
      </c>
      <c r="N103" s="3" t="n">
        <v>-206.4379</v>
      </c>
      <c r="O103" s="3" t="n">
        <v>-9.986699999999985</v>
      </c>
      <c r="P103" s="4" t="n">
        <v>96.18307243732794</v>
      </c>
      <c r="Q103" s="3" t="n">
        <v>-17.4851</v>
      </c>
      <c r="R103" s="3" t="n">
        <v>-206.4379</v>
      </c>
      <c r="S103" s="3" t="n">
        <v>-9.986699999999985</v>
      </c>
      <c r="T103" s="4" t="n">
        <v>96.18307243732794</v>
      </c>
      <c r="U103" s="5">
        <f>IFERROR(BDP(E103&amp;" Corp","LAST_PRICE"),"--")</f>
        <v/>
      </c>
      <c r="V103" s="6">
        <f>IFERROR(BDP(E103&amp;" Corp","YAS_BENCHMARK_BOND_ISIN"),"--")</f>
        <v/>
      </c>
      <c r="W103" s="5">
        <f>IFERROR(BDP(V103&amp;" CORP","LAST_PRICE"),"--")</f>
        <v/>
      </c>
      <c r="X103" s="7">
        <f>IFERROR(BDP(E103&amp;" Corp","YAS_YLD_SPREAD","YAS_BOND_PX="&amp;U103,"YAS_BNCHMRK_BOND_PX="&amp;W103),"--")</f>
        <v/>
      </c>
      <c r="Y103" s="7">
        <f>IFERROR(BDP(E103&amp;" Corp","BLOOMBERG_MID_G_SPREAD","YAS_BOND_PX="&amp;U103,"YAS_BNCHMRK_BOND_PX="&amp;W103),"--")</f>
        <v/>
      </c>
      <c r="Z103" s="7">
        <f>IFERROR(BDP(D103,"LAST_PRICE"),"--")</f>
        <v/>
      </c>
      <c r="AA103" s="7">
        <f>IFERROR(Z103-Y103,"--")</f>
        <v/>
      </c>
      <c r="AB103" s="8">
        <f>IFERROR((AA103-R103)/(S103-R103)*100,"--")</f>
        <v/>
      </c>
    </row>
    <row r="104">
      <c r="A104" t="inlineStr">
        <is>
          <t>TDG</t>
        </is>
      </c>
      <c r="B104" t="inlineStr">
        <is>
          <t>HY</t>
        </is>
      </c>
      <c r="C104" t="inlineStr">
        <is>
          <t>TDG 6 3/8 05/31/33</t>
        </is>
      </c>
      <c r="D104" t="inlineStr">
        <is>
          <t>TDG CDS USD SUB 5Y D14 Corp</t>
        </is>
      </c>
      <c r="E104" t="inlineStr">
        <is>
          <t>US893647BY22</t>
        </is>
      </c>
      <c r="F104" s="2" t="n">
        <v>45791</v>
      </c>
      <c r="G104" s="2" t="n">
        <v>46225</v>
      </c>
      <c r="H104" s="2" t="n">
        <v>48750</v>
      </c>
      <c r="I104" s="3" t="n">
        <v>124.315</v>
      </c>
      <c r="J104" s="3" t="n">
        <v>98.3809</v>
      </c>
      <c r="K104" s="3" t="n">
        <v>188.319</v>
      </c>
      <c r="L104" s="3" t="n">
        <v>193.975</v>
      </c>
      <c r="M104" s="3" t="n">
        <v>-64.00399999999999</v>
      </c>
      <c r="N104" s="3" t="n">
        <v>-125.9373</v>
      </c>
      <c r="O104" s="3" t="n">
        <v>-42.74369999999999</v>
      </c>
      <c r="P104" s="4" t="n">
        <v>74.44478902223248</v>
      </c>
      <c r="Q104" s="3" t="n">
        <v>-89.93809999999999</v>
      </c>
      <c r="R104" s="3" t="n">
        <v>-142.4498</v>
      </c>
      <c r="S104" s="3" t="n">
        <v>-66.67840000000001</v>
      </c>
      <c r="T104" s="4" t="n">
        <v>69.30279762548932</v>
      </c>
      <c r="U104" s="5">
        <f>IFERROR(BDP(E104&amp;" Corp","LAST_PRICE"),"--")</f>
        <v/>
      </c>
      <c r="V104" s="6">
        <f>IFERROR(BDP(E104&amp;" Corp","YAS_BENCHMARK_BOND_ISIN"),"--")</f>
        <v/>
      </c>
      <c r="W104" s="5">
        <f>IFERROR(BDP(V104&amp;" CORP","LAST_PRICE"),"--")</f>
        <v/>
      </c>
      <c r="X104" s="7">
        <f>IFERROR(BDP(E104&amp;" Corp","YAS_YLD_SPREAD","YAS_BOND_PX="&amp;U104,"YAS_BNCHMRK_BOND_PX="&amp;W104),"--")</f>
        <v/>
      </c>
      <c r="Y104" s="7">
        <f>IFERROR(BDP(E104&amp;" Corp","BLOOMBERG_MID_G_SPREAD","YAS_BOND_PX="&amp;U104,"YAS_BNCHMRK_BOND_PX="&amp;W104),"--")</f>
        <v/>
      </c>
      <c r="Z104" s="7">
        <f>IFERROR(BDP(D104,"LAST_PRICE"),"--")</f>
        <v/>
      </c>
      <c r="AA104" s="7">
        <f>IFERROR(Z104-Y104,"--")</f>
        <v/>
      </c>
      <c r="AB104" s="8">
        <f>IFERROR((AA104-R104)/(S104-R104)*100,"--")</f>
        <v/>
      </c>
    </row>
    <row r="105">
      <c r="A105" t="inlineStr">
        <is>
          <t>TEVA</t>
        </is>
      </c>
      <c r="B105" t="inlineStr">
        <is>
          <t>HY</t>
        </is>
      </c>
      <c r="C105" t="inlineStr">
        <is>
          <t>TEVA 6 12/01/32</t>
        </is>
      </c>
      <c r="D105" t="inlineStr">
        <is>
          <t>TEVVF CDS USD SR 5Y D14 Corp</t>
        </is>
      </c>
      <c r="E105" t="inlineStr">
        <is>
          <t>US88167AAT88</t>
        </is>
      </c>
      <c r="F105" s="2" t="n">
        <v>45797</v>
      </c>
      <c r="G105" s="2" t="n">
        <v>46225</v>
      </c>
      <c r="H105" s="2" t="n">
        <v>48568</v>
      </c>
      <c r="I105" s="3" t="n">
        <v>87.6238</v>
      </c>
      <c r="J105" s="3" t="n">
        <v>70.6422</v>
      </c>
      <c r="K105" s="3" t="n">
        <v>95.373</v>
      </c>
      <c r="L105" s="3" t="n">
        <v>105.339</v>
      </c>
      <c r="M105" s="3" t="n">
        <v>-7.749200000000002</v>
      </c>
      <c r="N105" s="3" t="n">
        <v>-51.0069</v>
      </c>
      <c r="O105" s="3" t="n">
        <v>0.8993000000000109</v>
      </c>
      <c r="P105" s="4" t="n">
        <v>83.33821393205434</v>
      </c>
      <c r="Q105" s="3" t="n">
        <v>-24.7308</v>
      </c>
      <c r="R105" s="3" t="n">
        <v>-62.1952</v>
      </c>
      <c r="S105" s="3" t="n">
        <v>-17.69149999999999</v>
      </c>
      <c r="T105" s="4" t="n">
        <v>84.18266346393668</v>
      </c>
      <c r="U105" s="5">
        <f>IFERROR(BDP(E105&amp;" Corp","LAST_PRICE"),"--")</f>
        <v/>
      </c>
      <c r="V105" s="6">
        <f>IFERROR(BDP(E105&amp;" Corp","YAS_BENCHMARK_BOND_ISIN"),"--")</f>
        <v/>
      </c>
      <c r="W105" s="5">
        <f>IFERROR(BDP(V105&amp;" CORP","LAST_PRICE"),"--")</f>
        <v/>
      </c>
      <c r="X105" s="7">
        <f>IFERROR(BDP(E105&amp;" Corp","YAS_YLD_SPREAD","YAS_BOND_PX="&amp;U105,"YAS_BNCHMRK_BOND_PX="&amp;W105),"--")</f>
        <v/>
      </c>
      <c r="Y105" s="7">
        <f>IFERROR(BDP(E105&amp;" Corp","BLOOMBERG_MID_G_SPREAD","YAS_BOND_PX="&amp;U105,"YAS_BNCHMRK_BOND_PX="&amp;W105),"--")</f>
        <v/>
      </c>
      <c r="Z105" s="7">
        <f>IFERROR(BDP(D105,"LAST_PRICE"),"--")</f>
        <v/>
      </c>
      <c r="AA105" s="7">
        <f>IFERROR(Z105-Y105,"--")</f>
        <v/>
      </c>
      <c r="AB105" s="8">
        <f>IFERROR((AA105-R105)/(S105-R105)*100,"--")</f>
        <v/>
      </c>
    </row>
    <row r="106">
      <c r="A106" t="inlineStr">
        <is>
          <t>THC</t>
        </is>
      </c>
      <c r="B106" t="inlineStr">
        <is>
          <t>HY</t>
        </is>
      </c>
      <c r="C106" t="inlineStr">
        <is>
          <t>THC 6 11/15/33</t>
        </is>
      </c>
      <c r="D106" t="inlineStr">
        <is>
          <t>THC CDS USD SR 5Y D14 Corp</t>
        </is>
      </c>
      <c r="E106" t="inlineStr">
        <is>
          <t>USU88030BP28</t>
        </is>
      </c>
      <c r="F106" s="2" t="n">
        <v>45965</v>
      </c>
      <c r="G106" s="2" t="n">
        <v>46225</v>
      </c>
      <c r="H106" s="2" t="n">
        <v>48933</v>
      </c>
      <c r="I106" s="3" t="n">
        <v>159.4579</v>
      </c>
      <c r="J106" s="3" t="n">
        <v>108.4999</v>
      </c>
      <c r="K106" s="3" t="n">
        <v>151.894</v>
      </c>
      <c r="L106" s="3" t="n">
        <v>152.395</v>
      </c>
      <c r="M106" s="3" t="n">
        <v>7.56389999999999</v>
      </c>
      <c r="N106" s="3" t="n">
        <v>-60.5958</v>
      </c>
      <c r="O106" s="3" t="n">
        <v>18.2568</v>
      </c>
      <c r="P106" s="4" t="n">
        <v>86.43938183395346</v>
      </c>
      <c r="Q106" s="3" t="n">
        <v>-43.39410000000001</v>
      </c>
      <c r="R106" s="3" t="n">
        <v>-97.729</v>
      </c>
      <c r="S106" s="3" t="n">
        <v>-28.79600000000001</v>
      </c>
      <c r="T106" s="4" t="n">
        <v>78.82276993602483</v>
      </c>
      <c r="U106" s="5">
        <f>IFERROR(BDP(E106&amp;" Corp","LAST_PRICE"),"--")</f>
        <v/>
      </c>
      <c r="V106" s="6">
        <f>IFERROR(BDP(E106&amp;" Corp","YAS_BENCHMARK_BOND_ISIN"),"--")</f>
        <v/>
      </c>
      <c r="W106" s="5">
        <f>IFERROR(BDP(V106&amp;" CORP","LAST_PRICE"),"--")</f>
        <v/>
      </c>
      <c r="X106" s="7">
        <f>IFERROR(BDP(E106&amp;" Corp","YAS_YLD_SPREAD","YAS_BOND_PX="&amp;U106,"YAS_BNCHMRK_BOND_PX="&amp;W106),"--")</f>
        <v/>
      </c>
      <c r="Y106" s="7">
        <f>IFERROR(BDP(E106&amp;" Corp","BLOOMBERG_MID_G_SPREAD","YAS_BOND_PX="&amp;U106,"YAS_BNCHMRK_BOND_PX="&amp;W106),"--")</f>
        <v/>
      </c>
      <c r="Z106" s="7">
        <f>IFERROR(BDP(D106,"LAST_PRICE"),"--")</f>
        <v/>
      </c>
      <c r="AA106" s="7">
        <f>IFERROR(Z106-Y106,"--")</f>
        <v/>
      </c>
      <c r="AB106" s="8">
        <f>IFERROR((AA106-R106)/(S106-R106)*100,"--")</f>
        <v/>
      </c>
    </row>
    <row r="107">
      <c r="A107" t="inlineStr">
        <is>
          <t>TIBX</t>
        </is>
      </c>
      <c r="B107" t="inlineStr">
        <is>
          <t>HY</t>
        </is>
      </c>
      <c r="C107" t="inlineStr">
        <is>
          <t>TIBX 9 09/30/29</t>
        </is>
      </c>
      <c r="D107" t="inlineStr">
        <is>
          <t>TIBX CDS USD SR 5Y D14 Corp</t>
        </is>
      </c>
      <c r="E107" t="inlineStr">
        <is>
          <t>USU18898AA16</t>
        </is>
      </c>
      <c r="F107" s="2" t="n">
        <v>45659</v>
      </c>
      <c r="G107" s="2" t="n">
        <v>46225</v>
      </c>
      <c r="H107" s="2" t="n">
        <v>47472</v>
      </c>
      <c r="I107" s="3" t="n">
        <v>392.7587</v>
      </c>
      <c r="J107" s="3" t="n">
        <v>519.539</v>
      </c>
      <c r="K107" s="3" t="n">
        <v>569.551</v>
      </c>
      <c r="L107" s="3" t="n">
        <v>538.3819999999999</v>
      </c>
      <c r="M107" s="3" t="n">
        <v>-176.7923000000001</v>
      </c>
      <c r="N107" s="3" t="n">
        <v>-255.7213</v>
      </c>
      <c r="O107" s="3" t="n">
        <v>-37.60379999999998</v>
      </c>
      <c r="P107" s="4" t="n">
        <v>36.18645913326529</v>
      </c>
      <c r="Q107" s="3" t="n">
        <v>-50.01200000000006</v>
      </c>
      <c r="R107" s="3" t="n">
        <v>-192.8659</v>
      </c>
      <c r="S107" s="3" t="n">
        <v>71.1728</v>
      </c>
      <c r="T107" s="4" t="n">
        <v>54.10339469176297</v>
      </c>
      <c r="U107" s="5">
        <f>IFERROR(BDP(E107&amp;" Corp","LAST_PRICE"),"--")</f>
        <v/>
      </c>
      <c r="V107" s="6">
        <f>IFERROR(BDP(E107&amp;" Corp","YAS_BENCHMARK_BOND_ISIN"),"--")</f>
        <v/>
      </c>
      <c r="W107" s="5">
        <f>IFERROR(BDP(V107&amp;" CORP","LAST_PRICE"),"--")</f>
        <v/>
      </c>
      <c r="X107" s="7">
        <f>IFERROR(BDP(E107&amp;" Corp","YAS_YLD_SPREAD","YAS_BOND_PX="&amp;U107,"YAS_BNCHMRK_BOND_PX="&amp;W107),"--")</f>
        <v/>
      </c>
      <c r="Y107" s="7">
        <f>IFERROR(BDP(E107&amp;" Corp","BLOOMBERG_MID_G_SPREAD","YAS_BOND_PX="&amp;U107,"YAS_BNCHMRK_BOND_PX="&amp;W107),"--")</f>
        <v/>
      </c>
      <c r="Z107" s="7">
        <f>IFERROR(BDP(D107,"LAST_PRICE"),"--")</f>
        <v/>
      </c>
      <c r="AA107" s="7">
        <f>IFERROR(Z107-Y107,"--")</f>
        <v/>
      </c>
      <c r="AB107" s="8">
        <f>IFERROR((AA107-R107)/(S107-R107)*100,"--")</f>
        <v/>
      </c>
    </row>
    <row r="108">
      <c r="A108" t="inlineStr">
        <is>
          <t>UAL</t>
        </is>
      </c>
      <c r="B108" t="inlineStr">
        <is>
          <t>HY</t>
        </is>
      </c>
      <c r="C108" t="inlineStr">
        <is>
          <t>UAL 5 3/8 03/01/31</t>
        </is>
      </c>
      <c r="D108" t="inlineStr">
        <is>
          <t>UAUA CDS USD SR 5Y D14 Corp</t>
        </is>
      </c>
      <c r="E108" t="inlineStr">
        <is>
          <t>US910047AL34</t>
        </is>
      </c>
      <c r="F108" s="2" t="n">
        <v>46050</v>
      </c>
      <c r="G108" s="2" t="n">
        <v>46225</v>
      </c>
      <c r="H108" s="2" t="n">
        <v>48019</v>
      </c>
      <c r="I108" s="3" t="n">
        <v>156.3528</v>
      </c>
      <c r="J108" s="3" t="n">
        <v>156.3528</v>
      </c>
      <c r="K108" s="3" t="n">
        <v>128.584</v>
      </c>
      <c r="L108" s="3" t="n">
        <v>136.431</v>
      </c>
      <c r="M108" s="3" t="n">
        <v>27.7688</v>
      </c>
      <c r="N108" s="3" t="n">
        <v>1.999200000000002</v>
      </c>
      <c r="O108" s="3" t="n">
        <v>64.78449999999998</v>
      </c>
      <c r="P108" s="4" t="n">
        <v>41.04400233812693</v>
      </c>
      <c r="Q108" s="3" t="n">
        <v>27.7688</v>
      </c>
      <c r="R108" s="3" t="n">
        <v>1.999200000000002</v>
      </c>
      <c r="S108" s="3" t="n">
        <v>64.78449999999998</v>
      </c>
      <c r="T108" s="4" t="n">
        <v>41.04400233812693</v>
      </c>
      <c r="U108" s="5">
        <f>IFERROR(BDP(E108&amp;" Corp","LAST_PRICE"),"--")</f>
        <v/>
      </c>
      <c r="V108" s="6">
        <f>IFERROR(BDP(E108&amp;" Corp","YAS_BENCHMARK_BOND_ISIN"),"--")</f>
        <v/>
      </c>
      <c r="W108" s="5">
        <f>IFERROR(BDP(V108&amp;" CORP","LAST_PRICE"),"--")</f>
        <v/>
      </c>
      <c r="X108" s="7">
        <f>IFERROR(BDP(E108&amp;" Corp","YAS_YLD_SPREAD","YAS_BOND_PX="&amp;U108,"YAS_BNCHMRK_BOND_PX="&amp;W108),"--")</f>
        <v/>
      </c>
      <c r="Y108" s="7">
        <f>IFERROR(BDP(E108&amp;" Corp","BLOOMBERG_MID_G_SPREAD","YAS_BOND_PX="&amp;U108,"YAS_BNCHMRK_BOND_PX="&amp;W108),"--")</f>
        <v/>
      </c>
      <c r="Z108" s="7">
        <f>IFERROR(BDP(D108,"LAST_PRICE"),"--")</f>
        <v/>
      </c>
      <c r="AA108" s="7">
        <f>IFERROR(Z108-Y108,"--")</f>
        <v/>
      </c>
      <c r="AB108" s="8">
        <f>IFERROR((AA108-R108)/(S108-R108)*100,"--")</f>
        <v/>
      </c>
    </row>
    <row r="109">
      <c r="A109" t="inlineStr">
        <is>
          <t>UFS</t>
        </is>
      </c>
      <c r="B109" t="inlineStr">
        <is>
          <t>HY</t>
        </is>
      </c>
      <c r="C109" t="inlineStr">
        <is>
          <t>UFS 6 3/4 10/01/28</t>
        </is>
      </c>
      <c r="D109" t="inlineStr">
        <is>
          <t>UFS CDS USD SR 5Y D14 Corp</t>
        </is>
      </c>
      <c r="E109" t="inlineStr">
        <is>
          <t>USU7051JAA61</t>
        </is>
      </c>
      <c r="F109" s="2" t="n">
        <v>45659</v>
      </c>
      <c r="G109" s="2" t="n">
        <v>46225</v>
      </c>
      <c r="H109" s="2" t="n">
        <v>47107</v>
      </c>
      <c r="I109" s="3" t="n">
        <v>4211.472</v>
      </c>
      <c r="J109" s="3" t="n">
        <v>12503.401</v>
      </c>
      <c r="K109" s="3" t="n">
        <v>2101.066</v>
      </c>
      <c r="L109" s="3" t="n">
        <v>2146.802</v>
      </c>
      <c r="M109" s="3" t="n">
        <v>2110.406</v>
      </c>
      <c r="N109" s="3" t="n">
        <v>-251.3532</v>
      </c>
      <c r="O109" s="3" t="n">
        <v>2734.6858</v>
      </c>
      <c r="P109" s="4" t="n">
        <v>79.09338089690054</v>
      </c>
      <c r="Q109" s="3" t="n">
        <v>10402.335</v>
      </c>
      <c r="R109" s="3" t="n">
        <v>-190.4716000000001</v>
      </c>
      <c r="S109" s="3" t="n">
        <v>10402.335</v>
      </c>
      <c r="T109" s="4" t="n">
        <v>100</v>
      </c>
      <c r="U109" s="5">
        <f>IFERROR(BDP(E109&amp;" Corp","LAST_PRICE"),"--")</f>
        <v/>
      </c>
      <c r="V109" s="6">
        <f>IFERROR(BDP(E109&amp;" Corp","YAS_BENCHMARK_BOND_ISIN"),"--")</f>
        <v/>
      </c>
      <c r="W109" s="5">
        <f>IFERROR(BDP(V109&amp;" CORP","LAST_PRICE"),"--")</f>
        <v/>
      </c>
      <c r="X109" s="7">
        <f>IFERROR(BDP(E109&amp;" Corp","YAS_YLD_SPREAD","YAS_BOND_PX="&amp;U109,"YAS_BNCHMRK_BOND_PX="&amp;W109),"--")</f>
        <v/>
      </c>
      <c r="Y109" s="7">
        <f>IFERROR(BDP(E109&amp;" Corp","BLOOMBERG_MID_G_SPREAD","YAS_BOND_PX="&amp;U109,"YAS_BNCHMRK_BOND_PX="&amp;W109),"--")</f>
        <v/>
      </c>
      <c r="Z109" s="7">
        <f>IFERROR(BDP(D109,"LAST_PRICE"),"--")</f>
        <v/>
      </c>
      <c r="AA109" s="7">
        <f>IFERROR(Z109-Y109,"--")</f>
        <v/>
      </c>
      <c r="AB109" s="8">
        <f>IFERROR((AA109-R109)/(S109-R109)*100,"--")</f>
        <v/>
      </c>
    </row>
    <row r="110">
      <c r="A110" t="inlineStr">
        <is>
          <t>UHS</t>
        </is>
      </c>
      <c r="B110" t="inlineStr">
        <is>
          <t>HY</t>
        </is>
      </c>
      <c r="C110" t="inlineStr">
        <is>
          <t>UHS 5.05 10/15/34</t>
        </is>
      </c>
      <c r="D110" t="inlineStr">
        <is>
          <t>UHS CDS USD SR 5Y D14 Corp</t>
        </is>
      </c>
      <c r="E110" t="inlineStr">
        <is>
          <t>US913903BC31</t>
        </is>
      </c>
      <c r="F110" s="2" t="n">
        <v>45659</v>
      </c>
      <c r="G110" s="2" t="n">
        <v>46225</v>
      </c>
      <c r="H110" s="2" t="n">
        <v>49298</v>
      </c>
      <c r="I110" s="3" t="n">
        <v>107.0155</v>
      </c>
      <c r="J110" s="3" t="n">
        <v>73.91670000000001</v>
      </c>
      <c r="K110" s="3" t="n">
        <v>133.426</v>
      </c>
      <c r="L110" s="3" t="n">
        <v>127.086</v>
      </c>
      <c r="M110" s="3" t="n">
        <v>-26.41049999999998</v>
      </c>
      <c r="N110" s="3" t="n">
        <v>-68.95529999999999</v>
      </c>
      <c r="O110" s="3" t="n">
        <v>-14.8991</v>
      </c>
      <c r="P110" s="4" t="n">
        <v>78.70475542120981</v>
      </c>
      <c r="Q110" s="3" t="n">
        <v>-59.50929999999998</v>
      </c>
      <c r="R110" s="3" t="n">
        <v>-88.3582</v>
      </c>
      <c r="S110" s="3" t="n">
        <v>-50.03359999999999</v>
      </c>
      <c r="T110" s="4" t="n">
        <v>75.27514964278821</v>
      </c>
      <c r="U110" s="5">
        <f>IFERROR(BDP(E110&amp;" Corp","LAST_PRICE"),"--")</f>
        <v/>
      </c>
      <c r="V110" s="6">
        <f>IFERROR(BDP(E110&amp;" Corp","YAS_BENCHMARK_BOND_ISIN"),"--")</f>
        <v/>
      </c>
      <c r="W110" s="5">
        <f>IFERROR(BDP(V110&amp;" CORP","LAST_PRICE"),"--")</f>
        <v/>
      </c>
      <c r="X110" s="7">
        <f>IFERROR(BDP(E110&amp;" Corp","YAS_YLD_SPREAD","YAS_BOND_PX="&amp;U110,"YAS_BNCHMRK_BOND_PX="&amp;W110),"--")</f>
        <v/>
      </c>
      <c r="Y110" s="7">
        <f>IFERROR(BDP(E110&amp;" Corp","BLOOMBERG_MID_G_SPREAD","YAS_BOND_PX="&amp;U110,"YAS_BNCHMRK_BOND_PX="&amp;W110),"--")</f>
        <v/>
      </c>
      <c r="Z110" s="7">
        <f>IFERROR(BDP(D110,"LAST_PRICE"),"--")</f>
        <v/>
      </c>
      <c r="AA110" s="7">
        <f>IFERROR(Z110-Y110,"--")</f>
        <v/>
      </c>
      <c r="AB110" s="8">
        <f>IFERROR((AA110-R110)/(S110-R110)*100,"--")</f>
        <v/>
      </c>
    </row>
    <row r="111">
      <c r="A111" t="inlineStr">
        <is>
          <t>UIS</t>
        </is>
      </c>
      <c r="B111" t="inlineStr">
        <is>
          <t>HY</t>
        </is>
      </c>
      <c r="C111" t="inlineStr">
        <is>
          <t>UIS 10 5/8 01/15/31</t>
        </is>
      </c>
      <c r="D111" t="inlineStr">
        <is>
          <t>UIS CDS USD SR 5Y D14 Corp</t>
        </is>
      </c>
      <c r="E111" t="inlineStr">
        <is>
          <t>US909214BX53</t>
        </is>
      </c>
      <c r="F111" s="2" t="n">
        <v>45824</v>
      </c>
      <c r="G111" s="2" t="n">
        <v>46225</v>
      </c>
      <c r="H111" s="2" t="n">
        <v>48019</v>
      </c>
      <c r="I111" s="3" t="n">
        <v>634.8084</v>
      </c>
      <c r="J111" s="3" t="n">
        <v>634.8084</v>
      </c>
      <c r="K111" s="3" t="n">
        <v>772.603</v>
      </c>
      <c r="L111" s="3" t="n">
        <v>797.8150000000001</v>
      </c>
      <c r="M111" s="3" t="n">
        <v>-137.7945999999999</v>
      </c>
      <c r="N111" s="3" t="n">
        <v>-271.0242000000001</v>
      </c>
      <c r="O111" s="3" t="n">
        <v>163.8555</v>
      </c>
      <c r="P111" s="4" t="n">
        <v>30.6359666822802</v>
      </c>
      <c r="Q111" s="3" t="n">
        <v>-137.7945999999999</v>
      </c>
      <c r="R111" s="3" t="n">
        <v>-271.0242000000001</v>
      </c>
      <c r="S111" s="3" t="n">
        <v>163.8555</v>
      </c>
      <c r="T111" s="4" t="n">
        <v>30.6359666822802</v>
      </c>
      <c r="U111" s="5">
        <f>IFERROR(BDP(E111&amp;" Corp","LAST_PRICE"),"--")</f>
        <v/>
      </c>
      <c r="V111" s="6">
        <f>IFERROR(BDP(E111&amp;" Corp","YAS_BENCHMARK_BOND_ISIN"),"--")</f>
        <v/>
      </c>
      <c r="W111" s="5">
        <f>IFERROR(BDP(V111&amp;" CORP","LAST_PRICE"),"--")</f>
        <v/>
      </c>
      <c r="X111" s="7">
        <f>IFERROR(BDP(E111&amp;" Corp","YAS_YLD_SPREAD","YAS_BOND_PX="&amp;U111,"YAS_BNCHMRK_BOND_PX="&amp;W111),"--")</f>
        <v/>
      </c>
      <c r="Y111" s="7">
        <f>IFERROR(BDP(E111&amp;" Corp","BLOOMBERG_MID_G_SPREAD","YAS_BOND_PX="&amp;U111,"YAS_BNCHMRK_BOND_PX="&amp;W111),"--")</f>
        <v/>
      </c>
      <c r="Z111" s="7">
        <f>IFERROR(BDP(D111,"LAST_PRICE"),"--")</f>
        <v/>
      </c>
      <c r="AA111" s="7">
        <f>IFERROR(Z111-Y111,"--")</f>
        <v/>
      </c>
      <c r="AB111" s="8">
        <f>IFERROR((AA111-R111)/(S111-R111)*100,"--")</f>
        <v/>
      </c>
    </row>
    <row r="112">
      <c r="A112" t="inlineStr">
        <is>
          <t>UNIT</t>
        </is>
      </c>
      <c r="B112" t="inlineStr">
        <is>
          <t>HY</t>
        </is>
      </c>
      <c r="C112" t="inlineStr">
        <is>
          <t>UNIT 8 5/8 06/15/32</t>
        </is>
      </c>
      <c r="D112" t="inlineStr">
        <is>
          <t>CZ060998 Curncy</t>
        </is>
      </c>
      <c r="E112" t="inlineStr">
        <is>
          <t>USU91493AB94</t>
        </is>
      </c>
      <c r="F112" s="2" t="n">
        <v>46044</v>
      </c>
      <c r="G112" s="2" t="n">
        <v>46225</v>
      </c>
      <c r="H112" s="2" t="n">
        <v>48385</v>
      </c>
      <c r="I112" s="3" t="n">
        <v>65.65730000000001</v>
      </c>
      <c r="J112" s="3" t="n">
        <v>60.0435</v>
      </c>
      <c r="K112" s="3" t="n">
        <v>308.659</v>
      </c>
      <c r="L112" s="3" t="n">
        <v>307.949</v>
      </c>
      <c r="M112" s="3" t="n">
        <v>-243.0017</v>
      </c>
      <c r="N112" s="3" t="n">
        <v>-248.5088</v>
      </c>
      <c r="O112" s="3" t="n">
        <v>-77.56740000000002</v>
      </c>
      <c r="P112" s="4" t="n">
        <v>3.221630336477886</v>
      </c>
      <c r="Q112" s="3" t="n">
        <v>-248.6155</v>
      </c>
      <c r="R112" s="3" t="n">
        <v>-257.0383</v>
      </c>
      <c r="S112" s="3" t="n">
        <v>-94.82040000000003</v>
      </c>
      <c r="T112" s="4" t="n">
        <v>5.192275328431694</v>
      </c>
      <c r="U112" s="5">
        <f>IFERROR(BDP(E112&amp;" Corp","LAST_PRICE"),"--")</f>
        <v/>
      </c>
      <c r="V112" s="6">
        <f>IFERROR(BDP(E112&amp;" Corp","YAS_BENCHMARK_BOND_ISIN"),"--")</f>
        <v/>
      </c>
      <c r="W112" s="5">
        <f>IFERROR(BDP(V112&amp;" CORP","LAST_PRICE"),"--")</f>
        <v/>
      </c>
      <c r="X112" s="7">
        <f>IFERROR(BDP(E112&amp;" Corp","YAS_YLD_SPREAD","YAS_BOND_PX="&amp;U112,"YAS_BNCHMRK_BOND_PX="&amp;W112),"--")</f>
        <v/>
      </c>
      <c r="Y112" s="7">
        <f>IFERROR(BDP(E112&amp;" Corp","BLOOMBERG_MID_G_SPREAD","YAS_BOND_PX="&amp;U112,"YAS_BNCHMRK_BOND_PX="&amp;W112),"--")</f>
        <v/>
      </c>
      <c r="Z112" s="7">
        <f>IFERROR(BDP(D112,"LAST_PRICE"),"--")</f>
        <v/>
      </c>
      <c r="AA112" s="7">
        <f>IFERROR(Z112-Y112,"--")</f>
        <v/>
      </c>
      <c r="AB112" s="8">
        <f>IFERROR((AA112-R112)/(S112-R112)*100,"--")</f>
        <v/>
      </c>
    </row>
    <row r="113">
      <c r="A113" t="inlineStr">
        <is>
          <t>URI</t>
        </is>
      </c>
      <c r="B113" t="inlineStr">
        <is>
          <t>HY</t>
        </is>
      </c>
      <c r="C113" t="inlineStr">
        <is>
          <t>URI 5 3/8 11/15/33</t>
        </is>
      </c>
      <c r="D113" t="inlineStr">
        <is>
          <t>URI CDS USD SR 5Y D14 Corp</t>
        </is>
      </c>
      <c r="E113" t="inlineStr">
        <is>
          <t>US911365BS20</t>
        </is>
      </c>
      <c r="F113" s="2" t="n">
        <v>45986</v>
      </c>
      <c r="G113" s="2" t="n">
        <v>46225</v>
      </c>
      <c r="H113" s="2" t="n">
        <v>48933</v>
      </c>
      <c r="I113" s="3" t="n">
        <v>100.2681</v>
      </c>
      <c r="J113" s="3" t="n">
        <v>73.1044</v>
      </c>
      <c r="K113" s="3" t="n">
        <v>122.354</v>
      </c>
      <c r="L113" s="3" t="n">
        <v>109.084</v>
      </c>
      <c r="M113" s="3" t="n">
        <v>-22.0859</v>
      </c>
      <c r="N113" s="3" t="n">
        <v>-73.95780000000002</v>
      </c>
      <c r="O113" s="3" t="n">
        <v>-18.32249999999999</v>
      </c>
      <c r="P113" s="4" t="n">
        <v>93.23558963463844</v>
      </c>
      <c r="Q113" s="3" t="n">
        <v>-49.2496</v>
      </c>
      <c r="R113" s="3" t="n">
        <v>-95.655</v>
      </c>
      <c r="S113" s="3" t="n">
        <v>-45.36539999999999</v>
      </c>
      <c r="T113" s="4" t="n">
        <v>92.27633546498679</v>
      </c>
      <c r="U113" s="5">
        <f>IFERROR(BDP(E113&amp;" Corp","LAST_PRICE"),"--")</f>
        <v/>
      </c>
      <c r="V113" s="6">
        <f>IFERROR(BDP(E113&amp;" Corp","YAS_BENCHMARK_BOND_ISIN"),"--")</f>
        <v/>
      </c>
      <c r="W113" s="5">
        <f>IFERROR(BDP(V113&amp;" CORP","LAST_PRICE"),"--")</f>
        <v/>
      </c>
      <c r="X113" s="7">
        <f>IFERROR(BDP(E113&amp;" Corp","YAS_YLD_SPREAD","YAS_BOND_PX="&amp;U113,"YAS_BNCHMRK_BOND_PX="&amp;W113),"--")</f>
        <v/>
      </c>
      <c r="Y113" s="7">
        <f>IFERROR(BDP(E113&amp;" Corp","BLOOMBERG_MID_G_SPREAD","YAS_BOND_PX="&amp;U113,"YAS_BNCHMRK_BOND_PX="&amp;W113),"--")</f>
        <v/>
      </c>
      <c r="Z113" s="7">
        <f>IFERROR(BDP(D113,"LAST_PRICE"),"--")</f>
        <v/>
      </c>
      <c r="AA113" s="7">
        <f>IFERROR(Z113-Y113,"--")</f>
        <v/>
      </c>
      <c r="AB113" s="8">
        <f>IFERROR((AA113-R113)/(S113-R113)*100,"--")</f>
        <v/>
      </c>
    </row>
    <row r="114">
      <c r="A114" t="inlineStr">
        <is>
          <t>UVN</t>
        </is>
      </c>
      <c r="B114" t="inlineStr">
        <is>
          <t>HY</t>
        </is>
      </c>
      <c r="C114" t="inlineStr">
        <is>
          <t>UVN 8 1/2 07/31/31</t>
        </is>
      </c>
      <c r="D114" t="inlineStr">
        <is>
          <t>UVN CDS USD SR 5Y D14 Corp</t>
        </is>
      </c>
      <c r="E114" t="inlineStr">
        <is>
          <t>US914906AZ55</t>
        </is>
      </c>
      <c r="F114" s="2" t="n">
        <v>45659</v>
      </c>
      <c r="G114" s="2" t="n">
        <v>46225</v>
      </c>
      <c r="H114" s="2" t="n">
        <v>48202</v>
      </c>
      <c r="I114" s="3" t="n">
        <v>350.3476</v>
      </c>
      <c r="J114" s="3" t="n">
        <v>331.1257</v>
      </c>
      <c r="K114" s="3" t="n">
        <v>405.548</v>
      </c>
      <c r="L114" s="3" t="n">
        <v>410.577</v>
      </c>
      <c r="M114" s="3" t="n">
        <v>-55.2004</v>
      </c>
      <c r="N114" s="3" t="n">
        <v>-141.5612</v>
      </c>
      <c r="O114" s="3" t="n">
        <v>2.497500000000002</v>
      </c>
      <c r="P114" s="4" t="n">
        <v>59.94834050286445</v>
      </c>
      <c r="Q114" s="3" t="n">
        <v>-74.42230000000001</v>
      </c>
      <c r="R114" s="3" t="n">
        <v>-156.6177</v>
      </c>
      <c r="S114" s="3" t="n">
        <v>-13.51929999999999</v>
      </c>
      <c r="T114" s="4" t="n">
        <v>57.43977570678636</v>
      </c>
      <c r="U114" s="5">
        <f>IFERROR(BDP(E114&amp;" Corp","LAST_PRICE"),"--")</f>
        <v/>
      </c>
      <c r="V114" s="6">
        <f>IFERROR(BDP(E114&amp;" Corp","YAS_BENCHMARK_BOND_ISIN"),"--")</f>
        <v/>
      </c>
      <c r="W114" s="5">
        <f>IFERROR(BDP(V114&amp;" CORP","LAST_PRICE"),"--")</f>
        <v/>
      </c>
      <c r="X114" s="7">
        <f>IFERROR(BDP(E114&amp;" Corp","YAS_YLD_SPREAD","YAS_BOND_PX="&amp;U114,"YAS_BNCHMRK_BOND_PX="&amp;W114),"--")</f>
        <v/>
      </c>
      <c r="Y114" s="7">
        <f>IFERROR(BDP(E114&amp;" Corp","BLOOMBERG_MID_G_SPREAD","YAS_BOND_PX="&amp;U114,"YAS_BNCHMRK_BOND_PX="&amp;W114),"--")</f>
        <v/>
      </c>
      <c r="Z114" s="7">
        <f>IFERROR(BDP(D114,"LAST_PRICE"),"--")</f>
        <v/>
      </c>
      <c r="AA114" s="7">
        <f>IFERROR(Z114-Y114,"--")</f>
        <v/>
      </c>
      <c r="AB114" s="8">
        <f>IFERROR((AA114-R114)/(S114-R114)*100,"--")</f>
        <v/>
      </c>
    </row>
    <row r="115">
      <c r="A115" t="inlineStr">
        <is>
          <t>VENLNG</t>
        </is>
      </c>
      <c r="B115" t="inlineStr">
        <is>
          <t>HY</t>
        </is>
      </c>
      <c r="C115" t="inlineStr">
        <is>
          <t>VENLNG 8 3/8 06/01/31</t>
        </is>
      </c>
      <c r="D115" t="inlineStr">
        <is>
          <t>VENLNG CDS USD SR 5Y D14 Corp</t>
        </is>
      </c>
      <c r="E115" t="inlineStr">
        <is>
          <t>US92332YAB74</t>
        </is>
      </c>
      <c r="F115" s="2" t="n">
        <v>45659</v>
      </c>
      <c r="G115" s="2" t="n">
        <v>46225</v>
      </c>
      <c r="H115" s="2" t="n">
        <v>48019</v>
      </c>
      <c r="I115" s="3" t="n">
        <v>176.6248</v>
      </c>
      <c r="J115" s="3" t="n">
        <v>176.6248</v>
      </c>
      <c r="K115" s="3" t="n">
        <v>171.982</v>
      </c>
      <c r="L115" s="3" t="n">
        <v>165.798</v>
      </c>
      <c r="M115" s="3" t="n">
        <v>4.642799999999994</v>
      </c>
      <c r="N115" s="3" t="n">
        <v>-143.0618</v>
      </c>
      <c r="O115" s="3" t="n">
        <v>115.914</v>
      </c>
      <c r="P115" s="4" t="n">
        <v>57.03413214671023</v>
      </c>
      <c r="Q115" s="3" t="n">
        <v>4.642799999999994</v>
      </c>
      <c r="R115" s="3" t="n">
        <v>-143.0618</v>
      </c>
      <c r="S115" s="3" t="n">
        <v>115.914</v>
      </c>
      <c r="T115" s="4" t="n">
        <v>57.03413214671023</v>
      </c>
      <c r="U115" s="5">
        <f>IFERROR(BDP(E115&amp;" Corp","LAST_PRICE"),"--")</f>
        <v/>
      </c>
      <c r="V115" s="6">
        <f>IFERROR(BDP(E115&amp;" Corp","YAS_BENCHMARK_BOND_ISIN"),"--")</f>
        <v/>
      </c>
      <c r="W115" s="5">
        <f>IFERROR(BDP(V115&amp;" CORP","LAST_PRICE"),"--")</f>
        <v/>
      </c>
      <c r="X115" s="7">
        <f>IFERROR(BDP(E115&amp;" Corp","YAS_YLD_SPREAD","YAS_BOND_PX="&amp;U115,"YAS_BNCHMRK_BOND_PX="&amp;W115),"--")</f>
        <v/>
      </c>
      <c r="Y115" s="7">
        <f>IFERROR(BDP(E115&amp;" Corp","BLOOMBERG_MID_G_SPREAD","YAS_BOND_PX="&amp;U115,"YAS_BNCHMRK_BOND_PX="&amp;W115),"--")</f>
        <v/>
      </c>
      <c r="Z115" s="7">
        <f>IFERROR(BDP(D115,"LAST_PRICE"),"--")</f>
        <v/>
      </c>
      <c r="AA115" s="7">
        <f>IFERROR(Z115-Y115,"--")</f>
        <v/>
      </c>
      <c r="AB115" s="8">
        <f>IFERROR((AA115-R115)/(S115-R115)*100,"--")</f>
        <v/>
      </c>
    </row>
    <row r="116">
      <c r="A116" t="inlineStr">
        <is>
          <t>VST</t>
        </is>
      </c>
      <c r="B116" t="inlineStr">
        <is>
          <t>HY</t>
        </is>
      </c>
      <c r="C116" t="inlineStr">
        <is>
          <t>VST 4.7 01/31/31</t>
        </is>
      </c>
      <c r="D116" t="inlineStr">
        <is>
          <t>VST B CDS USD SR 5Y D14 Corp</t>
        </is>
      </c>
      <c r="E116" t="inlineStr">
        <is>
          <t>US92840VAY83</t>
        </is>
      </c>
      <c r="F116" s="2" t="n">
        <v>46035</v>
      </c>
      <c r="G116" s="2" t="n">
        <v>46225</v>
      </c>
      <c r="H116" s="2" t="n">
        <v>48019</v>
      </c>
      <c r="I116" s="3" t="n">
        <v>87.26690000000001</v>
      </c>
      <c r="J116" s="3" t="n">
        <v>87.26690000000001</v>
      </c>
      <c r="K116" s="3" t="n">
        <v>93.423</v>
      </c>
      <c r="L116" s="3" t="n">
        <v>93.11499999999999</v>
      </c>
      <c r="M116" s="3" t="n">
        <v>-6.156099999999995</v>
      </c>
      <c r="N116" s="3" t="n">
        <v>-12.7805</v>
      </c>
      <c r="O116" s="3" t="n">
        <v>25.42740000000001</v>
      </c>
      <c r="P116" s="4" t="n">
        <v>17.33777569560224</v>
      </c>
      <c r="Q116" s="3" t="n">
        <v>-6.156099999999995</v>
      </c>
      <c r="R116" s="3" t="n">
        <v>-12.7805</v>
      </c>
      <c r="S116" s="3" t="n">
        <v>25.42740000000001</v>
      </c>
      <c r="T116" s="4" t="n">
        <v>17.33777569560224</v>
      </c>
      <c r="U116" s="5">
        <f>IFERROR(BDP(E116&amp;" Corp","LAST_PRICE"),"--")</f>
        <v/>
      </c>
      <c r="V116" s="6">
        <f>IFERROR(BDP(E116&amp;" Corp","YAS_BENCHMARK_BOND_ISIN"),"--")</f>
        <v/>
      </c>
      <c r="W116" s="5">
        <f>IFERROR(BDP(V116&amp;" CORP","LAST_PRICE"),"--")</f>
        <v/>
      </c>
      <c r="X116" s="7">
        <f>IFERROR(BDP(E116&amp;" Corp","YAS_YLD_SPREAD","YAS_BOND_PX="&amp;U116,"YAS_BNCHMRK_BOND_PX="&amp;W116),"--")</f>
        <v/>
      </c>
      <c r="Y116" s="7">
        <f>IFERROR(BDP(E116&amp;" Corp","BLOOMBERG_MID_G_SPREAD","YAS_BOND_PX="&amp;U116,"YAS_BNCHMRK_BOND_PX="&amp;W116),"--")</f>
        <v/>
      </c>
      <c r="Z116" s="7">
        <f>IFERROR(BDP(D116,"LAST_PRICE"),"--")</f>
        <v/>
      </c>
      <c r="AA116" s="7">
        <f>IFERROR(Z116-Y116,"--")</f>
        <v/>
      </c>
      <c r="AB116" s="8">
        <f>IFERROR((AA116-R116)/(S116-R116)*100,"--")</f>
        <v/>
      </c>
    </row>
    <row r="117">
      <c r="A117" t="inlineStr">
        <is>
          <t>WBD</t>
        </is>
      </c>
      <c r="B117" t="inlineStr">
        <is>
          <t>HY</t>
        </is>
      </c>
      <c r="C117" t="inlineStr">
        <is>
          <t>WBD 4.279 03/15/32</t>
        </is>
      </c>
      <c r="D117" t="inlineStr">
        <is>
          <t>WBD CDS USD SR 5Y D14 Corp</t>
        </is>
      </c>
      <c r="E117" t="inlineStr">
        <is>
          <t>US55903VBQ59</t>
        </is>
      </c>
      <c r="F117" s="2" t="n">
        <v>46160</v>
      </c>
      <c r="G117" s="2" t="n">
        <v>46225</v>
      </c>
      <c r="H117" s="2" t="n">
        <v>48385</v>
      </c>
      <c r="I117" s="3" t="n">
        <v>334.5428</v>
      </c>
      <c r="J117" s="3" t="n">
        <v>300.1767</v>
      </c>
      <c r="K117" s="3" t="n">
        <v>375.031</v>
      </c>
      <c r="L117" s="3" t="n">
        <v>374.02</v>
      </c>
      <c r="M117" s="3" t="n">
        <v>-40.48820000000001</v>
      </c>
      <c r="N117" s="3" t="n">
        <v>-43.76210000000003</v>
      </c>
      <c r="O117" s="3" t="n">
        <v>198.4411</v>
      </c>
      <c r="P117" s="4" t="n">
        <v>1.351716244872085</v>
      </c>
      <c r="Q117" s="3" t="n">
        <v>-74.85430000000002</v>
      </c>
      <c r="R117" s="3" t="n">
        <v>-87.70490000000001</v>
      </c>
      <c r="S117" s="3" t="n">
        <v>145.1219</v>
      </c>
      <c r="T117" s="4" t="n">
        <v>5.519381789381628</v>
      </c>
      <c r="U117" s="5">
        <f>IFERROR(BDP(E117&amp;" Corp","LAST_PRICE"),"--")</f>
        <v/>
      </c>
      <c r="V117" s="6">
        <f>IFERROR(BDP(E117&amp;" Corp","YAS_BENCHMARK_BOND_ISIN"),"--")</f>
        <v/>
      </c>
      <c r="W117" s="5">
        <f>IFERROR(BDP(V117&amp;" CORP","LAST_PRICE"),"--")</f>
        <v/>
      </c>
      <c r="X117" s="7">
        <f>IFERROR(BDP(E117&amp;" Corp","YAS_YLD_SPREAD","YAS_BOND_PX="&amp;U117,"YAS_BNCHMRK_BOND_PX="&amp;W117),"--")</f>
        <v/>
      </c>
      <c r="Y117" s="7">
        <f>IFERROR(BDP(E117&amp;" Corp","BLOOMBERG_MID_G_SPREAD","YAS_BOND_PX="&amp;U117,"YAS_BNCHMRK_BOND_PX="&amp;W117),"--")</f>
        <v/>
      </c>
      <c r="Z117" s="7">
        <f>IFERROR(BDP(D117,"LAST_PRICE"),"--")</f>
        <v/>
      </c>
      <c r="AA117" s="7">
        <f>IFERROR(Z117-Y117,"--")</f>
        <v/>
      </c>
      <c r="AB117" s="8">
        <f>IFERROR((AA117-R117)/(S117-R117)*100,"--")</f>
        <v/>
      </c>
    </row>
    <row r="118">
      <c r="A118" t="inlineStr">
        <is>
          <t>WFRD</t>
        </is>
      </c>
      <c r="B118" t="inlineStr">
        <is>
          <t>HY</t>
        </is>
      </c>
      <c r="C118" t="inlineStr">
        <is>
          <t>WFRD 6 3/4 10/15/33</t>
        </is>
      </c>
      <c r="D118" t="inlineStr">
        <is>
          <t>CWFT1U5 Curncy</t>
        </is>
      </c>
      <c r="E118" t="inlineStr">
        <is>
          <t>US947075AW79</t>
        </is>
      </c>
      <c r="F118" s="2" t="n">
        <v>45923</v>
      </c>
      <c r="G118" s="2" t="n">
        <v>46225</v>
      </c>
      <c r="H118" s="2" t="n">
        <v>48933</v>
      </c>
      <c r="I118" s="3" t="n">
        <v>148.3459</v>
      </c>
      <c r="J118" s="3" t="n">
        <v>109.365</v>
      </c>
      <c r="K118" s="3" t="n">
        <v>181.175</v>
      </c>
      <c r="L118" s="3" t="n">
        <v>182.626</v>
      </c>
      <c r="M118" s="3" t="n">
        <v>-32.82910000000001</v>
      </c>
      <c r="N118" s="3" t="n">
        <v>-94.97360000000003</v>
      </c>
      <c r="O118" s="3" t="n">
        <v>-12.66640000000001</v>
      </c>
      <c r="P118" s="4" t="n">
        <v>75.50311515881964</v>
      </c>
      <c r="Q118" s="3" t="n">
        <v>-71.81000000000002</v>
      </c>
      <c r="R118" s="3" t="n">
        <v>-135.284</v>
      </c>
      <c r="S118" s="3" t="n">
        <v>-56.4228</v>
      </c>
      <c r="T118" s="4" t="n">
        <v>80.48825024219765</v>
      </c>
      <c r="U118" s="5">
        <f>IFERROR(BDP(E118&amp;" Corp","LAST_PRICE"),"--")</f>
        <v/>
      </c>
      <c r="V118" s="6">
        <f>IFERROR(BDP(E118&amp;" Corp","YAS_BENCHMARK_BOND_ISIN"),"--")</f>
        <v/>
      </c>
      <c r="W118" s="5">
        <f>IFERROR(BDP(V118&amp;" CORP","LAST_PRICE"),"--")</f>
        <v/>
      </c>
      <c r="X118" s="7">
        <f>IFERROR(BDP(E118&amp;" Corp","YAS_YLD_SPREAD","YAS_BOND_PX="&amp;U118,"YAS_BNCHMRK_BOND_PX="&amp;W118),"--")</f>
        <v/>
      </c>
      <c r="Y118" s="7">
        <f>IFERROR(BDP(E118&amp;" Corp","BLOOMBERG_MID_G_SPREAD","YAS_BOND_PX="&amp;U118,"YAS_BNCHMRK_BOND_PX="&amp;W118),"--")</f>
        <v/>
      </c>
      <c r="Z118" s="7">
        <f>IFERROR(BDP(D118,"LAST_PRICE"),"--")</f>
        <v/>
      </c>
      <c r="AA118" s="7">
        <f>IFERROR(Z118-Y118,"--")</f>
        <v/>
      </c>
      <c r="AB118" s="8">
        <f>IFERROR((AA118-R118)/(S118-R118)*100,"--")</f>
        <v/>
      </c>
    </row>
    <row r="119">
      <c r="A119" t="inlineStr">
        <is>
          <t>WHR</t>
        </is>
      </c>
      <c r="B119" t="inlineStr">
        <is>
          <t>HY</t>
        </is>
      </c>
      <c r="C119" t="inlineStr">
        <is>
          <t>WHR 6 1/2 06/15/33</t>
        </is>
      </c>
      <c r="D119" t="inlineStr">
        <is>
          <t>WHRCORP CDS USD SR 5Y D14 Corp</t>
        </is>
      </c>
      <c r="E119" t="inlineStr">
        <is>
          <t>US963320BE54</t>
        </is>
      </c>
      <c r="F119" s="2" t="n">
        <v>45818</v>
      </c>
      <c r="G119" s="2" t="n">
        <v>46225</v>
      </c>
      <c r="H119" s="2" t="n">
        <v>48750</v>
      </c>
      <c r="I119" s="3" t="n">
        <v>559.3200000000001</v>
      </c>
      <c r="J119" s="3" t="n">
        <v>500.2011</v>
      </c>
      <c r="K119" s="3" t="n">
        <v>528.5700000000001</v>
      </c>
      <c r="L119" s="3" t="n">
        <v>540.338</v>
      </c>
      <c r="M119" s="3" t="n">
        <v>30.75</v>
      </c>
      <c r="N119" s="3" t="n">
        <v>-31.24059999999997</v>
      </c>
      <c r="O119" s="3" t="n">
        <v>105.9008</v>
      </c>
      <c r="P119" s="4" t="n">
        <v>45.20195943748568</v>
      </c>
      <c r="Q119" s="3" t="n">
        <v>-28.36890000000005</v>
      </c>
      <c r="R119" s="3" t="n">
        <v>-52.38379999999998</v>
      </c>
      <c r="S119" s="3" t="n">
        <v>46.27719999999999</v>
      </c>
      <c r="T119" s="4" t="n">
        <v>24.34082362838399</v>
      </c>
      <c r="U119" s="5">
        <f>IFERROR(BDP(E119&amp;" Corp","LAST_PRICE"),"--")</f>
        <v/>
      </c>
      <c r="V119" s="6">
        <f>IFERROR(BDP(E119&amp;" Corp","YAS_BENCHMARK_BOND_ISIN"),"--")</f>
        <v/>
      </c>
      <c r="W119" s="5">
        <f>IFERROR(BDP(V119&amp;" CORP","LAST_PRICE"),"--")</f>
        <v/>
      </c>
      <c r="X119" s="7">
        <f>IFERROR(BDP(E119&amp;" Corp","YAS_YLD_SPREAD","YAS_BOND_PX="&amp;U119,"YAS_BNCHMRK_BOND_PX="&amp;W119),"--")</f>
        <v/>
      </c>
      <c r="Y119" s="7">
        <f>IFERROR(BDP(E119&amp;" Corp","BLOOMBERG_MID_G_SPREAD","YAS_BOND_PX="&amp;U119,"YAS_BNCHMRK_BOND_PX="&amp;W119),"--")</f>
        <v/>
      </c>
      <c r="Z119" s="7">
        <f>IFERROR(BDP(D119,"LAST_PRICE"),"--")</f>
        <v/>
      </c>
      <c r="AA119" s="7">
        <f>IFERROR(Z119-Y119,"--")</f>
        <v/>
      </c>
      <c r="AB119" s="8">
        <f>IFERROR((AA119-R119)/(S119-R119)*100,"--")</f>
        <v/>
      </c>
    </row>
    <row r="120">
      <c r="A120" t="inlineStr">
        <is>
          <t>XPLR</t>
        </is>
      </c>
      <c r="B120" t="inlineStr">
        <is>
          <t>HY</t>
        </is>
      </c>
      <c r="C120" t="inlineStr">
        <is>
          <t>XIFR 8 3/8 01/15/31</t>
        </is>
      </c>
      <c r="D120" t="inlineStr">
        <is>
          <t>CZ060981 Curncy</t>
        </is>
      </c>
      <c r="E120" t="inlineStr">
        <is>
          <t>US98380MAA36</t>
        </is>
      </c>
      <c r="F120" s="2" t="n">
        <v>46111</v>
      </c>
      <c r="G120" s="2" t="n">
        <v>46225</v>
      </c>
      <c r="H120" s="2" t="n">
        <v>48019</v>
      </c>
      <c r="I120" s="3" t="n">
        <v>137.7999</v>
      </c>
      <c r="J120" s="3" t="n">
        <v>137.7999</v>
      </c>
      <c r="K120" s="3" t="n">
        <v>182.993</v>
      </c>
      <c r="L120" s="3" t="n">
        <v>185.727</v>
      </c>
      <c r="M120" s="3" t="n">
        <v>-45.19309999999999</v>
      </c>
      <c r="N120" s="3" t="n">
        <v>-52.34490000000002</v>
      </c>
      <c r="O120" s="3" t="n">
        <v>22.29130000000001</v>
      </c>
      <c r="P120" s="4" t="n">
        <v>9.582213456740876</v>
      </c>
      <c r="Q120" s="3" t="n">
        <v>-45.19309999999999</v>
      </c>
      <c r="R120" s="3" t="n">
        <v>-52.34490000000002</v>
      </c>
      <c r="S120" s="3" t="n">
        <v>22.29130000000001</v>
      </c>
      <c r="T120" s="4" t="n">
        <v>9.582213456740876</v>
      </c>
      <c r="U120" s="5">
        <f>IFERROR(BDP(E120&amp;" Corp","LAST_PRICE"),"--")</f>
        <v/>
      </c>
      <c r="V120" s="6">
        <f>IFERROR(BDP(E120&amp;" Corp","YAS_BENCHMARK_BOND_ISIN"),"--")</f>
        <v/>
      </c>
      <c r="W120" s="5">
        <f>IFERROR(BDP(V120&amp;" CORP","LAST_PRICE"),"--")</f>
        <v/>
      </c>
      <c r="X120" s="7">
        <f>IFERROR(BDP(E120&amp;" Corp","YAS_YLD_SPREAD","YAS_BOND_PX="&amp;U120,"YAS_BNCHMRK_BOND_PX="&amp;W120),"--")</f>
        <v/>
      </c>
      <c r="Y120" s="7">
        <f>IFERROR(BDP(E120&amp;" Corp","BLOOMBERG_MID_G_SPREAD","YAS_BOND_PX="&amp;U120,"YAS_BNCHMRK_BOND_PX="&amp;W120),"--")</f>
        <v/>
      </c>
      <c r="Z120" s="7">
        <f>IFERROR(BDP(D120,"LAST_PRICE"),"--")</f>
        <v/>
      </c>
      <c r="AA120" s="7">
        <f>IFERROR(Z120-Y120,"--")</f>
        <v/>
      </c>
      <c r="AB120" s="8">
        <f>IFERROR((AA120-R120)/(S120-R120)*100,"--")</f>
        <v/>
      </c>
    </row>
    <row r="121">
      <c r="A121" t="inlineStr">
        <is>
          <t>XRX</t>
        </is>
      </c>
      <c r="B121" t="inlineStr">
        <is>
          <t>HY</t>
        </is>
      </c>
      <c r="C121" t="inlineStr">
        <is>
          <t>XRX 8 7/8 11/30/29</t>
        </is>
      </c>
      <c r="D121" t="inlineStr">
        <is>
          <t>XRX CDS USD SR 5Y D14 Corp</t>
        </is>
      </c>
      <c r="E121" t="inlineStr">
        <is>
          <t>US98421MAC01</t>
        </is>
      </c>
      <c r="F121" s="2" t="n">
        <v>45659</v>
      </c>
      <c r="G121" s="2" t="n">
        <v>46225</v>
      </c>
      <c r="H121" s="2" t="n">
        <v>47472</v>
      </c>
      <c r="I121" s="3" t="n">
        <v>10732.5693</v>
      </c>
      <c r="J121" s="3" t="n">
        <v>0</v>
      </c>
      <c r="K121" s="3" t="n">
        <v>3656.606</v>
      </c>
      <c r="L121" s="3" t="n">
        <v>3714.069</v>
      </c>
      <c r="M121" s="3" t="n">
        <v>7075.963299999999</v>
      </c>
      <c r="N121" s="3" t="n">
        <v>-5659.833</v>
      </c>
      <c r="O121" s="3" t="n">
        <v>91336.43669999999</v>
      </c>
      <c r="P121" s="4" t="n">
        <v>13.13019185107899</v>
      </c>
      <c r="Q121" s="3" t="n">
        <v>-3656.606</v>
      </c>
      <c r="R121" s="3" t="n">
        <v>-5659.833</v>
      </c>
      <c r="S121" s="3" t="n">
        <v>67380.1015</v>
      </c>
      <c r="T121" s="4" t="n">
        <v>2.742646216365376</v>
      </c>
      <c r="U121" s="5">
        <f>IFERROR(BDP(E121&amp;" Corp","LAST_PRICE"),"--")</f>
        <v/>
      </c>
      <c r="V121" s="6">
        <f>IFERROR(BDP(E121&amp;" Corp","YAS_BENCHMARK_BOND_ISIN"),"--")</f>
        <v/>
      </c>
      <c r="W121" s="5">
        <f>IFERROR(BDP(V121&amp;" CORP","LAST_PRICE"),"--")</f>
        <v/>
      </c>
      <c r="X121" s="7">
        <f>IFERROR(BDP(E121&amp;" Corp","YAS_YLD_SPREAD","YAS_BOND_PX="&amp;U121,"YAS_BNCHMRK_BOND_PX="&amp;W121),"--")</f>
        <v/>
      </c>
      <c r="Y121" s="7">
        <f>IFERROR(BDP(E121&amp;" Corp","BLOOMBERG_MID_G_SPREAD","YAS_BOND_PX="&amp;U121,"YAS_BNCHMRK_BOND_PX="&amp;W121),"--")</f>
        <v/>
      </c>
      <c r="Z121" s="7">
        <f>IFERROR(BDP(D121,"LAST_PRICE"),"--")</f>
        <v/>
      </c>
      <c r="AA121" s="7">
        <f>IFERROR(Z121-Y121,"--")</f>
        <v/>
      </c>
      <c r="AB121" s="8">
        <f>IFERROR((AA121-R121)/(S121-R121)*100,"--")</f>
        <v/>
      </c>
    </row>
    <row r="122">
      <c r="A122" t="inlineStr">
        <is>
          <t>YUM</t>
        </is>
      </c>
      <c r="B122" t="inlineStr">
        <is>
          <t>HY</t>
        </is>
      </c>
      <c r="C122" t="inlineStr">
        <is>
          <t>YUM 5 3/8 04/01/32</t>
        </is>
      </c>
      <c r="D122" t="inlineStr">
        <is>
          <t>YUM CDS USD SR 5Y D14 Corp</t>
        </is>
      </c>
      <c r="E122" t="inlineStr">
        <is>
          <t>US988498AR20</t>
        </is>
      </c>
      <c r="F122" s="2" t="n">
        <v>45659</v>
      </c>
      <c r="G122" s="2" t="n">
        <v>46225</v>
      </c>
      <c r="H122" s="2" t="n">
        <v>48385</v>
      </c>
      <c r="I122" s="3" t="n">
        <v>95.7081</v>
      </c>
      <c r="J122" s="3" t="n">
        <v>81.16070000000001</v>
      </c>
      <c r="K122" s="3" t="n">
        <v>114.188</v>
      </c>
      <c r="L122" s="3" t="n">
        <v>120.813</v>
      </c>
      <c r="M122" s="3" t="n">
        <v>-18.4799</v>
      </c>
      <c r="N122" s="3" t="n">
        <v>-77.04219999999999</v>
      </c>
      <c r="O122" s="3" t="n">
        <v>-9.663600000000002</v>
      </c>
      <c r="P122" s="4" t="n">
        <v>86.91528170665464</v>
      </c>
      <c r="Q122" s="3" t="n">
        <v>-33.0273</v>
      </c>
      <c r="R122" s="3" t="n">
        <v>-88.17569999999999</v>
      </c>
      <c r="S122" s="3" t="n">
        <v>-17.5749</v>
      </c>
      <c r="T122" s="4" t="n">
        <v>78.11299588673216</v>
      </c>
      <c r="U122" s="5">
        <f>IFERROR(BDP(E122&amp;" Corp","LAST_PRICE"),"--")</f>
        <v/>
      </c>
      <c r="V122" s="6">
        <f>IFERROR(BDP(E122&amp;" Corp","YAS_BENCHMARK_BOND_ISIN"),"--")</f>
        <v/>
      </c>
      <c r="W122" s="5">
        <f>IFERROR(BDP(V122&amp;" CORP","LAST_PRICE"),"--")</f>
        <v/>
      </c>
      <c r="X122" s="7">
        <f>IFERROR(BDP(E122&amp;" Corp","YAS_YLD_SPREAD","YAS_BOND_PX="&amp;U122,"YAS_BNCHMRK_BOND_PX="&amp;W122),"--")</f>
        <v/>
      </c>
      <c r="Y122" s="7">
        <f>IFERROR(BDP(E122&amp;" Corp","BLOOMBERG_MID_G_SPREAD","YAS_BOND_PX="&amp;U122,"YAS_BNCHMRK_BOND_PX="&amp;W122),"--")</f>
        <v/>
      </c>
      <c r="Z122" s="7">
        <f>IFERROR(BDP(D122,"LAST_PRICE"),"--")</f>
        <v/>
      </c>
      <c r="AA122" s="7">
        <f>IFERROR(Z122-Y122,"--")</f>
        <v/>
      </c>
      <c r="AB122" s="8">
        <f>IFERROR((AA122-R122)/(S122-R122)*100,"--")</f>
        <v/>
      </c>
    </row>
    <row r="123">
      <c r="A123" t="inlineStr">
        <is>
          <t>COOP</t>
        </is>
      </c>
      <c r="B123" t="inlineStr">
        <is>
          <t>HY_Legacy</t>
        </is>
      </c>
      <c r="C123" t="inlineStr">
        <is>
          <t>RKT 7 1/8 02/01/32</t>
        </is>
      </c>
      <c r="D123" t="inlineStr">
        <is>
          <t>COOP CDS USD SR 5Y D14 Corp</t>
        </is>
      </c>
      <c r="E123" t="inlineStr">
        <is>
          <t>US77311WAD39</t>
        </is>
      </c>
      <c r="F123" s="2" t="n">
        <v>45932</v>
      </c>
      <c r="G123" s="2" t="n">
        <v>46225</v>
      </c>
      <c r="H123" s="2" t="n">
        <v>48385</v>
      </c>
      <c r="I123" s="3" t="n">
        <v>80.30240000000001</v>
      </c>
      <c r="J123" s="3" t="n">
        <v>80.821</v>
      </c>
      <c r="K123" s="3" t="n">
        <v>145.04</v>
      </c>
      <c r="L123" s="3" t="n">
        <v>157.536</v>
      </c>
      <c r="M123" s="3" t="n">
        <v>-64.73759999999999</v>
      </c>
      <c r="N123" s="3" t="n">
        <v>-146.174</v>
      </c>
      <c r="O123" s="3" t="n">
        <v>-45.62339999999999</v>
      </c>
      <c r="P123" s="4" t="n">
        <v>80.99046649149781</v>
      </c>
      <c r="Q123" s="3" t="n">
        <v>-64.21899999999999</v>
      </c>
      <c r="R123" s="3" t="n">
        <v>-156.4244</v>
      </c>
      <c r="S123" s="3" t="n">
        <v>-48.27109999999999</v>
      </c>
      <c r="T123" s="4" t="n">
        <v>85.25435654760417</v>
      </c>
      <c r="U123" s="5">
        <f>IFERROR(BDP(E123&amp;" Corp","LAST_PRICE"),"--")</f>
        <v/>
      </c>
      <c r="V123" s="6">
        <f>IFERROR(BDP(E123&amp;" Corp","YAS_BENCHMARK_BOND_ISIN"),"--")</f>
        <v/>
      </c>
      <c r="W123" s="5">
        <f>IFERROR(BDP(V123&amp;" CORP","LAST_PRICE"),"--")</f>
        <v/>
      </c>
      <c r="X123" s="7">
        <f>IFERROR(BDP(E123&amp;" Corp","YAS_YLD_SPREAD","YAS_BOND_PX="&amp;U123,"YAS_BNCHMRK_BOND_PX="&amp;W123),"--")</f>
        <v/>
      </c>
      <c r="Y123" s="7">
        <f>IFERROR(BDP(E123&amp;" Corp","BLOOMBERG_MID_G_SPREAD","YAS_BOND_PX="&amp;U123,"YAS_BNCHMRK_BOND_PX="&amp;W123),"--")</f>
        <v/>
      </c>
      <c r="Z123" s="7">
        <f>IFERROR(BDP(D123,"LAST_PRICE"),"--")</f>
        <v/>
      </c>
      <c r="AA123" s="7">
        <f>IFERROR(Z123-Y123,"--")</f>
        <v/>
      </c>
      <c r="AB123" s="8">
        <f>IFERROR((AA123-R123)/(S123-R123)*100,"--")</f>
        <v/>
      </c>
    </row>
    <row r="124">
      <c r="A124" t="inlineStr">
        <is>
          <t>EQT</t>
        </is>
      </c>
      <c r="B124" t="inlineStr">
        <is>
          <t>HY_Legacy</t>
        </is>
      </c>
      <c r="C124" t="inlineStr">
        <is>
          <t>EQT 4 3/4 01/15/31</t>
        </is>
      </c>
      <c r="D124" t="inlineStr">
        <is>
          <t>EQT CDS USD SR 5Y D14 Corp</t>
        </is>
      </c>
      <c r="E124" t="inlineStr">
        <is>
          <t>US26884LBD01</t>
        </is>
      </c>
      <c r="F124" s="2" t="n">
        <v>45911</v>
      </c>
      <c r="G124" s="2" t="n">
        <v>46225</v>
      </c>
      <c r="H124" s="2" t="n">
        <v>48019</v>
      </c>
      <c r="I124" s="3" t="n">
        <v>69.5003</v>
      </c>
      <c r="J124" s="3" t="n">
        <v>69.5003</v>
      </c>
      <c r="K124" s="3" t="n">
        <v>75.387</v>
      </c>
      <c r="L124" s="3" t="n">
        <v>75.32899999999999</v>
      </c>
      <c r="M124" s="3" t="n">
        <v>-5.886700000000005</v>
      </c>
      <c r="N124" s="3" t="n">
        <v>-154.3489</v>
      </c>
      <c r="O124" s="3" t="n">
        <v>0.627600000000001</v>
      </c>
      <c r="P124" s="4" t="n">
        <v>95.79658851503291</v>
      </c>
      <c r="Q124" s="3" t="n">
        <v>-5.886700000000005</v>
      </c>
      <c r="R124" s="3" t="n">
        <v>-154.3489</v>
      </c>
      <c r="S124" s="3" t="n">
        <v>0.627600000000001</v>
      </c>
      <c r="T124" s="4" t="n">
        <v>95.79658851503291</v>
      </c>
      <c r="U124" s="5">
        <f>IFERROR(BDP(E124&amp;" Corp","LAST_PRICE"),"--")</f>
        <v/>
      </c>
      <c r="V124" s="6">
        <f>IFERROR(BDP(E124&amp;" Corp","YAS_BENCHMARK_BOND_ISIN"),"--")</f>
        <v/>
      </c>
      <c r="W124" s="5">
        <f>IFERROR(BDP(V124&amp;" CORP","LAST_PRICE"),"--")</f>
        <v/>
      </c>
      <c r="X124" s="7">
        <f>IFERROR(BDP(E124&amp;" Corp","YAS_YLD_SPREAD","YAS_BOND_PX="&amp;U124,"YAS_BNCHMRK_BOND_PX="&amp;W124),"--")</f>
        <v/>
      </c>
      <c r="Y124" s="7">
        <f>IFERROR(BDP(E124&amp;" Corp","BLOOMBERG_MID_G_SPREAD","YAS_BOND_PX="&amp;U124,"YAS_BNCHMRK_BOND_PX="&amp;W124),"--")</f>
        <v/>
      </c>
      <c r="Z124" s="7">
        <f>IFERROR(BDP(D124,"LAST_PRICE"),"--")</f>
        <v/>
      </c>
      <c r="AA124" s="7">
        <f>IFERROR(Z124-Y124,"--")</f>
        <v/>
      </c>
      <c r="AB124" s="8">
        <f>IFERROR((AA124-R124)/(S124-R124)*100,"--")</f>
        <v/>
      </c>
    </row>
    <row r="125">
      <c r="A125" t="inlineStr">
        <is>
          <t>EXE</t>
        </is>
      </c>
      <c r="B125" t="inlineStr">
        <is>
          <t>HY_Legacy</t>
        </is>
      </c>
      <c r="C125" t="inlineStr">
        <is>
          <t>EXE 5 3/8 03/15/30</t>
        </is>
      </c>
      <c r="D125" t="inlineStr">
        <is>
          <t>EXE CDS USD SR 5Y D14 Corp</t>
        </is>
      </c>
      <c r="E125" t="inlineStr">
        <is>
          <t>US845467AS85</t>
        </is>
      </c>
      <c r="F125" s="2" t="n">
        <v>45922</v>
      </c>
      <c r="G125" s="2" t="n">
        <v>46225</v>
      </c>
      <c r="H125" s="2" t="n">
        <v>47654</v>
      </c>
      <c r="I125" s="3" t="n">
        <v>61.5951</v>
      </c>
      <c r="J125" s="3" t="n">
        <v>74.474</v>
      </c>
      <c r="K125" s="3" t="n">
        <v>92.27500000000001</v>
      </c>
      <c r="L125" s="3" t="n">
        <v>84.85599999999999</v>
      </c>
      <c r="M125" s="3" t="n">
        <v>-30.6799</v>
      </c>
      <c r="N125" s="3" t="n">
        <v>-60.33669999999999</v>
      </c>
      <c r="O125" s="3" t="n">
        <v>-25.5192</v>
      </c>
      <c r="P125" s="4" t="n">
        <v>85.17785596323688</v>
      </c>
      <c r="Q125" s="3" t="n">
        <v>-17.801</v>
      </c>
      <c r="R125" s="3" t="n">
        <v>-47.6961</v>
      </c>
      <c r="S125" s="3" t="n">
        <v>-12.7582</v>
      </c>
      <c r="T125" s="4" t="n">
        <v>85.56639065313027</v>
      </c>
      <c r="U125" s="5">
        <f>IFERROR(BDP(E125&amp;" Corp","LAST_PRICE"),"--")</f>
        <v/>
      </c>
      <c r="V125" s="6">
        <f>IFERROR(BDP(E125&amp;" Corp","YAS_BENCHMARK_BOND_ISIN"),"--")</f>
        <v/>
      </c>
      <c r="W125" s="5">
        <f>IFERROR(BDP(V125&amp;" CORP","LAST_PRICE"),"--")</f>
        <v/>
      </c>
      <c r="X125" s="7">
        <f>IFERROR(BDP(E125&amp;" Corp","YAS_YLD_SPREAD","YAS_BOND_PX="&amp;U125,"YAS_BNCHMRK_BOND_PX="&amp;W125),"--")</f>
        <v/>
      </c>
      <c r="Y125" s="7">
        <f>IFERROR(BDP(E125&amp;" Corp","BLOOMBERG_MID_G_SPREAD","YAS_BOND_PX="&amp;U125,"YAS_BNCHMRK_BOND_PX="&amp;W125),"--")</f>
        <v/>
      </c>
      <c r="Z125" s="7">
        <f>IFERROR(BDP(D125,"LAST_PRICE"),"--")</f>
        <v/>
      </c>
      <c r="AA125" s="7">
        <f>IFERROR(Z125-Y125,"--")</f>
        <v/>
      </c>
      <c r="AB125" s="8">
        <f>IFERROR((AA125-R125)/(S125-R125)*100,"--")</f>
        <v/>
      </c>
    </row>
    <row r="126">
      <c r="A126" t="inlineStr">
        <is>
          <t>LPX</t>
        </is>
      </c>
      <c r="B126" t="inlineStr">
        <is>
          <t>HY_Legacy</t>
        </is>
      </c>
      <c r="C126" t="inlineStr">
        <is>
          <t>LPX 3 5/8 03/15/29</t>
        </is>
      </c>
      <c r="D126" t="inlineStr">
        <is>
          <t>LPX CDS USD SR 5Y D14 Corp</t>
        </is>
      </c>
      <c r="E126" t="inlineStr">
        <is>
          <t>USU54627AE15</t>
        </is>
      </c>
      <c r="F126" s="2" t="n">
        <v>45659</v>
      </c>
      <c r="G126" s="2" t="n">
        <v>46225</v>
      </c>
      <c r="H126" s="2" t="n">
        <v>47289</v>
      </c>
      <c r="I126" s="3" t="n">
        <v>43.1902</v>
      </c>
      <c r="J126" s="3" t="n">
        <v>69.22410000000001</v>
      </c>
      <c r="K126" s="3" t="n">
        <v>104.631</v>
      </c>
      <c r="L126" s="3" t="n">
        <v>102.87</v>
      </c>
      <c r="M126" s="3" t="n">
        <v>-61.4408</v>
      </c>
      <c r="N126" s="3" t="n">
        <v>-141.3697</v>
      </c>
      <c r="O126" s="3" t="n">
        <v>-41.23719999999999</v>
      </c>
      <c r="P126" s="4" t="n">
        <v>79.82313434699024</v>
      </c>
      <c r="Q126" s="3" t="n">
        <v>-35.40689999999999</v>
      </c>
      <c r="R126" s="3" t="n">
        <v>-98.4289</v>
      </c>
      <c r="S126" s="3" t="n">
        <v>-14.40570000000001</v>
      </c>
      <c r="T126" s="4" t="n">
        <v>75.00547467842217</v>
      </c>
      <c r="U126" s="5">
        <f>IFERROR(BDP(E126&amp;" Corp","LAST_PRICE"),"--")</f>
        <v/>
      </c>
      <c r="V126" s="6">
        <f>IFERROR(BDP(E126&amp;" Corp","YAS_BENCHMARK_BOND_ISIN"),"--")</f>
        <v/>
      </c>
      <c r="W126" s="5">
        <f>IFERROR(BDP(V126&amp;" CORP","LAST_PRICE"),"--")</f>
        <v/>
      </c>
      <c r="X126" s="7">
        <f>IFERROR(BDP(E126&amp;" Corp","YAS_YLD_SPREAD","YAS_BOND_PX="&amp;U126,"YAS_BNCHMRK_BOND_PX="&amp;W126),"--")</f>
        <v/>
      </c>
      <c r="Y126" s="7">
        <f>IFERROR(BDP(E126&amp;" Corp","BLOOMBERG_MID_G_SPREAD","YAS_BOND_PX="&amp;U126,"YAS_BNCHMRK_BOND_PX="&amp;W126),"--")</f>
        <v/>
      </c>
      <c r="Z126" s="7">
        <f>IFERROR(BDP(D126,"LAST_PRICE"),"--")</f>
        <v/>
      </c>
      <c r="AA126" s="7">
        <f>IFERROR(Z126-Y126,"--")</f>
        <v/>
      </c>
      <c r="AB126" s="8">
        <f>IFERROR((AA126-R126)/(S126-R126)*100,"--")</f>
        <v/>
      </c>
    </row>
    <row r="127">
      <c r="A127" t="inlineStr">
        <is>
          <t>NCX</t>
        </is>
      </c>
      <c r="B127" t="inlineStr">
        <is>
          <t>HY_Legacy</t>
        </is>
      </c>
      <c r="C127" t="inlineStr">
        <is>
          <t>NCX 7 12/01/31</t>
        </is>
      </c>
      <c r="D127" t="inlineStr">
        <is>
          <t>NCX CDS USD SR 5Y D14 Corp</t>
        </is>
      </c>
      <c r="E127" t="inlineStr">
        <is>
          <t>US66977WAV19</t>
        </is>
      </c>
      <c r="F127" s="2" t="n">
        <v>45922</v>
      </c>
      <c r="G127" s="2" t="n">
        <v>46225</v>
      </c>
      <c r="H127" s="2" t="n">
        <v>48202</v>
      </c>
      <c r="I127" s="3" t="n">
        <v>62.7052</v>
      </c>
      <c r="J127" s="3" t="n">
        <v>53.4371</v>
      </c>
      <c r="K127" s="3" t="n">
        <v>95.295</v>
      </c>
      <c r="L127" s="3" t="n">
        <v>94.81399999999999</v>
      </c>
      <c r="M127" s="3" t="n">
        <v>-32.5898</v>
      </c>
      <c r="N127" s="3" t="n">
        <v>-101.1438</v>
      </c>
      <c r="O127" s="3" t="n">
        <v>-29.3554</v>
      </c>
      <c r="P127" s="4" t="n">
        <v>95.49453672181019</v>
      </c>
      <c r="Q127" s="3" t="n">
        <v>-41.8579</v>
      </c>
      <c r="R127" s="3" t="n">
        <v>-109.6925</v>
      </c>
      <c r="S127" s="3" t="n">
        <v>-33.7784</v>
      </c>
      <c r="T127" s="4" t="n">
        <v>89.35704961265431</v>
      </c>
      <c r="U127" s="5">
        <f>IFERROR(BDP(E127&amp;" Corp","LAST_PRICE"),"--")</f>
        <v/>
      </c>
      <c r="V127" s="6">
        <f>IFERROR(BDP(E127&amp;" Corp","YAS_BENCHMARK_BOND_ISIN"),"--")</f>
        <v/>
      </c>
      <c r="W127" s="5">
        <f>IFERROR(BDP(V127&amp;" CORP","LAST_PRICE"),"--")</f>
        <v/>
      </c>
      <c r="X127" s="7">
        <f>IFERROR(BDP(E127&amp;" Corp","YAS_YLD_SPREAD","YAS_BOND_PX="&amp;U127,"YAS_BNCHMRK_BOND_PX="&amp;W127),"--")</f>
        <v/>
      </c>
      <c r="Y127" s="7">
        <f>IFERROR(BDP(E127&amp;" Corp","BLOOMBERG_MID_G_SPREAD","YAS_BOND_PX="&amp;U127,"YAS_BNCHMRK_BOND_PX="&amp;W127),"--")</f>
        <v/>
      </c>
      <c r="Z127" s="7">
        <f>IFERROR(BDP(D127,"LAST_PRICE"),"--")</f>
        <v/>
      </c>
      <c r="AA127" s="7">
        <f>IFERROR(Z127-Y127,"--")</f>
        <v/>
      </c>
      <c r="AB127" s="8">
        <f>IFERROR((AA127-R127)/(S127-R127)*100,"--")</f>
        <v/>
      </c>
    </row>
    <row r="128">
      <c r="A128" t="inlineStr">
        <is>
          <t>X</t>
        </is>
      </c>
      <c r="B128" t="inlineStr">
        <is>
          <t>HY_Legacy</t>
        </is>
      </c>
      <c r="C128" t="inlineStr">
        <is>
          <t>X 5.2 08/01/31</t>
        </is>
      </c>
      <c r="D128" t="inlineStr">
        <is>
          <t>X CDS USD SR 5Y D14 Corp</t>
        </is>
      </c>
      <c r="E128" t="inlineStr">
        <is>
          <t>US912909AV01</t>
        </is>
      </c>
      <c r="F128" s="2" t="n">
        <v>46210</v>
      </c>
      <c r="G128" s="2" t="n">
        <v>46225</v>
      </c>
      <c r="H128" s="2" t="n">
        <v>48202</v>
      </c>
      <c r="I128" s="3" t="n">
        <v>80.072</v>
      </c>
      <c r="J128" s="3" t="n">
        <v>74.0236</v>
      </c>
      <c r="K128" s="3" t="n">
        <v>94.783</v>
      </c>
      <c r="L128" s="3" t="n">
        <v>96.658</v>
      </c>
      <c r="M128" s="3" t="n">
        <v>-14.711</v>
      </c>
      <c r="N128" s="3" t="n">
        <v>-14.7886</v>
      </c>
      <c r="O128" s="3" t="n">
        <v>-7.791300000000007</v>
      </c>
      <c r="P128" s="4" t="n">
        <v>1.108999185400139</v>
      </c>
      <c r="Q128" s="3" t="n">
        <v>-20.7594</v>
      </c>
      <c r="R128" s="3" t="n">
        <v>-20.7594</v>
      </c>
      <c r="S128" s="3" t="n">
        <v>-14.2034</v>
      </c>
      <c r="T128" s="4" t="n">
        <v>0</v>
      </c>
      <c r="U128" s="5">
        <f>IFERROR(BDP(E128&amp;" Corp","LAST_PRICE"),"--")</f>
        <v/>
      </c>
      <c r="V128" s="6">
        <f>IFERROR(BDP(E128&amp;" Corp","YAS_BENCHMARK_BOND_ISIN"),"--")</f>
        <v/>
      </c>
      <c r="W128" s="5">
        <f>IFERROR(BDP(V128&amp;" CORP","LAST_PRICE"),"--")</f>
        <v/>
      </c>
      <c r="X128" s="7">
        <f>IFERROR(BDP(E128&amp;" Corp","YAS_YLD_SPREAD","YAS_BOND_PX="&amp;U128,"YAS_BNCHMRK_BOND_PX="&amp;W128),"--")</f>
        <v/>
      </c>
      <c r="Y128" s="7">
        <f>IFERROR(BDP(E128&amp;" Corp","BLOOMBERG_MID_G_SPREAD","YAS_BOND_PX="&amp;U128,"YAS_BNCHMRK_BOND_PX="&amp;W128),"--")</f>
        <v/>
      </c>
      <c r="Z128" s="7">
        <f>IFERROR(BDP(D128,"LAST_PRICE"),"--")</f>
        <v/>
      </c>
      <c r="AA128" s="7">
        <f>IFERROR(Z128-Y128,"--")</f>
        <v/>
      </c>
      <c r="AB128" s="8">
        <f>IFERROR((AA128-R128)/(S128-R128)*100,"--")</f>
        <v/>
      </c>
    </row>
    <row r="129">
      <c r="A129" t="inlineStr">
        <is>
          <t>ABBV</t>
        </is>
      </c>
      <c r="B129" t="inlineStr">
        <is>
          <t>IG</t>
        </is>
      </c>
      <c r="C129" t="inlineStr">
        <is>
          <t>ABBV 4.95 03/15/31</t>
        </is>
      </c>
      <c r="D129" t="inlineStr">
        <is>
          <t>ABBV CDS USD SR 5Y D14 Corp</t>
        </is>
      </c>
      <c r="E129" t="inlineStr">
        <is>
          <t>US00287YDT38</t>
        </is>
      </c>
      <c r="F129" s="2" t="n">
        <v>46101</v>
      </c>
      <c r="G129" s="2" t="n">
        <v>46225</v>
      </c>
      <c r="H129" s="2" t="n">
        <v>48019</v>
      </c>
      <c r="I129" s="3" t="n">
        <v>28</v>
      </c>
      <c r="J129" s="3" t="n">
        <v>28</v>
      </c>
      <c r="K129" s="3" t="n">
        <v>43.676</v>
      </c>
      <c r="L129" s="3" t="n">
        <v>42.894</v>
      </c>
      <c r="M129" s="3" t="n">
        <v>-15.676</v>
      </c>
      <c r="N129" s="3" t="n">
        <v>-20.9057</v>
      </c>
      <c r="O129" s="3" t="n">
        <v>-10.4534</v>
      </c>
      <c r="P129" s="4" t="n">
        <v>50.03396381657623</v>
      </c>
      <c r="Q129" s="3" t="n">
        <v>-15.676</v>
      </c>
      <c r="R129" s="3" t="n">
        <v>-20.9057</v>
      </c>
      <c r="S129" s="3" t="n">
        <v>-10.4534</v>
      </c>
      <c r="T129" s="4" t="n">
        <v>50.03396381657623</v>
      </c>
      <c r="U129" s="5">
        <f>IFERROR(BDP(E129&amp;" Corp","LAST_PRICE"),"--")</f>
        <v/>
      </c>
      <c r="V129" s="6">
        <f>IFERROR(BDP(E129&amp;" Corp","YAS_BENCHMARK_BOND_ISIN"),"--")</f>
        <v/>
      </c>
      <c r="W129" s="5">
        <f>IFERROR(BDP(V129&amp;" CORP","LAST_PRICE"),"--")</f>
        <v/>
      </c>
      <c r="X129" s="7">
        <f>IFERROR(BDP(E129&amp;" Corp","YAS_YLD_SPREAD","YAS_BOND_PX="&amp;U129,"YAS_BNCHMRK_BOND_PX="&amp;W129),"--")</f>
        <v/>
      </c>
      <c r="Y129" s="7">
        <f>IFERROR(BDP(E129&amp;" Corp","BLOOMBERG_MID_G_SPREAD","YAS_BOND_PX="&amp;U129,"YAS_BNCHMRK_BOND_PX="&amp;W129),"--")</f>
        <v/>
      </c>
      <c r="Z129" s="7">
        <f>IFERROR(BDP(D129,"LAST_PRICE"),"--")</f>
        <v/>
      </c>
      <c r="AA129" s="7">
        <f>IFERROR(Z129-Y129,"--")</f>
        <v/>
      </c>
      <c r="AB129" s="8">
        <f>IFERROR((AA129-R129)/(S129-R129)*100,"--")</f>
        <v/>
      </c>
    </row>
    <row r="130">
      <c r="A130" t="inlineStr">
        <is>
          <t>ABX</t>
        </is>
      </c>
      <c r="B130" t="inlineStr">
        <is>
          <t>IG</t>
        </is>
      </c>
      <c r="C130" t="inlineStr">
        <is>
          <t>ABXCN 5.8 11/15/34</t>
        </is>
      </c>
      <c r="D130" t="inlineStr">
        <is>
          <t>ABX CDS USD SR 5Y D14 Corp</t>
        </is>
      </c>
      <c r="E130" t="inlineStr">
        <is>
          <t>US067901AA64</t>
        </is>
      </c>
      <c r="F130" s="2" t="n">
        <v>45659</v>
      </c>
      <c r="G130" s="2" t="n">
        <v>46225</v>
      </c>
      <c r="H130" s="2" t="n">
        <v>49298</v>
      </c>
      <c r="I130" s="3" t="n">
        <v>52.8484</v>
      </c>
      <c r="J130" s="3" t="n">
        <v>25.6309</v>
      </c>
      <c r="K130" s="3" t="n">
        <v>77.584</v>
      </c>
      <c r="L130" s="3" t="n">
        <v>68.498</v>
      </c>
      <c r="M130" s="3" t="n">
        <v>-24.73560000000001</v>
      </c>
      <c r="N130" s="3" t="n">
        <v>-51.9132</v>
      </c>
      <c r="O130" s="3" t="n">
        <v>-10.6003</v>
      </c>
      <c r="P130" s="4" t="n">
        <v>65.78477908837191</v>
      </c>
      <c r="Q130" s="3" t="n">
        <v>-51.95310000000001</v>
      </c>
      <c r="R130" s="3" t="n">
        <v>-77.324</v>
      </c>
      <c r="S130" s="3" t="n">
        <v>-36.5927</v>
      </c>
      <c r="T130" s="4" t="n">
        <v>62.28846120796536</v>
      </c>
      <c r="U130" s="5">
        <f>IFERROR(BDP(E130&amp;" Corp","LAST_PRICE"),"--")</f>
        <v/>
      </c>
      <c r="V130" s="6">
        <f>IFERROR(BDP(E130&amp;" Corp","YAS_BENCHMARK_BOND_ISIN"),"--")</f>
        <v/>
      </c>
      <c r="W130" s="5">
        <f>IFERROR(BDP(V130&amp;" CORP","LAST_PRICE"),"--")</f>
        <v/>
      </c>
      <c r="X130" s="7">
        <f>IFERROR(BDP(E130&amp;" Corp","YAS_YLD_SPREAD","YAS_BOND_PX="&amp;U130,"YAS_BNCHMRK_BOND_PX="&amp;W130),"--")</f>
        <v/>
      </c>
      <c r="Y130" s="7">
        <f>IFERROR(BDP(E130&amp;" Corp","BLOOMBERG_MID_G_SPREAD","YAS_BOND_PX="&amp;U130,"YAS_BNCHMRK_BOND_PX="&amp;W130),"--")</f>
        <v/>
      </c>
      <c r="Z130" s="7">
        <f>IFERROR(BDP(D130,"LAST_PRICE"),"--")</f>
        <v/>
      </c>
      <c r="AA130" s="7">
        <f>IFERROR(Z130-Y130,"--")</f>
        <v/>
      </c>
      <c r="AB130" s="8">
        <f>IFERROR((AA130-R130)/(S130-R130)*100,"--")</f>
        <v/>
      </c>
    </row>
    <row r="131">
      <c r="A131" t="inlineStr">
        <is>
          <t>AEP</t>
        </is>
      </c>
      <c r="B131" t="inlineStr">
        <is>
          <t>IG</t>
        </is>
      </c>
      <c r="C131" t="inlineStr">
        <is>
          <t>AEP 5 5/8 03/01/33</t>
        </is>
      </c>
      <c r="D131" t="inlineStr">
        <is>
          <t>AEP CDS USD SR 5Y D14 Corp</t>
        </is>
      </c>
      <c r="E131" t="inlineStr">
        <is>
          <t>US025537AX91</t>
        </is>
      </c>
      <c r="F131" s="2" t="n">
        <v>45659</v>
      </c>
      <c r="G131" s="2" t="n">
        <v>46225</v>
      </c>
      <c r="H131" s="2" t="n">
        <v>48750</v>
      </c>
      <c r="I131" s="3" t="n">
        <v>50.8673</v>
      </c>
      <c r="J131" s="3" t="n">
        <v>35.9039</v>
      </c>
      <c r="K131" s="3" t="n">
        <v>67.494</v>
      </c>
      <c r="L131" s="3" t="n">
        <v>51.835</v>
      </c>
      <c r="M131" s="3" t="n">
        <v>-16.6267</v>
      </c>
      <c r="N131" s="3" t="n">
        <v>-73.89040000000001</v>
      </c>
      <c r="O131" s="3" t="n">
        <v>-15.999</v>
      </c>
      <c r="P131" s="4" t="n">
        <v>98.9157284156196</v>
      </c>
      <c r="Q131" s="3" t="n">
        <v>-31.5901</v>
      </c>
      <c r="R131" s="3" t="n">
        <v>-84.43960000000001</v>
      </c>
      <c r="S131" s="3" t="n">
        <v>-29.725</v>
      </c>
      <c r="T131" s="4" t="n">
        <v>96.59122062484236</v>
      </c>
      <c r="U131" s="5">
        <f>IFERROR(BDP(E131&amp;" Corp","LAST_PRICE"),"--")</f>
        <v/>
      </c>
      <c r="V131" s="6">
        <f>IFERROR(BDP(E131&amp;" Corp","YAS_BENCHMARK_BOND_ISIN"),"--")</f>
        <v/>
      </c>
      <c r="W131" s="5">
        <f>IFERROR(BDP(V131&amp;" CORP","LAST_PRICE"),"--")</f>
        <v/>
      </c>
      <c r="X131" s="7">
        <f>IFERROR(BDP(E131&amp;" Corp","YAS_YLD_SPREAD","YAS_BOND_PX="&amp;U131,"YAS_BNCHMRK_BOND_PX="&amp;W131),"--")</f>
        <v/>
      </c>
      <c r="Y131" s="7">
        <f>IFERROR(BDP(E131&amp;" Corp","BLOOMBERG_MID_G_SPREAD","YAS_BOND_PX="&amp;U131,"YAS_BNCHMRK_BOND_PX="&amp;W131),"--")</f>
        <v/>
      </c>
      <c r="Z131" s="7">
        <f>IFERROR(BDP(D131,"LAST_PRICE"),"--")</f>
        <v/>
      </c>
      <c r="AA131" s="7">
        <f>IFERROR(Z131-Y131,"--")</f>
        <v/>
      </c>
      <c r="AB131" s="8">
        <f>IFERROR((AA131-R131)/(S131-R131)*100,"--")</f>
        <v/>
      </c>
    </row>
    <row r="132">
      <c r="A132" t="inlineStr">
        <is>
          <t>AES</t>
        </is>
      </c>
      <c r="B132" t="inlineStr">
        <is>
          <t>IG</t>
        </is>
      </c>
      <c r="C132" t="inlineStr">
        <is>
          <t>AES 5.8 03/15/32</t>
        </is>
      </c>
      <c r="D132" t="inlineStr">
        <is>
          <t>AESCORP CDS USD SR 5Y D14 Corp</t>
        </is>
      </c>
      <c r="E132" t="inlineStr">
        <is>
          <t>US00130HCM51</t>
        </is>
      </c>
      <c r="F132" s="2" t="n">
        <v>45729</v>
      </c>
      <c r="G132" s="2" t="n">
        <v>46225</v>
      </c>
      <c r="H132" s="2" t="n">
        <v>48385</v>
      </c>
      <c r="I132" s="3" t="n">
        <v>107.517</v>
      </c>
      <c r="J132" s="3" t="n">
        <v>88.155</v>
      </c>
      <c r="K132" s="3" t="n">
        <v>120.717</v>
      </c>
      <c r="L132" s="3" t="n">
        <v>125.187</v>
      </c>
      <c r="M132" s="3" t="n">
        <v>-13.2</v>
      </c>
      <c r="N132" s="3" t="n">
        <v>-29.16919999999999</v>
      </c>
      <c r="O132" s="3" t="n">
        <v>20.90979999999999</v>
      </c>
      <c r="P132" s="4" t="n">
        <v>31.88801693324546</v>
      </c>
      <c r="Q132" s="3" t="n">
        <v>-32.562</v>
      </c>
      <c r="R132" s="3" t="n">
        <v>-48.2923</v>
      </c>
      <c r="S132" s="3" t="n">
        <v>5.61869999999999</v>
      </c>
      <c r="T132" s="4" t="n">
        <v>29.17827530559627</v>
      </c>
      <c r="U132" s="5">
        <f>IFERROR(BDP(E132&amp;" Corp","LAST_PRICE"),"--")</f>
        <v/>
      </c>
      <c r="V132" s="6">
        <f>IFERROR(BDP(E132&amp;" Corp","YAS_BENCHMARK_BOND_ISIN"),"--")</f>
        <v/>
      </c>
      <c r="W132" s="5">
        <f>IFERROR(BDP(V132&amp;" CORP","LAST_PRICE"),"--")</f>
        <v/>
      </c>
      <c r="X132" s="7">
        <f>IFERROR(BDP(E132&amp;" Corp","YAS_YLD_SPREAD","YAS_BOND_PX="&amp;U132,"YAS_BNCHMRK_BOND_PX="&amp;W132),"--")</f>
        <v/>
      </c>
      <c r="Y132" s="7">
        <f>IFERROR(BDP(E132&amp;" Corp","BLOOMBERG_MID_G_SPREAD","YAS_BOND_PX="&amp;U132,"YAS_BNCHMRK_BOND_PX="&amp;W132),"--")</f>
        <v/>
      </c>
      <c r="Z132" s="7">
        <f>IFERROR(BDP(D132,"LAST_PRICE"),"--")</f>
        <v/>
      </c>
      <c r="AA132" s="7">
        <f>IFERROR(Z132-Y132,"--")</f>
        <v/>
      </c>
      <c r="AB132" s="8">
        <f>IFERROR((AA132-R132)/(S132-R132)*100,"--")</f>
        <v/>
      </c>
    </row>
    <row r="133">
      <c r="A133" t="inlineStr">
        <is>
          <t>AIG</t>
        </is>
      </c>
      <c r="B133" t="inlineStr">
        <is>
          <t>IG</t>
        </is>
      </c>
      <c r="C133" t="inlineStr">
        <is>
          <t>AIG 5 1/8 03/27/33</t>
        </is>
      </c>
      <c r="D133" t="inlineStr">
        <is>
          <t>AIG CDS USD SR 5Y D14 Corp</t>
        </is>
      </c>
      <c r="E133" t="inlineStr">
        <is>
          <t>US026874DS37</t>
        </is>
      </c>
      <c r="F133" s="2" t="n">
        <v>45659</v>
      </c>
      <c r="G133" s="2" t="n">
        <v>46225</v>
      </c>
      <c r="H133" s="2" t="n">
        <v>48750</v>
      </c>
      <c r="I133" s="3" t="n">
        <v>77.0175</v>
      </c>
      <c r="J133" s="3" t="n">
        <v>52.8114</v>
      </c>
      <c r="K133" s="3" t="n">
        <v>70.376</v>
      </c>
      <c r="L133" s="3" t="n">
        <v>55.885</v>
      </c>
      <c r="M133" s="3" t="n">
        <v>6.641499999999994</v>
      </c>
      <c r="N133" s="3" t="n">
        <v>-19.09529999999999</v>
      </c>
      <c r="O133" s="3" t="n">
        <v>15.4985</v>
      </c>
      <c r="P133" s="4" t="n">
        <v>74.39714630945427</v>
      </c>
      <c r="Q133" s="3" t="n">
        <v>-17.56460000000001</v>
      </c>
      <c r="R133" s="3" t="n">
        <v>-35.17659999999999</v>
      </c>
      <c r="S133" s="3" t="n">
        <v>-3.803699999999992</v>
      </c>
      <c r="T133" s="4" t="n">
        <v>56.13762196035428</v>
      </c>
      <c r="U133" s="5">
        <f>IFERROR(BDP(E133&amp;" Corp","LAST_PRICE"),"--")</f>
        <v/>
      </c>
      <c r="V133" s="6">
        <f>IFERROR(BDP(E133&amp;" Corp","YAS_BENCHMARK_BOND_ISIN"),"--")</f>
        <v/>
      </c>
      <c r="W133" s="5">
        <f>IFERROR(BDP(V133&amp;" CORP","LAST_PRICE"),"--")</f>
        <v/>
      </c>
      <c r="X133" s="7">
        <f>IFERROR(BDP(E133&amp;" Corp","YAS_YLD_SPREAD","YAS_BOND_PX="&amp;U133,"YAS_BNCHMRK_BOND_PX="&amp;W133),"--")</f>
        <v/>
      </c>
      <c r="Y133" s="7">
        <f>IFERROR(BDP(E133&amp;" Corp","BLOOMBERG_MID_G_SPREAD","YAS_BOND_PX="&amp;U133,"YAS_BNCHMRK_BOND_PX="&amp;W133),"--")</f>
        <v/>
      </c>
      <c r="Z133" s="7">
        <f>IFERROR(BDP(D133,"LAST_PRICE"),"--")</f>
        <v/>
      </c>
      <c r="AA133" s="7">
        <f>IFERROR(Z133-Y133,"--")</f>
        <v/>
      </c>
      <c r="AB133" s="8">
        <f>IFERROR((AA133-R133)/(S133-R133)*100,"--")</f>
        <v/>
      </c>
    </row>
    <row r="134">
      <c r="A134" t="inlineStr">
        <is>
          <t>ALL</t>
        </is>
      </c>
      <c r="B134" t="inlineStr">
        <is>
          <t>IG</t>
        </is>
      </c>
      <c r="C134" t="inlineStr">
        <is>
          <t>ALL 5 1/4 03/30/33</t>
        </is>
      </c>
      <c r="D134" t="inlineStr">
        <is>
          <t>ALL CDS USD SR 5Y D14 Corp</t>
        </is>
      </c>
      <c r="E134" t="inlineStr">
        <is>
          <t>US020002BK68</t>
        </is>
      </c>
      <c r="F134" s="2" t="n">
        <v>45659</v>
      </c>
      <c r="G134" s="2" t="n">
        <v>46225</v>
      </c>
      <c r="H134" s="2" t="n">
        <v>48750</v>
      </c>
      <c r="I134" s="3" t="n">
        <v>39.5325</v>
      </c>
      <c r="J134" s="3" t="n">
        <v>30.1765</v>
      </c>
      <c r="K134" s="3" t="n">
        <v>63.895</v>
      </c>
      <c r="L134" s="3" t="n">
        <v>50.064</v>
      </c>
      <c r="M134" s="3" t="n">
        <v>-24.3625</v>
      </c>
      <c r="N134" s="3" t="n">
        <v>-70.5141</v>
      </c>
      <c r="O134" s="3" t="n">
        <v>-20.7082</v>
      </c>
      <c r="P134" s="4" t="n">
        <v>92.6629174455235</v>
      </c>
      <c r="Q134" s="3" t="n">
        <v>-33.71850000000001</v>
      </c>
      <c r="R134" s="3" t="n">
        <v>-77.1122</v>
      </c>
      <c r="S134" s="3" t="n">
        <v>-30.9868</v>
      </c>
      <c r="T134" s="4" t="n">
        <v>94.07766653514113</v>
      </c>
      <c r="U134" s="5">
        <f>IFERROR(BDP(E134&amp;" Corp","LAST_PRICE"),"--")</f>
        <v/>
      </c>
      <c r="V134" s="6">
        <f>IFERROR(BDP(E134&amp;" Corp","YAS_BENCHMARK_BOND_ISIN"),"--")</f>
        <v/>
      </c>
      <c r="W134" s="5">
        <f>IFERROR(BDP(V134&amp;" CORP","LAST_PRICE"),"--")</f>
        <v/>
      </c>
      <c r="X134" s="7">
        <f>IFERROR(BDP(E134&amp;" Corp","YAS_YLD_SPREAD","YAS_BOND_PX="&amp;U134,"YAS_BNCHMRK_BOND_PX="&amp;W134),"--")</f>
        <v/>
      </c>
      <c r="Y134" s="7">
        <f>IFERROR(BDP(E134&amp;" Corp","BLOOMBERG_MID_G_SPREAD","YAS_BOND_PX="&amp;U134,"YAS_BNCHMRK_BOND_PX="&amp;W134),"--")</f>
        <v/>
      </c>
      <c r="Z134" s="7">
        <f>IFERROR(BDP(D134,"LAST_PRICE"),"--")</f>
        <v/>
      </c>
      <c r="AA134" s="7">
        <f>IFERROR(Z134-Y134,"--")</f>
        <v/>
      </c>
      <c r="AB134" s="8">
        <f>IFERROR((AA134-R134)/(S134-R134)*100,"--")</f>
        <v/>
      </c>
    </row>
    <row r="135">
      <c r="A135" t="inlineStr">
        <is>
          <t>ALLY</t>
        </is>
      </c>
      <c r="B135" t="inlineStr">
        <is>
          <t>IG</t>
        </is>
      </c>
      <c r="C135" t="inlineStr">
        <is>
          <t>ALLY 8 11/01/31</t>
        </is>
      </c>
      <c r="D135" t="inlineStr">
        <is>
          <t>ALLY CDS USD SR 5Y D14 Corp</t>
        </is>
      </c>
      <c r="E135" t="inlineStr">
        <is>
          <t>US36186CBY84</t>
        </is>
      </c>
      <c r="F135" s="2" t="n">
        <v>45659</v>
      </c>
      <c r="G135" s="2" t="n">
        <v>46225</v>
      </c>
      <c r="H135" s="2" t="n">
        <v>48202</v>
      </c>
      <c r="I135" s="3" t="n">
        <v>138.4192</v>
      </c>
      <c r="J135" s="3" t="n">
        <v>125.7203</v>
      </c>
      <c r="K135" s="3" t="n">
        <v>123.075</v>
      </c>
      <c r="L135" s="3" t="n">
        <v>125.781</v>
      </c>
      <c r="M135" s="3" t="n">
        <v>15.34419999999999</v>
      </c>
      <c r="N135" s="3" t="n">
        <v>-26.64959999999999</v>
      </c>
      <c r="O135" s="3" t="n">
        <v>35.27169999999998</v>
      </c>
      <c r="P135" s="4" t="n">
        <v>67.81802061649222</v>
      </c>
      <c r="Q135" s="3" t="n">
        <v>2.645299999999992</v>
      </c>
      <c r="R135" s="3" t="n">
        <v>-35.65870000000001</v>
      </c>
      <c r="S135" s="3" t="n">
        <v>24.7877</v>
      </c>
      <c r="T135" s="4" t="n">
        <v>63.36853807670928</v>
      </c>
      <c r="U135" s="5">
        <f>IFERROR(BDP(E135&amp;" Corp","LAST_PRICE"),"--")</f>
        <v/>
      </c>
      <c r="V135" s="6">
        <f>IFERROR(BDP(E135&amp;" Corp","YAS_BENCHMARK_BOND_ISIN"),"--")</f>
        <v/>
      </c>
      <c r="W135" s="5">
        <f>IFERROR(BDP(V135&amp;" CORP","LAST_PRICE"),"--")</f>
        <v/>
      </c>
      <c r="X135" s="7">
        <f>IFERROR(BDP(E135&amp;" Corp","YAS_YLD_SPREAD","YAS_BOND_PX="&amp;U135,"YAS_BNCHMRK_BOND_PX="&amp;W135),"--")</f>
        <v/>
      </c>
      <c r="Y135" s="7">
        <f>IFERROR(BDP(E135&amp;" Corp","BLOOMBERG_MID_G_SPREAD","YAS_BOND_PX="&amp;U135,"YAS_BNCHMRK_BOND_PX="&amp;W135),"--")</f>
        <v/>
      </c>
      <c r="Z135" s="7">
        <f>IFERROR(BDP(D135,"LAST_PRICE"),"--")</f>
        <v/>
      </c>
      <c r="AA135" s="7">
        <f>IFERROR(Z135-Y135,"--")</f>
        <v/>
      </c>
      <c r="AB135" s="8">
        <f>IFERROR((AA135-R135)/(S135-R135)*100,"--")</f>
        <v/>
      </c>
    </row>
    <row r="136">
      <c r="A136" t="inlineStr">
        <is>
          <t>AMD</t>
        </is>
      </c>
      <c r="B136" t="inlineStr">
        <is>
          <t>IG</t>
        </is>
      </c>
      <c r="C136" t="inlineStr">
        <is>
          <t>AMD 3.924 06/01/32</t>
        </is>
      </c>
      <c r="D136" t="inlineStr">
        <is>
          <t>AMD CDS USD SR 5Y D14 Corp</t>
        </is>
      </c>
      <c r="E136" t="inlineStr">
        <is>
          <t>US007903BF39</t>
        </is>
      </c>
      <c r="F136" s="2" t="n">
        <v>45659</v>
      </c>
      <c r="G136" s="2" t="n">
        <v>46225</v>
      </c>
      <c r="H136" s="2" t="n">
        <v>48385</v>
      </c>
      <c r="I136" s="3" t="n">
        <v>76.64919999999999</v>
      </c>
      <c r="J136" s="3" t="n">
        <v>68.27679999999999</v>
      </c>
      <c r="K136" s="3" t="n">
        <v>41.219</v>
      </c>
      <c r="L136" s="3" t="n">
        <v>51.786</v>
      </c>
      <c r="M136" s="3" t="n">
        <v>35.43019999999999</v>
      </c>
      <c r="N136" s="3" t="n">
        <v>-17.7863</v>
      </c>
      <c r="O136" s="3" t="n">
        <v>36.13159999999999</v>
      </c>
      <c r="P136" s="4" t="n">
        <v>98.69913331194279</v>
      </c>
      <c r="Q136" s="3" t="n">
        <v>27.05779999999999</v>
      </c>
      <c r="R136" s="3" t="n">
        <v>-22.014</v>
      </c>
      <c r="S136" s="3" t="n">
        <v>27.7674</v>
      </c>
      <c r="T136" s="4" t="n">
        <v>98.57456801134559</v>
      </c>
      <c r="U136" s="5">
        <f>IFERROR(BDP(E136&amp;" Corp","LAST_PRICE"),"--")</f>
        <v/>
      </c>
      <c r="V136" s="6">
        <f>IFERROR(BDP(E136&amp;" Corp","YAS_BENCHMARK_BOND_ISIN"),"--")</f>
        <v/>
      </c>
      <c r="W136" s="5">
        <f>IFERROR(BDP(V136&amp;" CORP","LAST_PRICE"),"--")</f>
        <v/>
      </c>
      <c r="X136" s="7">
        <f>IFERROR(BDP(E136&amp;" Corp","YAS_YLD_SPREAD","YAS_BOND_PX="&amp;U136,"YAS_BNCHMRK_BOND_PX="&amp;W136),"--")</f>
        <v/>
      </c>
      <c r="Y136" s="7">
        <f>IFERROR(BDP(E136&amp;" Corp","BLOOMBERG_MID_G_SPREAD","YAS_BOND_PX="&amp;U136,"YAS_BNCHMRK_BOND_PX="&amp;W136),"--")</f>
        <v/>
      </c>
      <c r="Z136" s="7">
        <f>IFERROR(BDP(D136,"LAST_PRICE"),"--")</f>
        <v/>
      </c>
      <c r="AA136" s="7">
        <f>IFERROR(Z136-Y136,"--")</f>
        <v/>
      </c>
      <c r="AB136" s="8">
        <f>IFERROR((AA136-R136)/(S136-R136)*100,"--")</f>
        <v/>
      </c>
    </row>
    <row r="137">
      <c r="A137" t="inlineStr">
        <is>
          <t>AMGN</t>
        </is>
      </c>
      <c r="B137" t="inlineStr">
        <is>
          <t>IG</t>
        </is>
      </c>
      <c r="C137" t="inlineStr">
        <is>
          <t>AMGN 5 1/4 03/02/33</t>
        </is>
      </c>
      <c r="D137" t="inlineStr">
        <is>
          <t>AMGN CDS USD SR 5Y D14 Corp</t>
        </is>
      </c>
      <c r="E137" t="inlineStr">
        <is>
          <t>US031162DR88</t>
        </is>
      </c>
      <c r="F137" s="2" t="n">
        <v>45659</v>
      </c>
      <c r="G137" s="2" t="n">
        <v>46225</v>
      </c>
      <c r="H137" s="2" t="n">
        <v>48750</v>
      </c>
      <c r="I137" s="3" t="n">
        <v>41.2078</v>
      </c>
      <c r="J137" s="3" t="n">
        <v>29.0879</v>
      </c>
      <c r="K137" s="3" t="n">
        <v>65.575</v>
      </c>
      <c r="L137" s="3" t="n">
        <v>50.471</v>
      </c>
      <c r="M137" s="3" t="n">
        <v>-24.3672</v>
      </c>
      <c r="N137" s="3" t="n">
        <v>-47.9855</v>
      </c>
      <c r="O137" s="3" t="n">
        <v>-12.6566</v>
      </c>
      <c r="P137" s="4" t="n">
        <v>66.85263339645446</v>
      </c>
      <c r="Q137" s="3" t="n">
        <v>-36.4871</v>
      </c>
      <c r="R137" s="3" t="n">
        <v>-59.8956</v>
      </c>
      <c r="S137" s="3" t="n">
        <v>-24.2321</v>
      </c>
      <c r="T137" s="4" t="n">
        <v>65.63713600740253</v>
      </c>
      <c r="U137" s="5">
        <f>IFERROR(BDP(E137&amp;" Corp","LAST_PRICE"),"--")</f>
        <v/>
      </c>
      <c r="V137" s="6">
        <f>IFERROR(BDP(E137&amp;" Corp","YAS_BENCHMARK_BOND_ISIN"),"--")</f>
        <v/>
      </c>
      <c r="W137" s="5">
        <f>IFERROR(BDP(V137&amp;" CORP","LAST_PRICE"),"--")</f>
        <v/>
      </c>
      <c r="X137" s="7">
        <f>IFERROR(BDP(E137&amp;" Corp","YAS_YLD_SPREAD","YAS_BOND_PX="&amp;U137,"YAS_BNCHMRK_BOND_PX="&amp;W137),"--")</f>
        <v/>
      </c>
      <c r="Y137" s="7">
        <f>IFERROR(BDP(E137&amp;" Corp","BLOOMBERG_MID_G_SPREAD","YAS_BOND_PX="&amp;U137,"YAS_BNCHMRK_BOND_PX="&amp;W137),"--")</f>
        <v/>
      </c>
      <c r="Z137" s="7">
        <f>IFERROR(BDP(D137,"LAST_PRICE"),"--")</f>
        <v/>
      </c>
      <c r="AA137" s="7">
        <f>IFERROR(Z137-Y137,"--")</f>
        <v/>
      </c>
      <c r="AB137" s="8">
        <f>IFERROR((AA137-R137)/(S137-R137)*100,"--")</f>
        <v/>
      </c>
    </row>
    <row r="138">
      <c r="A138" t="inlineStr">
        <is>
          <t>AMZN</t>
        </is>
      </c>
      <c r="B138" t="inlineStr">
        <is>
          <t>IG</t>
        </is>
      </c>
      <c r="C138" t="inlineStr">
        <is>
          <t>AMZN 3.6 04/13/32</t>
        </is>
      </c>
      <c r="D138" t="inlineStr">
        <is>
          <t>AMZN CDS USD SR 5Y D14 Corp</t>
        </is>
      </c>
      <c r="E138" t="inlineStr">
        <is>
          <t>US023135CH74</t>
        </is>
      </c>
      <c r="F138" s="2" t="n">
        <v>45659</v>
      </c>
      <c r="G138" s="2" t="n">
        <v>46225</v>
      </c>
      <c r="H138" s="2" t="n">
        <v>48385</v>
      </c>
      <c r="I138" s="3" t="n">
        <v>66.2148</v>
      </c>
      <c r="J138" s="3" t="n">
        <v>59.4758</v>
      </c>
      <c r="K138" s="3" t="n">
        <v>47.18</v>
      </c>
      <c r="L138" s="3" t="n">
        <v>55.463</v>
      </c>
      <c r="M138" s="3" t="n">
        <v>19.0348</v>
      </c>
      <c r="N138" s="3" t="n">
        <v>-29.54529999999999</v>
      </c>
      <c r="O138" s="3" t="n">
        <v>25.4596</v>
      </c>
      <c r="P138" s="4" t="n">
        <v>88.31958607324074</v>
      </c>
      <c r="Q138" s="3" t="n">
        <v>12.2958</v>
      </c>
      <c r="R138" s="3" t="n">
        <v>-32.67599999999999</v>
      </c>
      <c r="S138" s="3" t="n">
        <v>17.8706</v>
      </c>
      <c r="T138" s="4" t="n">
        <v>88.97096936292451</v>
      </c>
      <c r="U138" s="5">
        <f>IFERROR(BDP(E138&amp;" Corp","LAST_PRICE"),"--")</f>
        <v/>
      </c>
      <c r="V138" s="6">
        <f>IFERROR(BDP(E138&amp;" Corp","YAS_BENCHMARK_BOND_ISIN"),"--")</f>
        <v/>
      </c>
      <c r="W138" s="5">
        <f>IFERROR(BDP(V138&amp;" CORP","LAST_PRICE"),"--")</f>
        <v/>
      </c>
      <c r="X138" s="7">
        <f>IFERROR(BDP(E138&amp;" Corp","YAS_YLD_SPREAD","YAS_BOND_PX="&amp;U138,"YAS_BNCHMRK_BOND_PX="&amp;W138),"--")</f>
        <v/>
      </c>
      <c r="Y138" s="7">
        <f>IFERROR(BDP(E138&amp;" Corp","BLOOMBERG_MID_G_SPREAD","YAS_BOND_PX="&amp;U138,"YAS_BNCHMRK_BOND_PX="&amp;W138),"--")</f>
        <v/>
      </c>
      <c r="Z138" s="7">
        <f>IFERROR(BDP(D138,"LAST_PRICE"),"--")</f>
        <v/>
      </c>
      <c r="AA138" s="7">
        <f>IFERROR(Z138-Y138,"--")</f>
        <v/>
      </c>
      <c r="AB138" s="8">
        <f>IFERROR((AA138-R138)/(S138-R138)*100,"--")</f>
        <v/>
      </c>
    </row>
    <row r="139">
      <c r="A139" t="inlineStr">
        <is>
          <t>APA</t>
        </is>
      </c>
      <c r="B139" t="inlineStr">
        <is>
          <t>IG</t>
        </is>
      </c>
      <c r="C139" t="inlineStr">
        <is>
          <t>APA 4 1/4 01/15/30</t>
        </is>
      </c>
      <c r="D139" t="inlineStr">
        <is>
          <t>APA B CDS USD SR 5Y D14 Corp</t>
        </is>
      </c>
      <c r="E139" t="inlineStr">
        <is>
          <t>US03743QAZ19</t>
        </is>
      </c>
      <c r="F139" s="2" t="n">
        <v>45919</v>
      </c>
      <c r="G139" s="2" t="n">
        <v>46225</v>
      </c>
      <c r="H139" s="2" t="n">
        <v>47654</v>
      </c>
      <c r="I139" s="3" t="n">
        <v>70.0664</v>
      </c>
      <c r="J139" s="3" t="n">
        <v>85.521</v>
      </c>
      <c r="K139" s="3" t="n">
        <v>62.608</v>
      </c>
      <c r="L139" s="3" t="n">
        <v>56.576</v>
      </c>
      <c r="M139" s="3" t="n">
        <v>7.458400000000005</v>
      </c>
      <c r="N139" s="3" t="n">
        <v>-28.4064</v>
      </c>
      <c r="O139" s="3" t="n">
        <v>20.1512</v>
      </c>
      <c r="P139" s="4" t="n">
        <v>73.86032258595976</v>
      </c>
      <c r="Q139" s="3" t="n">
        <v>22.913</v>
      </c>
      <c r="R139" s="3" t="n">
        <v>-8.521000000000001</v>
      </c>
      <c r="S139" s="3" t="n">
        <v>36.9515</v>
      </c>
      <c r="T139" s="4" t="n">
        <v>69.12749463961737</v>
      </c>
      <c r="U139" s="5">
        <f>IFERROR(BDP(E139&amp;" Corp","LAST_PRICE"),"--")</f>
        <v/>
      </c>
      <c r="V139" s="6">
        <f>IFERROR(BDP(E139&amp;" Corp","YAS_BENCHMARK_BOND_ISIN"),"--")</f>
        <v/>
      </c>
      <c r="W139" s="5">
        <f>IFERROR(BDP(V139&amp;" CORP","LAST_PRICE"),"--")</f>
        <v/>
      </c>
      <c r="X139" s="7">
        <f>IFERROR(BDP(E139&amp;" Corp","YAS_YLD_SPREAD","YAS_BOND_PX="&amp;U139,"YAS_BNCHMRK_BOND_PX="&amp;W139),"--")</f>
        <v/>
      </c>
      <c r="Y139" s="7">
        <f>IFERROR(BDP(E139&amp;" Corp","BLOOMBERG_MID_G_SPREAD","YAS_BOND_PX="&amp;U139,"YAS_BNCHMRK_BOND_PX="&amp;W139),"--")</f>
        <v/>
      </c>
      <c r="Z139" s="7">
        <f>IFERROR(BDP(D139,"LAST_PRICE"),"--")</f>
        <v/>
      </c>
      <c r="AA139" s="7">
        <f>IFERROR(Z139-Y139,"--")</f>
        <v/>
      </c>
      <c r="AB139" s="8">
        <f>IFERROR((AA139-R139)/(S139-R139)*100,"--")</f>
        <v/>
      </c>
    </row>
    <row r="140">
      <c r="A140" t="inlineStr">
        <is>
          <t>ARW</t>
        </is>
      </c>
      <c r="B140" t="inlineStr">
        <is>
          <t>IG</t>
        </is>
      </c>
      <c r="C140" t="inlineStr">
        <is>
          <t>ARW 5 7/8 04/10/34</t>
        </is>
      </c>
      <c r="D140" t="inlineStr">
        <is>
          <t>ARW CDS USD SR 5Y D14 Corp</t>
        </is>
      </c>
      <c r="E140" t="inlineStr">
        <is>
          <t>US04273WAE12</t>
        </is>
      </c>
      <c r="F140" s="2" t="n">
        <v>45659</v>
      </c>
      <c r="G140" s="2" t="n">
        <v>46225</v>
      </c>
      <c r="H140" s="2" t="n">
        <v>49115</v>
      </c>
      <c r="I140" s="3" t="n">
        <v>96.4786</v>
      </c>
      <c r="J140" s="3" t="n">
        <v>67.54179999999999</v>
      </c>
      <c r="K140" s="3" t="n">
        <v>106.118</v>
      </c>
      <c r="L140" s="3" t="n">
        <v>97.98399999999999</v>
      </c>
      <c r="M140" s="3" t="n">
        <v>-9.639399999999995</v>
      </c>
      <c r="N140" s="3" t="n">
        <v>-64.83949999999999</v>
      </c>
      <c r="O140" s="3" t="n">
        <v>-5.827500000000001</v>
      </c>
      <c r="P140" s="4" t="n">
        <v>93.54046634582798</v>
      </c>
      <c r="Q140" s="3" t="n">
        <v>-38.5762</v>
      </c>
      <c r="R140" s="3" t="n">
        <v>-86.9164</v>
      </c>
      <c r="S140" s="3" t="n">
        <v>-32.32130000000001</v>
      </c>
      <c r="T140" s="4" t="n">
        <v>88.54311101179411</v>
      </c>
      <c r="U140" s="5">
        <f>IFERROR(BDP(E140&amp;" Corp","LAST_PRICE"),"--")</f>
        <v/>
      </c>
      <c r="V140" s="6">
        <f>IFERROR(BDP(E140&amp;" Corp","YAS_BENCHMARK_BOND_ISIN"),"--")</f>
        <v/>
      </c>
      <c r="W140" s="5">
        <f>IFERROR(BDP(V140&amp;" CORP","LAST_PRICE"),"--")</f>
        <v/>
      </c>
      <c r="X140" s="7">
        <f>IFERROR(BDP(E140&amp;" Corp","YAS_YLD_SPREAD","YAS_BOND_PX="&amp;U140,"YAS_BNCHMRK_BOND_PX="&amp;W140),"--")</f>
        <v/>
      </c>
      <c r="Y140" s="7">
        <f>IFERROR(BDP(E140&amp;" Corp","BLOOMBERG_MID_G_SPREAD","YAS_BOND_PX="&amp;U140,"YAS_BNCHMRK_BOND_PX="&amp;W140),"--")</f>
        <v/>
      </c>
      <c r="Z140" s="7">
        <f>IFERROR(BDP(D140,"LAST_PRICE"),"--")</f>
        <v/>
      </c>
      <c r="AA140" s="7">
        <f>IFERROR(Z140-Y140,"--")</f>
        <v/>
      </c>
      <c r="AB140" s="8">
        <f>IFERROR((AA140-R140)/(S140-R140)*100,"--")</f>
        <v/>
      </c>
    </row>
    <row r="141">
      <c r="A141" t="inlineStr">
        <is>
          <t>AVGO</t>
        </is>
      </c>
      <c r="B141" t="inlineStr">
        <is>
          <t>IG</t>
        </is>
      </c>
      <c r="C141" t="inlineStr">
        <is>
          <t>AVGO 4.6 01/15/33</t>
        </is>
      </c>
      <c r="D141" t="inlineStr">
        <is>
          <t>AVGO B CDS USD SR 5Y D14 Corp</t>
        </is>
      </c>
      <c r="E141" t="inlineStr">
        <is>
          <t>US11135FDA66</t>
        </is>
      </c>
      <c r="F141" s="2" t="n">
        <v>46029</v>
      </c>
      <c r="G141" s="2" t="n">
        <v>46225</v>
      </c>
      <c r="H141" s="2" t="n">
        <v>48750</v>
      </c>
      <c r="I141" s="3" t="n">
        <v>95.79730000000001</v>
      </c>
      <c r="J141" s="3" t="n">
        <v>79.5399</v>
      </c>
      <c r="K141" s="3" t="n">
        <v>72.661</v>
      </c>
      <c r="L141" s="3" t="n">
        <v>75.75</v>
      </c>
      <c r="M141" s="3" t="n">
        <v>23.13630000000001</v>
      </c>
      <c r="N141" s="3" t="n">
        <v>-19.6347</v>
      </c>
      <c r="O141" s="3" t="n">
        <v>25.5337</v>
      </c>
      <c r="P141" s="4" t="n">
        <v>94.69230701109628</v>
      </c>
      <c r="Q141" s="3" t="n">
        <v>6.878900000000002</v>
      </c>
      <c r="R141" s="3" t="n">
        <v>-31.6228</v>
      </c>
      <c r="S141" s="3" t="n">
        <v>11.06439999999999</v>
      </c>
      <c r="T141" s="4" t="n">
        <v>90.19495305384287</v>
      </c>
      <c r="U141" s="5">
        <f>IFERROR(BDP(E141&amp;" Corp","LAST_PRICE"),"--")</f>
        <v/>
      </c>
      <c r="V141" s="6">
        <f>IFERROR(BDP(E141&amp;" Corp","YAS_BENCHMARK_BOND_ISIN"),"--")</f>
        <v/>
      </c>
      <c r="W141" s="5">
        <f>IFERROR(BDP(V141&amp;" CORP","LAST_PRICE"),"--")</f>
        <v/>
      </c>
      <c r="X141" s="7">
        <f>IFERROR(BDP(E141&amp;" Corp","YAS_YLD_SPREAD","YAS_BOND_PX="&amp;U141,"YAS_BNCHMRK_BOND_PX="&amp;W141),"--")</f>
        <v/>
      </c>
      <c r="Y141" s="7">
        <f>IFERROR(BDP(E141&amp;" Corp","BLOOMBERG_MID_G_SPREAD","YAS_BOND_PX="&amp;U141,"YAS_BNCHMRK_BOND_PX="&amp;W141),"--")</f>
        <v/>
      </c>
      <c r="Z141" s="7">
        <f>IFERROR(BDP(D141,"LAST_PRICE"),"--")</f>
        <v/>
      </c>
      <c r="AA141" s="7">
        <f>IFERROR(Z141-Y141,"--")</f>
        <v/>
      </c>
      <c r="AB141" s="8">
        <f>IFERROR((AA141-R141)/(S141-R141)*100,"--")</f>
        <v/>
      </c>
    </row>
    <row r="142">
      <c r="A142" t="inlineStr">
        <is>
          <t>AVT</t>
        </is>
      </c>
      <c r="B142" t="inlineStr">
        <is>
          <t>IG</t>
        </is>
      </c>
      <c r="C142" t="inlineStr">
        <is>
          <t>AVT 5 1/2 06/01/32</t>
        </is>
      </c>
      <c r="D142" t="inlineStr">
        <is>
          <t>AVT CDS USD SR 5Y D14 Corp</t>
        </is>
      </c>
      <c r="E142" t="inlineStr">
        <is>
          <t>US053807AV56</t>
        </is>
      </c>
      <c r="F142" s="2" t="n">
        <v>45659</v>
      </c>
      <c r="G142" s="2" t="n">
        <v>46225</v>
      </c>
      <c r="H142" s="2" t="n">
        <v>48385</v>
      </c>
      <c r="I142" s="3" t="n">
        <v>88.496</v>
      </c>
      <c r="J142" s="3" t="n">
        <v>70.7931</v>
      </c>
      <c r="K142" s="3" t="n">
        <v>98.163</v>
      </c>
      <c r="L142" s="3" t="n">
        <v>102.254</v>
      </c>
      <c r="M142" s="3" t="n">
        <v>-9.667000000000002</v>
      </c>
      <c r="N142" s="3" t="n">
        <v>-66.6758</v>
      </c>
      <c r="O142" s="3" t="n">
        <v>-5.874600000000001</v>
      </c>
      <c r="P142" s="4" t="n">
        <v>93.7626231061229</v>
      </c>
      <c r="Q142" s="3" t="n">
        <v>-27.3699</v>
      </c>
      <c r="R142" s="3" t="n">
        <v>-80.4618</v>
      </c>
      <c r="S142" s="3" t="n">
        <v>-21.3638</v>
      </c>
      <c r="T142" s="4" t="n">
        <v>89.83705032319197</v>
      </c>
      <c r="U142" s="5">
        <f>IFERROR(BDP(E142&amp;" Corp","LAST_PRICE"),"--")</f>
        <v/>
      </c>
      <c r="V142" s="6">
        <f>IFERROR(BDP(E142&amp;" Corp","YAS_BENCHMARK_BOND_ISIN"),"--")</f>
        <v/>
      </c>
      <c r="W142" s="5">
        <f>IFERROR(BDP(V142&amp;" CORP","LAST_PRICE"),"--")</f>
        <v/>
      </c>
      <c r="X142" s="7">
        <f>IFERROR(BDP(E142&amp;" Corp","YAS_YLD_SPREAD","YAS_BOND_PX="&amp;U142,"YAS_BNCHMRK_BOND_PX="&amp;W142),"--")</f>
        <v/>
      </c>
      <c r="Y142" s="7">
        <f>IFERROR(BDP(E142&amp;" Corp","BLOOMBERG_MID_G_SPREAD","YAS_BOND_PX="&amp;U142,"YAS_BNCHMRK_BOND_PX="&amp;W142),"--")</f>
        <v/>
      </c>
      <c r="Z142" s="7">
        <f>IFERROR(BDP(D142,"LAST_PRICE"),"--")</f>
        <v/>
      </c>
      <c r="AA142" s="7">
        <f>IFERROR(Z142-Y142,"--")</f>
        <v/>
      </c>
      <c r="AB142" s="8">
        <f>IFERROR((AA142-R142)/(S142-R142)*100,"--")</f>
        <v/>
      </c>
    </row>
    <row r="143">
      <c r="A143" t="inlineStr">
        <is>
          <t>AXP</t>
        </is>
      </c>
      <c r="B143" t="inlineStr">
        <is>
          <t>IG</t>
        </is>
      </c>
      <c r="C143" t="inlineStr">
        <is>
          <t>AXP 4.42 08/03/33</t>
        </is>
      </c>
      <c r="D143" t="inlineStr">
        <is>
          <t>AXPRS CDS USD SR 5Y D14 Corp</t>
        </is>
      </c>
      <c r="E143" t="inlineStr">
        <is>
          <t>US025816DA48</t>
        </is>
      </c>
      <c r="F143" s="2" t="n">
        <v>45659</v>
      </c>
      <c r="G143" s="2" t="n">
        <v>46225</v>
      </c>
      <c r="H143" s="2" t="n">
        <v>48933</v>
      </c>
      <c r="I143" s="3" t="n">
        <v>44.6046</v>
      </c>
      <c r="J143" s="3" t="n">
        <v>30.7391</v>
      </c>
      <c r="K143" s="3" t="n">
        <v>67.777</v>
      </c>
      <c r="L143" s="3" t="n">
        <v>75.651</v>
      </c>
      <c r="M143" s="3" t="n">
        <v>-23.1724</v>
      </c>
      <c r="N143" s="3" t="n">
        <v>-55.96880000000001</v>
      </c>
      <c r="O143" s="3" t="n">
        <v>-11.7977</v>
      </c>
      <c r="P143" s="4" t="n">
        <v>74.24854712696762</v>
      </c>
      <c r="Q143" s="3" t="n">
        <v>-37.0379</v>
      </c>
      <c r="R143" s="3" t="n">
        <v>-67.74120000000001</v>
      </c>
      <c r="S143" s="3" t="n">
        <v>-26.138</v>
      </c>
      <c r="T143" s="4" t="n">
        <v>73.80033266671795</v>
      </c>
      <c r="U143" s="5">
        <f>IFERROR(BDP(E143&amp;" Corp","LAST_PRICE"),"--")</f>
        <v/>
      </c>
      <c r="V143" s="6">
        <f>IFERROR(BDP(E143&amp;" Corp","YAS_BENCHMARK_BOND_ISIN"),"--")</f>
        <v/>
      </c>
      <c r="W143" s="5">
        <f>IFERROR(BDP(V143&amp;" CORP","LAST_PRICE"),"--")</f>
        <v/>
      </c>
      <c r="X143" s="7">
        <f>IFERROR(BDP(E143&amp;" Corp","YAS_YLD_SPREAD","YAS_BOND_PX="&amp;U143,"YAS_BNCHMRK_BOND_PX="&amp;W143),"--")</f>
        <v/>
      </c>
      <c r="Y143" s="7">
        <f>IFERROR(BDP(E143&amp;" Corp","BLOOMBERG_MID_G_SPREAD","YAS_BOND_PX="&amp;U143,"YAS_BNCHMRK_BOND_PX="&amp;W143),"--")</f>
        <v/>
      </c>
      <c r="Z143" s="7">
        <f>IFERROR(BDP(D143,"LAST_PRICE"),"--")</f>
        <v/>
      </c>
      <c r="AA143" s="7">
        <f>IFERROR(Z143-Y143,"--")</f>
        <v/>
      </c>
      <c r="AB143" s="8">
        <f>IFERROR((AA143-R143)/(S143-R143)*100,"--")</f>
        <v/>
      </c>
    </row>
    <row r="144">
      <c r="A144" t="inlineStr">
        <is>
          <t>AZO</t>
        </is>
      </c>
      <c r="B144" t="inlineStr">
        <is>
          <t>IG</t>
        </is>
      </c>
      <c r="C144" t="inlineStr">
        <is>
          <t>AZO 5.4 07/15/34</t>
        </is>
      </c>
      <c r="D144" t="inlineStr">
        <is>
          <t>AZO CDS USD SR 5Y D14 Corp</t>
        </is>
      </c>
      <c r="E144" t="inlineStr">
        <is>
          <t>US053332BK78</t>
        </is>
      </c>
      <c r="F144" s="2" t="n">
        <v>45659</v>
      </c>
      <c r="G144" s="2" t="n">
        <v>46225</v>
      </c>
      <c r="H144" s="2" t="n">
        <v>49298</v>
      </c>
      <c r="I144" s="3" t="n">
        <v>49.8297</v>
      </c>
      <c r="J144" s="3" t="n">
        <v>29.9519</v>
      </c>
      <c r="K144" s="3" t="n">
        <v>81.877</v>
      </c>
      <c r="L144" s="3" t="n">
        <v>76.254</v>
      </c>
      <c r="M144" s="3" t="n">
        <v>-32.04729999999999</v>
      </c>
      <c r="N144" s="3" t="n">
        <v>-57.7829</v>
      </c>
      <c r="O144" s="3" t="n">
        <v>-18.4372</v>
      </c>
      <c r="P144" s="4" t="n">
        <v>65.40892651547694</v>
      </c>
      <c r="Q144" s="3" t="n">
        <v>-51.9251</v>
      </c>
      <c r="R144" s="3" t="n">
        <v>-78.9984</v>
      </c>
      <c r="S144" s="3" t="n">
        <v>-39.91379999999999</v>
      </c>
      <c r="T144" s="4" t="n">
        <v>69.26845867681899</v>
      </c>
      <c r="U144" s="5">
        <f>IFERROR(BDP(E144&amp;" Corp","LAST_PRICE"),"--")</f>
        <v/>
      </c>
      <c r="V144" s="6">
        <f>IFERROR(BDP(E144&amp;" Corp","YAS_BENCHMARK_BOND_ISIN"),"--")</f>
        <v/>
      </c>
      <c r="W144" s="5">
        <f>IFERROR(BDP(V144&amp;" CORP","LAST_PRICE"),"--")</f>
        <v/>
      </c>
      <c r="X144" s="7">
        <f>IFERROR(BDP(E144&amp;" Corp","YAS_YLD_SPREAD","YAS_BOND_PX="&amp;U144,"YAS_BNCHMRK_BOND_PX="&amp;W144),"--")</f>
        <v/>
      </c>
      <c r="Y144" s="7">
        <f>IFERROR(BDP(E144&amp;" Corp","BLOOMBERG_MID_G_SPREAD","YAS_BOND_PX="&amp;U144,"YAS_BNCHMRK_BOND_PX="&amp;W144),"--")</f>
        <v/>
      </c>
      <c r="Z144" s="7">
        <f>IFERROR(BDP(D144,"LAST_PRICE"),"--")</f>
        <v/>
      </c>
      <c r="AA144" s="7">
        <f>IFERROR(Z144-Y144,"--")</f>
        <v/>
      </c>
      <c r="AB144" s="8">
        <f>IFERROR((AA144-R144)/(S144-R144)*100,"--")</f>
        <v/>
      </c>
    </row>
    <row r="145">
      <c r="A145" t="inlineStr">
        <is>
          <t>BA</t>
        </is>
      </c>
      <c r="B145" t="inlineStr">
        <is>
          <t>IG</t>
        </is>
      </c>
      <c r="C145" t="inlineStr">
        <is>
          <t>BA 6.528 05/01/34</t>
        </is>
      </c>
      <c r="D145" t="inlineStr">
        <is>
          <t>BA CO CDS USD SR 5Y D14 Corp</t>
        </is>
      </c>
      <c r="E145" t="inlineStr">
        <is>
          <t>US097023DS12</t>
        </is>
      </c>
      <c r="F145" s="2" t="n">
        <v>45859</v>
      </c>
      <c r="G145" s="2" t="n">
        <v>46225</v>
      </c>
      <c r="H145" s="2" t="n">
        <v>49115</v>
      </c>
      <c r="I145" s="3" t="n">
        <v>86.1528</v>
      </c>
      <c r="J145" s="3" t="n">
        <v>60.0467</v>
      </c>
      <c r="K145" s="3" t="n">
        <v>77.178</v>
      </c>
      <c r="L145" s="3" t="n">
        <v>67.944</v>
      </c>
      <c r="M145" s="3" t="n">
        <v>8.974800000000002</v>
      </c>
      <c r="N145" s="3" t="n">
        <v>-10.10900000000001</v>
      </c>
      <c r="O145" s="3" t="n">
        <v>17.7983</v>
      </c>
      <c r="P145" s="4" t="n">
        <v>68.38282456561548</v>
      </c>
      <c r="Q145" s="3" t="n">
        <v>-17.1313</v>
      </c>
      <c r="R145" s="3" t="n">
        <v>-28.6559</v>
      </c>
      <c r="S145" s="3" t="n">
        <v>-8.839700000000008</v>
      </c>
      <c r="T145" s="4" t="n">
        <v>58.15746712285912</v>
      </c>
      <c r="U145" s="5">
        <f>IFERROR(BDP(E145&amp;" Corp","LAST_PRICE"),"--")</f>
        <v/>
      </c>
      <c r="V145" s="6">
        <f>IFERROR(BDP(E145&amp;" Corp","YAS_BENCHMARK_BOND_ISIN"),"--")</f>
        <v/>
      </c>
      <c r="W145" s="5">
        <f>IFERROR(BDP(V145&amp;" CORP","LAST_PRICE"),"--")</f>
        <v/>
      </c>
      <c r="X145" s="7">
        <f>IFERROR(BDP(E145&amp;" Corp","YAS_YLD_SPREAD","YAS_BOND_PX="&amp;U145,"YAS_BNCHMRK_BOND_PX="&amp;W145),"--")</f>
        <v/>
      </c>
      <c r="Y145" s="7">
        <f>IFERROR(BDP(E145&amp;" Corp","BLOOMBERG_MID_G_SPREAD","YAS_BOND_PX="&amp;U145,"YAS_BNCHMRK_BOND_PX="&amp;W145),"--")</f>
        <v/>
      </c>
      <c r="Z145" s="7">
        <f>IFERROR(BDP(D145,"LAST_PRICE"),"--")</f>
        <v/>
      </c>
      <c r="AA145" s="7">
        <f>IFERROR(Z145-Y145,"--")</f>
        <v/>
      </c>
      <c r="AB145" s="8">
        <f>IFERROR((AA145-R145)/(S145-R145)*100,"--")</f>
        <v/>
      </c>
    </row>
    <row r="146">
      <c r="A146" t="inlineStr">
        <is>
          <t>BAX</t>
        </is>
      </c>
      <c r="B146" t="inlineStr">
        <is>
          <t>IG</t>
        </is>
      </c>
      <c r="C146" t="inlineStr">
        <is>
          <t>BAX 2.539 02/01/32</t>
        </is>
      </c>
      <c r="D146" t="inlineStr">
        <is>
          <t>BAX CDS USD SR 5Y D14 Corp</t>
        </is>
      </c>
      <c r="E146" t="inlineStr">
        <is>
          <t>US071813CS61</t>
        </is>
      </c>
      <c r="F146" s="2" t="n">
        <v>45659</v>
      </c>
      <c r="G146" s="2" t="n">
        <v>46225</v>
      </c>
      <c r="H146" s="2" t="n">
        <v>48385</v>
      </c>
      <c r="I146" s="3" t="n">
        <v>99.89109999999999</v>
      </c>
      <c r="J146" s="3" t="n">
        <v>85.4913</v>
      </c>
      <c r="K146" s="3" t="n">
        <v>122.588</v>
      </c>
      <c r="L146" s="3" t="n">
        <v>128.794</v>
      </c>
      <c r="M146" s="3" t="n">
        <v>-22.6969</v>
      </c>
      <c r="N146" s="3" t="n">
        <v>-45.34389999999999</v>
      </c>
      <c r="O146" s="3" t="n">
        <v>4.798600000000008</v>
      </c>
      <c r="P146" s="4" t="n">
        <v>45.16527895497829</v>
      </c>
      <c r="Q146" s="3" t="n">
        <v>-37.0967</v>
      </c>
      <c r="R146" s="3" t="n">
        <v>-56.33609999999999</v>
      </c>
      <c r="S146" s="3" t="n">
        <v>-6.404799999999994</v>
      </c>
      <c r="T146" s="4" t="n">
        <v>38.5317426143521</v>
      </c>
      <c r="U146" s="5">
        <f>IFERROR(BDP(E146&amp;" Corp","LAST_PRICE"),"--")</f>
        <v/>
      </c>
      <c r="V146" s="6">
        <f>IFERROR(BDP(E146&amp;" Corp","YAS_BENCHMARK_BOND_ISIN"),"--")</f>
        <v/>
      </c>
      <c r="W146" s="5">
        <f>IFERROR(BDP(V146&amp;" CORP","LAST_PRICE"),"--")</f>
        <v/>
      </c>
      <c r="X146" s="7">
        <f>IFERROR(BDP(E146&amp;" Corp","YAS_YLD_SPREAD","YAS_BOND_PX="&amp;U146,"YAS_BNCHMRK_BOND_PX="&amp;W146),"--")</f>
        <v/>
      </c>
      <c r="Y146" s="7">
        <f>IFERROR(BDP(E146&amp;" Corp","BLOOMBERG_MID_G_SPREAD","YAS_BOND_PX="&amp;U146,"YAS_BNCHMRK_BOND_PX="&amp;W146),"--")</f>
        <v/>
      </c>
      <c r="Z146" s="7">
        <f>IFERROR(BDP(D146,"LAST_PRICE"),"--")</f>
        <v/>
      </c>
      <c r="AA146" s="7">
        <f>IFERROR(Z146-Y146,"--")</f>
        <v/>
      </c>
      <c r="AB146" s="8">
        <f>IFERROR((AA146-R146)/(S146-R146)*100,"--")</f>
        <v/>
      </c>
    </row>
    <row r="147">
      <c r="A147" t="inlineStr">
        <is>
          <t>BBY</t>
        </is>
      </c>
      <c r="B147" t="inlineStr">
        <is>
          <t>IG</t>
        </is>
      </c>
      <c r="C147" t="inlineStr">
        <is>
          <t>BBY 1.95 10/01/30</t>
        </is>
      </c>
      <c r="D147" t="inlineStr">
        <is>
          <t>BBY CDS USD SR 5Y D14 Corp</t>
        </is>
      </c>
      <c r="E147" t="inlineStr">
        <is>
          <t>US08652BAB53</t>
        </is>
      </c>
      <c r="F147" s="2" t="n">
        <v>45659</v>
      </c>
      <c r="G147" s="2" t="n">
        <v>46225</v>
      </c>
      <c r="H147" s="2" t="n">
        <v>47837</v>
      </c>
      <c r="I147" s="3" t="n">
        <v>49.272</v>
      </c>
      <c r="J147" s="3" t="n">
        <v>55.3044</v>
      </c>
      <c r="K147" s="3" t="n">
        <v>59.787</v>
      </c>
      <c r="L147" s="3" t="n">
        <v>58.593</v>
      </c>
      <c r="M147" s="3" t="n">
        <v>-10.515</v>
      </c>
      <c r="N147" s="3" t="n">
        <v>-58.23349999999999</v>
      </c>
      <c r="O147" s="3" t="n">
        <v>2.655200000000001</v>
      </c>
      <c r="P147" s="4" t="n">
        <v>78.37004238881762</v>
      </c>
      <c r="Q147" s="3" t="n">
        <v>-4.482599999999998</v>
      </c>
      <c r="R147" s="3" t="n">
        <v>-51.68219999999999</v>
      </c>
      <c r="S147" s="3" t="n">
        <v>8.997000000000007</v>
      </c>
      <c r="T147" s="4" t="n">
        <v>77.78546849661826</v>
      </c>
      <c r="U147" s="5">
        <f>IFERROR(BDP(E147&amp;" Corp","LAST_PRICE"),"--")</f>
        <v/>
      </c>
      <c r="V147" s="6">
        <f>IFERROR(BDP(E147&amp;" Corp","YAS_BENCHMARK_BOND_ISIN"),"--")</f>
        <v/>
      </c>
      <c r="W147" s="5">
        <f>IFERROR(BDP(V147&amp;" CORP","LAST_PRICE"),"--")</f>
        <v/>
      </c>
      <c r="X147" s="7">
        <f>IFERROR(BDP(E147&amp;" Corp","YAS_YLD_SPREAD","YAS_BOND_PX="&amp;U147,"YAS_BNCHMRK_BOND_PX="&amp;W147),"--")</f>
        <v/>
      </c>
      <c r="Y147" s="7">
        <f>IFERROR(BDP(E147&amp;" Corp","BLOOMBERG_MID_G_SPREAD","YAS_BOND_PX="&amp;U147,"YAS_BNCHMRK_BOND_PX="&amp;W147),"--")</f>
        <v/>
      </c>
      <c r="Z147" s="7">
        <f>IFERROR(BDP(D147,"LAST_PRICE"),"--")</f>
        <v/>
      </c>
      <c r="AA147" s="7">
        <f>IFERROR(Z147-Y147,"--")</f>
        <v/>
      </c>
      <c r="AB147" s="8">
        <f>IFERROR((AA147-R147)/(S147-R147)*100,"--")</f>
        <v/>
      </c>
    </row>
    <row r="148">
      <c r="A148" t="inlineStr">
        <is>
          <t>BMY</t>
        </is>
      </c>
      <c r="B148" t="inlineStr">
        <is>
          <t>IG</t>
        </is>
      </c>
      <c r="C148" t="inlineStr">
        <is>
          <t>BMY 5.9 11/15/33</t>
        </is>
      </c>
      <c r="D148" t="inlineStr">
        <is>
          <t>BMY CDS USD SR 5Y D14 Corp</t>
        </is>
      </c>
      <c r="E148" t="inlineStr">
        <is>
          <t>US110122DZ89</t>
        </is>
      </c>
      <c r="F148" s="2" t="n">
        <v>45659</v>
      </c>
      <c r="G148" s="2" t="n">
        <v>46225</v>
      </c>
      <c r="H148" s="2" t="n">
        <v>48933</v>
      </c>
      <c r="I148" s="3" t="n">
        <v>41.6462</v>
      </c>
      <c r="J148" s="3" t="n">
        <v>27.879</v>
      </c>
      <c r="K148" s="3" t="n">
        <v>55.492</v>
      </c>
      <c r="L148" s="3" t="n">
        <v>43.854</v>
      </c>
      <c r="M148" s="3" t="n">
        <v>-13.8458</v>
      </c>
      <c r="N148" s="3" t="n">
        <v>-25.431</v>
      </c>
      <c r="O148" s="3" t="n">
        <v>9.660899999999998</v>
      </c>
      <c r="P148" s="4" t="n">
        <v>33.01388639543599</v>
      </c>
      <c r="Q148" s="3" t="n">
        <v>-27.613</v>
      </c>
      <c r="R148" s="3" t="n">
        <v>-38.1872</v>
      </c>
      <c r="S148" s="3" t="n">
        <v>-2.646599999999999</v>
      </c>
      <c r="T148" s="4" t="n">
        <v>29.75245212517517</v>
      </c>
      <c r="U148" s="5">
        <f>IFERROR(BDP(E148&amp;" Corp","LAST_PRICE"),"--")</f>
        <v/>
      </c>
      <c r="V148" s="6">
        <f>IFERROR(BDP(E148&amp;" Corp","YAS_BENCHMARK_BOND_ISIN"),"--")</f>
        <v/>
      </c>
      <c r="W148" s="5">
        <f>IFERROR(BDP(V148&amp;" CORP","LAST_PRICE"),"--")</f>
        <v/>
      </c>
      <c r="X148" s="7">
        <f>IFERROR(BDP(E148&amp;" Corp","YAS_YLD_SPREAD","YAS_BOND_PX="&amp;U148,"YAS_BNCHMRK_BOND_PX="&amp;W148),"--")</f>
        <v/>
      </c>
      <c r="Y148" s="7">
        <f>IFERROR(BDP(E148&amp;" Corp","BLOOMBERG_MID_G_SPREAD","YAS_BOND_PX="&amp;U148,"YAS_BNCHMRK_BOND_PX="&amp;W148),"--")</f>
        <v/>
      </c>
      <c r="Z148" s="7">
        <f>IFERROR(BDP(D148,"LAST_PRICE"),"--")</f>
        <v/>
      </c>
      <c r="AA148" s="7">
        <f>IFERROR(Z148-Y148,"--")</f>
        <v/>
      </c>
      <c r="AB148" s="8">
        <f>IFERROR((AA148-R148)/(S148-R148)*100,"--")</f>
        <v/>
      </c>
    </row>
    <row r="149">
      <c r="A149" t="inlineStr">
        <is>
          <t>BSX</t>
        </is>
      </c>
      <c r="B149" t="inlineStr">
        <is>
          <t>IG</t>
        </is>
      </c>
      <c r="C149" t="inlineStr">
        <is>
          <t>BSX 6 1/4 11/15/35</t>
        </is>
      </c>
      <c r="D149" t="inlineStr">
        <is>
          <t>BSX CDS USD SR 5Y D14 Corp</t>
        </is>
      </c>
      <c r="E149" t="inlineStr">
        <is>
          <t>US101137AE71</t>
        </is>
      </c>
      <c r="F149" s="2" t="n">
        <v>45922</v>
      </c>
      <c r="G149" s="2" t="n">
        <v>46225</v>
      </c>
      <c r="H149" s="2" t="n">
        <v>49663</v>
      </c>
      <c r="I149" s="3" t="n">
        <v>52.8556</v>
      </c>
      <c r="J149" s="3" t="n">
        <v>30.6667</v>
      </c>
      <c r="K149" s="3" t="n">
        <v>60.383</v>
      </c>
      <c r="L149" s="3" t="n">
        <v>58.681</v>
      </c>
      <c r="M149" s="3" t="n">
        <v>-7.5274</v>
      </c>
      <c r="N149" s="3" t="n">
        <v>-15.30739999999999</v>
      </c>
      <c r="O149" s="3" t="n">
        <v>6.452100000000002</v>
      </c>
      <c r="P149" s="4" t="n">
        <v>35.75449803534087</v>
      </c>
      <c r="Q149" s="3" t="n">
        <v>-29.7163</v>
      </c>
      <c r="R149" s="3" t="n">
        <v>-43.30049999999999</v>
      </c>
      <c r="S149" s="3" t="n">
        <v>-1.446300000000001</v>
      </c>
      <c r="T149" s="4" t="n">
        <v>32.45600202608099</v>
      </c>
      <c r="U149" s="5">
        <f>IFERROR(BDP(E149&amp;" Corp","LAST_PRICE"),"--")</f>
        <v/>
      </c>
      <c r="V149" s="6">
        <f>IFERROR(BDP(E149&amp;" Corp","YAS_BENCHMARK_BOND_ISIN"),"--")</f>
        <v/>
      </c>
      <c r="W149" s="5">
        <f>IFERROR(BDP(V149&amp;" CORP","LAST_PRICE"),"--")</f>
        <v/>
      </c>
      <c r="X149" s="7">
        <f>IFERROR(BDP(E149&amp;" Corp","YAS_YLD_SPREAD","YAS_BOND_PX="&amp;U149,"YAS_BNCHMRK_BOND_PX="&amp;W149),"--")</f>
        <v/>
      </c>
      <c r="Y149" s="7">
        <f>IFERROR(BDP(E149&amp;" Corp","BLOOMBERG_MID_G_SPREAD","YAS_BOND_PX="&amp;U149,"YAS_BNCHMRK_BOND_PX="&amp;W149),"--")</f>
        <v/>
      </c>
      <c r="Z149" s="7">
        <f>IFERROR(BDP(D149,"LAST_PRICE"),"--")</f>
        <v/>
      </c>
      <c r="AA149" s="7">
        <f>IFERROR(Z149-Y149,"--")</f>
        <v/>
      </c>
      <c r="AB149" s="8">
        <f>IFERROR((AA149-R149)/(S149-R149)*100,"--")</f>
        <v/>
      </c>
    </row>
    <row r="150">
      <c r="A150" t="inlineStr">
        <is>
          <t>BWA</t>
        </is>
      </c>
      <c r="B150" t="inlineStr">
        <is>
          <t>IG</t>
        </is>
      </c>
      <c r="C150" t="inlineStr">
        <is>
          <t>BWA 5.4 08/15/34</t>
        </is>
      </c>
      <c r="D150" t="inlineStr">
        <is>
          <t>BWA CDS USD SR 5Y D14 Corp</t>
        </is>
      </c>
      <c r="E150" t="inlineStr">
        <is>
          <t>US099724AQ98</t>
        </is>
      </c>
      <c r="F150" s="2" t="n">
        <v>45659</v>
      </c>
      <c r="G150" s="2" t="n">
        <v>46225</v>
      </c>
      <c r="H150" s="2" t="n">
        <v>49298</v>
      </c>
      <c r="I150" s="3" t="n">
        <v>74.551</v>
      </c>
      <c r="J150" s="3" t="n">
        <v>46.7</v>
      </c>
      <c r="K150" s="3" t="n">
        <v>75.73</v>
      </c>
      <c r="L150" s="3" t="n">
        <v>70.28400000000001</v>
      </c>
      <c r="M150" s="3" t="n">
        <v>-1.179000000000002</v>
      </c>
      <c r="N150" s="3" t="n">
        <v>-22.4349</v>
      </c>
      <c r="O150" s="3" t="n">
        <v>4.703000000000003</v>
      </c>
      <c r="P150" s="4" t="n">
        <v>78.32551523883571</v>
      </c>
      <c r="Q150" s="3" t="n">
        <v>-29.03</v>
      </c>
      <c r="R150" s="3" t="n">
        <v>-46.7755</v>
      </c>
      <c r="S150" s="3" t="n">
        <v>-17.2897</v>
      </c>
      <c r="T150" s="4" t="n">
        <v>60.18320683176308</v>
      </c>
      <c r="U150" s="5">
        <f>IFERROR(BDP(E150&amp;" Corp","LAST_PRICE"),"--")</f>
        <v/>
      </c>
      <c r="V150" s="6">
        <f>IFERROR(BDP(E150&amp;" Corp","YAS_BENCHMARK_BOND_ISIN"),"--")</f>
        <v/>
      </c>
      <c r="W150" s="5">
        <f>IFERROR(BDP(V150&amp;" CORP","LAST_PRICE"),"--")</f>
        <v/>
      </c>
      <c r="X150" s="7">
        <f>IFERROR(BDP(E150&amp;" Corp","YAS_YLD_SPREAD","YAS_BOND_PX="&amp;U150,"YAS_BNCHMRK_BOND_PX="&amp;W150),"--")</f>
        <v/>
      </c>
      <c r="Y150" s="7">
        <f>IFERROR(BDP(E150&amp;" Corp","BLOOMBERG_MID_G_SPREAD","YAS_BOND_PX="&amp;U150,"YAS_BNCHMRK_BOND_PX="&amp;W150),"--")</f>
        <v/>
      </c>
      <c r="Z150" s="7">
        <f>IFERROR(BDP(D150,"LAST_PRICE"),"--")</f>
        <v/>
      </c>
      <c r="AA150" s="7">
        <f>IFERROR(Z150-Y150,"--")</f>
        <v/>
      </c>
      <c r="AB150" s="8">
        <f>IFERROR((AA150-R150)/(S150-R150)*100,"--")</f>
        <v/>
      </c>
    </row>
    <row r="151">
      <c r="A151" t="inlineStr">
        <is>
          <t>CAG</t>
        </is>
      </c>
      <c r="B151" t="inlineStr">
        <is>
          <t>IG</t>
        </is>
      </c>
      <c r="C151" t="inlineStr">
        <is>
          <t>CAG 5 3/4 08/01/35</t>
        </is>
      </c>
      <c r="D151" t="inlineStr">
        <is>
          <t>CAG CDS USD SR 5Y D14 Corp</t>
        </is>
      </c>
      <c r="E151" t="inlineStr">
        <is>
          <t>US205887CL48</t>
        </is>
      </c>
      <c r="F151" s="2" t="n">
        <v>45922</v>
      </c>
      <c r="G151" s="2" t="n">
        <v>46225</v>
      </c>
      <c r="H151" s="2" t="n">
        <v>49663</v>
      </c>
      <c r="I151" s="3" t="n">
        <v>137.4741</v>
      </c>
      <c r="J151" s="3" t="n">
        <v>91.5158</v>
      </c>
      <c r="K151" s="3" t="n">
        <v>127.136</v>
      </c>
      <c r="L151" s="3" t="n">
        <v>122.488</v>
      </c>
      <c r="M151" s="3" t="n">
        <v>10.3381</v>
      </c>
      <c r="N151" s="3" t="n">
        <v>-26.35930000000002</v>
      </c>
      <c r="O151" s="3" t="n">
        <v>24.2478</v>
      </c>
      <c r="P151" s="4" t="n">
        <v>72.51433099308201</v>
      </c>
      <c r="Q151" s="3" t="n">
        <v>-35.6202</v>
      </c>
      <c r="R151" s="3" t="n">
        <v>-67.27160000000001</v>
      </c>
      <c r="S151" s="3" t="n">
        <v>-19.2042</v>
      </c>
      <c r="T151" s="4" t="n">
        <v>65.8479551629587</v>
      </c>
      <c r="U151" s="5">
        <f>IFERROR(BDP(E151&amp;" Corp","LAST_PRICE"),"--")</f>
        <v/>
      </c>
      <c r="V151" s="6">
        <f>IFERROR(BDP(E151&amp;" Corp","YAS_BENCHMARK_BOND_ISIN"),"--")</f>
        <v/>
      </c>
      <c r="W151" s="5">
        <f>IFERROR(BDP(V151&amp;" CORP","LAST_PRICE"),"--")</f>
        <v/>
      </c>
      <c r="X151" s="7">
        <f>IFERROR(BDP(E151&amp;" Corp","YAS_YLD_SPREAD","YAS_BOND_PX="&amp;U151,"YAS_BNCHMRK_BOND_PX="&amp;W151),"--")</f>
        <v/>
      </c>
      <c r="Y151" s="7">
        <f>IFERROR(BDP(E151&amp;" Corp","BLOOMBERG_MID_G_SPREAD","YAS_BOND_PX="&amp;U151,"YAS_BNCHMRK_BOND_PX="&amp;W151),"--")</f>
        <v/>
      </c>
      <c r="Z151" s="7">
        <f>IFERROR(BDP(D151,"LAST_PRICE"),"--")</f>
        <v/>
      </c>
      <c r="AA151" s="7">
        <f>IFERROR(Z151-Y151,"--")</f>
        <v/>
      </c>
      <c r="AB151" s="8">
        <f>IFERROR((AA151-R151)/(S151-R151)*100,"--")</f>
        <v/>
      </c>
    </row>
    <row r="152">
      <c r="A152" t="inlineStr">
        <is>
          <t>CAH</t>
        </is>
      </c>
      <c r="B152" t="inlineStr">
        <is>
          <t>IG</t>
        </is>
      </c>
      <c r="C152" t="inlineStr">
        <is>
          <t>CAH 5.35 11/15/34</t>
        </is>
      </c>
      <c r="D152" t="inlineStr">
        <is>
          <t>CAH CDS USD SR 5Y D14 Corp</t>
        </is>
      </c>
      <c r="E152" t="inlineStr">
        <is>
          <t>US14149YBS63</t>
        </is>
      </c>
      <c r="F152" s="2" t="n">
        <v>45659</v>
      </c>
      <c r="G152" s="2" t="n">
        <v>46225</v>
      </c>
      <c r="H152" s="2" t="n">
        <v>49298</v>
      </c>
      <c r="I152" s="3" t="n">
        <v>50.3389</v>
      </c>
      <c r="J152" s="3" t="n">
        <v>26.4999</v>
      </c>
      <c r="K152" s="3" t="n">
        <v>80.03400000000001</v>
      </c>
      <c r="L152" s="3" t="n">
        <v>74.01600000000001</v>
      </c>
      <c r="M152" s="3" t="n">
        <v>-29.6951</v>
      </c>
      <c r="N152" s="3" t="n">
        <v>-53.54900000000001</v>
      </c>
      <c r="O152" s="3" t="n">
        <v>-15.1567</v>
      </c>
      <c r="P152" s="4" t="n">
        <v>62.13199000841314</v>
      </c>
      <c r="Q152" s="3" t="n">
        <v>-53.53410000000001</v>
      </c>
      <c r="R152" s="3" t="n">
        <v>-75.39720000000001</v>
      </c>
      <c r="S152" s="3" t="n">
        <v>-39.7581</v>
      </c>
      <c r="T152" s="4" t="n">
        <v>61.34582523127688</v>
      </c>
      <c r="U152" s="5">
        <f>IFERROR(BDP(E152&amp;" Corp","LAST_PRICE"),"--")</f>
        <v/>
      </c>
      <c r="V152" s="6">
        <f>IFERROR(BDP(E152&amp;" Corp","YAS_BENCHMARK_BOND_ISIN"),"--")</f>
        <v/>
      </c>
      <c r="W152" s="5">
        <f>IFERROR(BDP(V152&amp;" CORP","LAST_PRICE"),"--")</f>
        <v/>
      </c>
      <c r="X152" s="7">
        <f>IFERROR(BDP(E152&amp;" Corp","YAS_YLD_SPREAD","YAS_BOND_PX="&amp;U152,"YAS_BNCHMRK_BOND_PX="&amp;W152),"--")</f>
        <v/>
      </c>
      <c r="Y152" s="7">
        <f>IFERROR(BDP(E152&amp;" Corp","BLOOMBERG_MID_G_SPREAD","YAS_BOND_PX="&amp;U152,"YAS_BNCHMRK_BOND_PX="&amp;W152),"--")</f>
        <v/>
      </c>
      <c r="Z152" s="7">
        <f>IFERROR(BDP(D152,"LAST_PRICE"),"--")</f>
        <v/>
      </c>
      <c r="AA152" s="7">
        <f>IFERROR(Z152-Y152,"--")</f>
        <v/>
      </c>
      <c r="AB152" s="8">
        <f>IFERROR((AA152-R152)/(S152-R152)*100,"--")</f>
        <v/>
      </c>
    </row>
    <row r="153">
      <c r="A153" t="inlineStr">
        <is>
          <t>CAT</t>
        </is>
      </c>
      <c r="B153" t="inlineStr">
        <is>
          <t>IG</t>
        </is>
      </c>
      <c r="C153" t="inlineStr">
        <is>
          <t>CAT 2.6 04/09/30</t>
        </is>
      </c>
      <c r="D153" t="inlineStr">
        <is>
          <t>CAT I CDS USD SR 5Y D14 Corp</t>
        </is>
      </c>
      <c r="E153" t="inlineStr">
        <is>
          <t>US149123CH22</t>
        </is>
      </c>
      <c r="F153" s="2" t="n">
        <v>46044</v>
      </c>
      <c r="G153" s="2" t="n">
        <v>46225</v>
      </c>
      <c r="H153" s="2" t="n">
        <v>47654</v>
      </c>
      <c r="I153" s="3" t="n">
        <v>15.9837</v>
      </c>
      <c r="J153" s="3" t="n">
        <v>20.3522</v>
      </c>
      <c r="K153" s="3" t="n">
        <v>29.946</v>
      </c>
      <c r="L153" s="3" t="n">
        <v>26.464</v>
      </c>
      <c r="M153" s="3" t="n">
        <v>-13.9623</v>
      </c>
      <c r="N153" s="3" t="n">
        <v>-23.0351</v>
      </c>
      <c r="O153" s="3" t="n">
        <v>-5.316199999999998</v>
      </c>
      <c r="P153" s="4" t="n">
        <v>51.20408151747569</v>
      </c>
      <c r="Q153" s="3" t="n">
        <v>-9.593800000000002</v>
      </c>
      <c r="R153" s="3" t="n">
        <v>-17.0713</v>
      </c>
      <c r="S153" s="3" t="n">
        <v>1.466699999999999</v>
      </c>
      <c r="T153" s="4" t="n">
        <v>40.33606645808609</v>
      </c>
      <c r="U153" s="5">
        <f>IFERROR(BDP(E153&amp;" Corp","LAST_PRICE"),"--")</f>
        <v/>
      </c>
      <c r="V153" s="6">
        <f>IFERROR(BDP(E153&amp;" Corp","YAS_BENCHMARK_BOND_ISIN"),"--")</f>
        <v/>
      </c>
      <c r="W153" s="5">
        <f>IFERROR(BDP(V153&amp;" CORP","LAST_PRICE"),"--")</f>
        <v/>
      </c>
      <c r="X153" s="7">
        <f>IFERROR(BDP(E153&amp;" Corp","YAS_YLD_SPREAD","YAS_BOND_PX="&amp;U153,"YAS_BNCHMRK_BOND_PX="&amp;W153),"--")</f>
        <v/>
      </c>
      <c r="Y153" s="7">
        <f>IFERROR(BDP(E153&amp;" Corp","BLOOMBERG_MID_G_SPREAD","YAS_BOND_PX="&amp;U153,"YAS_BNCHMRK_BOND_PX="&amp;W153),"--")</f>
        <v/>
      </c>
      <c r="Z153" s="7">
        <f>IFERROR(BDP(D153,"LAST_PRICE"),"--")</f>
        <v/>
      </c>
      <c r="AA153" s="7">
        <f>IFERROR(Z153-Y153,"--")</f>
        <v/>
      </c>
      <c r="AB153" s="8">
        <f>IFERROR((AA153-R153)/(S153-R153)*100,"--")</f>
        <v/>
      </c>
    </row>
    <row r="154">
      <c r="A154" t="inlineStr">
        <is>
          <t>CI</t>
        </is>
      </c>
      <c r="B154" t="inlineStr">
        <is>
          <t>IG</t>
        </is>
      </c>
      <c r="C154" t="inlineStr">
        <is>
          <t>CI 5 1/8 05/15/31</t>
        </is>
      </c>
      <c r="D154" t="inlineStr">
        <is>
          <t>CI A CDS USD SR 5Y D14 Corp</t>
        </is>
      </c>
      <c r="E154" t="inlineStr">
        <is>
          <t>US125523CU21</t>
        </is>
      </c>
      <c r="F154" s="2" t="n">
        <v>45659</v>
      </c>
      <c r="G154" s="2" t="n">
        <v>46225</v>
      </c>
      <c r="H154" s="2" t="n">
        <v>48019</v>
      </c>
      <c r="I154" s="3" t="n">
        <v>42.5197</v>
      </c>
      <c r="J154" s="3" t="n">
        <v>42.5197</v>
      </c>
      <c r="K154" s="3" t="n">
        <v>53.224</v>
      </c>
      <c r="L154" s="3" t="n">
        <v>53.445</v>
      </c>
      <c r="M154" s="3" t="n">
        <v>-10.7043</v>
      </c>
      <c r="N154" s="3" t="n">
        <v>-40.4796</v>
      </c>
      <c r="O154" s="3" t="n">
        <v>5.420699999999997</v>
      </c>
      <c r="P154" s="4" t="n">
        <v>64.86951065679311</v>
      </c>
      <c r="Q154" s="3" t="n">
        <v>-10.7043</v>
      </c>
      <c r="R154" s="3" t="n">
        <v>-40.4796</v>
      </c>
      <c r="S154" s="3" t="n">
        <v>5.420699999999997</v>
      </c>
      <c r="T154" s="4" t="n">
        <v>64.86951065679311</v>
      </c>
      <c r="U154" s="5">
        <f>IFERROR(BDP(E154&amp;" Corp","LAST_PRICE"),"--")</f>
        <v/>
      </c>
      <c r="V154" s="6">
        <f>IFERROR(BDP(E154&amp;" Corp","YAS_BENCHMARK_BOND_ISIN"),"--")</f>
        <v/>
      </c>
      <c r="W154" s="5">
        <f>IFERROR(BDP(V154&amp;" CORP","LAST_PRICE"),"--")</f>
        <v/>
      </c>
      <c r="X154" s="7">
        <f>IFERROR(BDP(E154&amp;" Corp","YAS_YLD_SPREAD","YAS_BOND_PX="&amp;U154,"YAS_BNCHMRK_BOND_PX="&amp;W154),"--")</f>
        <v/>
      </c>
      <c r="Y154" s="7">
        <f>IFERROR(BDP(E154&amp;" Corp","BLOOMBERG_MID_G_SPREAD","YAS_BOND_PX="&amp;U154,"YAS_BNCHMRK_BOND_PX="&amp;W154),"--")</f>
        <v/>
      </c>
      <c r="Z154" s="7">
        <f>IFERROR(BDP(D154,"LAST_PRICE"),"--")</f>
        <v/>
      </c>
      <c r="AA154" s="7">
        <f>IFERROR(Z154-Y154,"--")</f>
        <v/>
      </c>
      <c r="AB154" s="8">
        <f>IFERROR((AA154-R154)/(S154-R154)*100,"--")</f>
        <v/>
      </c>
    </row>
    <row r="155">
      <c r="A155" t="inlineStr">
        <is>
          <t>CMCSA</t>
        </is>
      </c>
      <c r="B155" t="inlineStr">
        <is>
          <t>IG</t>
        </is>
      </c>
      <c r="C155" t="inlineStr">
        <is>
          <t>CMCSA 5.3 06/01/34</t>
        </is>
      </c>
      <c r="D155" t="inlineStr">
        <is>
          <t>CMCSAC CDS USD SR 5Y D14 Corp</t>
        </is>
      </c>
      <c r="E155" t="inlineStr">
        <is>
          <t>US20030NEJ63</t>
        </is>
      </c>
      <c r="F155" s="2" t="n">
        <v>45659</v>
      </c>
      <c r="G155" s="2" t="n">
        <v>46225</v>
      </c>
      <c r="H155" s="2" t="n">
        <v>49115</v>
      </c>
      <c r="I155" s="3" t="n">
        <v>86.22629999999999</v>
      </c>
      <c r="J155" s="3" t="n">
        <v>64.5917</v>
      </c>
      <c r="K155" s="3" t="n">
        <v>93.175</v>
      </c>
      <c r="L155" s="3" t="n">
        <v>87.608</v>
      </c>
      <c r="M155" s="3" t="n">
        <v>-6.948700000000002</v>
      </c>
      <c r="N155" s="3" t="n">
        <v>-18.30170000000001</v>
      </c>
      <c r="O155" s="3" t="n">
        <v>12.3497</v>
      </c>
      <c r="P155" s="4" t="n">
        <v>37.03909119974946</v>
      </c>
      <c r="Q155" s="3" t="n">
        <v>-28.58329999999999</v>
      </c>
      <c r="R155" s="3" t="n">
        <v>-39.7441</v>
      </c>
      <c r="S155" s="3" t="n">
        <v>-6.402699999999996</v>
      </c>
      <c r="T155" s="4" t="n">
        <v>33.47429921958888</v>
      </c>
      <c r="U155" s="5">
        <f>IFERROR(BDP(E155&amp;" Corp","LAST_PRICE"),"--")</f>
        <v/>
      </c>
      <c r="V155" s="6">
        <f>IFERROR(BDP(E155&amp;" Corp","YAS_BENCHMARK_BOND_ISIN"),"--")</f>
        <v/>
      </c>
      <c r="W155" s="5">
        <f>IFERROR(BDP(V155&amp;" CORP","LAST_PRICE"),"--")</f>
        <v/>
      </c>
      <c r="X155" s="7">
        <f>IFERROR(BDP(E155&amp;" Corp","YAS_YLD_SPREAD","YAS_BOND_PX="&amp;U155,"YAS_BNCHMRK_BOND_PX="&amp;W155),"--")</f>
        <v/>
      </c>
      <c r="Y155" s="7">
        <f>IFERROR(BDP(E155&amp;" Corp","BLOOMBERG_MID_G_SPREAD","YAS_BOND_PX="&amp;U155,"YAS_BNCHMRK_BOND_PX="&amp;W155),"--")</f>
        <v/>
      </c>
      <c r="Z155" s="7">
        <f>IFERROR(BDP(D155,"LAST_PRICE"),"--")</f>
        <v/>
      </c>
      <c r="AA155" s="7">
        <f>IFERROR(Z155-Y155,"--")</f>
        <v/>
      </c>
      <c r="AB155" s="8">
        <f>IFERROR((AA155-R155)/(S155-R155)*100,"--")</f>
        <v/>
      </c>
    </row>
    <row r="156">
      <c r="A156" t="inlineStr">
        <is>
          <t>CNQCN</t>
        </is>
      </c>
      <c r="B156" t="inlineStr">
        <is>
          <t>IG</t>
        </is>
      </c>
      <c r="C156" t="inlineStr">
        <is>
          <t>CNQCN 5.4 12/15/34</t>
        </is>
      </c>
      <c r="D156" t="inlineStr">
        <is>
          <t>CNQCN CDS USD SR 5Y D14 Corp</t>
        </is>
      </c>
      <c r="E156" t="inlineStr">
        <is>
          <t>US136385BE00</t>
        </is>
      </c>
      <c r="F156" s="2" t="n">
        <v>45968</v>
      </c>
      <c r="G156" s="2" t="n">
        <v>46225</v>
      </c>
      <c r="H156" s="2" t="n">
        <v>49298</v>
      </c>
      <c r="I156" s="3" t="n">
        <v>91.33280000000001</v>
      </c>
      <c r="J156" s="3" t="n">
        <v>51.3483</v>
      </c>
      <c r="K156" s="3" t="n">
        <v>83.327</v>
      </c>
      <c r="L156" s="3" t="n">
        <v>77.127</v>
      </c>
      <c r="M156" s="3" t="n">
        <v>8.005800000000008</v>
      </c>
      <c r="N156" s="3" t="n">
        <v>-20.51219999999999</v>
      </c>
      <c r="O156" s="3" t="n">
        <v>9.385899999999992</v>
      </c>
      <c r="P156" s="4" t="n">
        <v>95.38398761125293</v>
      </c>
      <c r="Q156" s="3" t="n">
        <v>-31.9787</v>
      </c>
      <c r="R156" s="3" t="n">
        <v>-54.3</v>
      </c>
      <c r="S156" s="3" t="n">
        <v>-28.52100000000001</v>
      </c>
      <c r="T156" s="4" t="n">
        <v>86.58714457504175</v>
      </c>
      <c r="U156" s="5">
        <f>IFERROR(BDP(E156&amp;" Corp","LAST_PRICE"),"--")</f>
        <v/>
      </c>
      <c r="V156" s="6">
        <f>IFERROR(BDP(E156&amp;" Corp","YAS_BENCHMARK_BOND_ISIN"),"--")</f>
        <v/>
      </c>
      <c r="W156" s="5">
        <f>IFERROR(BDP(V156&amp;" CORP","LAST_PRICE"),"--")</f>
        <v/>
      </c>
      <c r="X156" s="7">
        <f>IFERROR(BDP(E156&amp;" Corp","YAS_YLD_SPREAD","YAS_BOND_PX="&amp;U156,"YAS_BNCHMRK_BOND_PX="&amp;W156),"--")</f>
        <v/>
      </c>
      <c r="Y156" s="7">
        <f>IFERROR(BDP(E156&amp;" Corp","BLOOMBERG_MID_G_SPREAD","YAS_BOND_PX="&amp;U156,"YAS_BNCHMRK_BOND_PX="&amp;W156),"--")</f>
        <v/>
      </c>
      <c r="Z156" s="7">
        <f>IFERROR(BDP(D156,"LAST_PRICE"),"--")</f>
        <v/>
      </c>
      <c r="AA156" s="7">
        <f>IFERROR(Z156-Y156,"--")</f>
        <v/>
      </c>
      <c r="AB156" s="8">
        <f>IFERROR((AA156-R156)/(S156-R156)*100,"--")</f>
        <v/>
      </c>
    </row>
    <row r="157">
      <c r="A157" t="inlineStr">
        <is>
          <t>COF</t>
        </is>
      </c>
      <c r="B157" t="inlineStr">
        <is>
          <t>IG</t>
        </is>
      </c>
      <c r="C157" t="inlineStr">
        <is>
          <t>COF 6.7 11/29/32</t>
        </is>
      </c>
      <c r="D157" t="inlineStr">
        <is>
          <t>COFF CDS USD SR 5Y D14 Corp</t>
        </is>
      </c>
      <c r="E157" t="inlineStr">
        <is>
          <t>US254709AS70</t>
        </is>
      </c>
      <c r="F157" s="2" t="n">
        <v>45659</v>
      </c>
      <c r="G157" s="2" t="n">
        <v>46225</v>
      </c>
      <c r="H157" s="2" t="n">
        <v>48568</v>
      </c>
      <c r="I157" s="3" t="n">
        <v>83.28879999999999</v>
      </c>
      <c r="J157" s="3" t="n">
        <v>65.44159999999999</v>
      </c>
      <c r="K157" s="3" t="n">
        <v>80.617</v>
      </c>
      <c r="L157" s="3" t="n">
        <v>88.623</v>
      </c>
      <c r="M157" s="3" t="n">
        <v>2.67179999999999</v>
      </c>
      <c r="N157" s="3" t="n">
        <v>-57.553</v>
      </c>
      <c r="O157" s="3" t="n">
        <v>26.624</v>
      </c>
      <c r="P157" s="4" t="n">
        <v>71.54543402592157</v>
      </c>
      <c r="Q157" s="3" t="n">
        <v>-15.17540000000001</v>
      </c>
      <c r="R157" s="3" t="n">
        <v>-69.9597</v>
      </c>
      <c r="S157" s="3" t="n">
        <v>7.56389999999999</v>
      </c>
      <c r="T157" s="4" t="n">
        <v>70.66789983953274</v>
      </c>
      <c r="U157" s="5">
        <f>IFERROR(BDP(E157&amp;" Corp","LAST_PRICE"),"--")</f>
        <v/>
      </c>
      <c r="V157" s="6">
        <f>IFERROR(BDP(E157&amp;" Corp","YAS_BENCHMARK_BOND_ISIN"),"--")</f>
        <v/>
      </c>
      <c r="W157" s="5">
        <f>IFERROR(BDP(V157&amp;" CORP","LAST_PRICE"),"--")</f>
        <v/>
      </c>
      <c r="X157" s="7">
        <f>IFERROR(BDP(E157&amp;" Corp","YAS_YLD_SPREAD","YAS_BOND_PX="&amp;U157,"YAS_BNCHMRK_BOND_PX="&amp;W157),"--")</f>
        <v/>
      </c>
      <c r="Y157" s="7">
        <f>IFERROR(BDP(E157&amp;" Corp","BLOOMBERG_MID_G_SPREAD","YAS_BOND_PX="&amp;U157,"YAS_BNCHMRK_BOND_PX="&amp;W157),"--")</f>
        <v/>
      </c>
      <c r="Z157" s="7">
        <f>IFERROR(BDP(D157,"LAST_PRICE"),"--")</f>
        <v/>
      </c>
      <c r="AA157" s="7">
        <f>IFERROR(Z157-Y157,"--")</f>
        <v/>
      </c>
      <c r="AB157" s="8">
        <f>IFERROR((AA157-R157)/(S157-R157)*100,"--")</f>
        <v/>
      </c>
    </row>
    <row r="158">
      <c r="A158" t="inlineStr">
        <is>
          <t>COP</t>
        </is>
      </c>
      <c r="B158" t="inlineStr">
        <is>
          <t>IG</t>
        </is>
      </c>
      <c r="C158" t="inlineStr">
        <is>
          <t>COP 4.85 01/15/32</t>
        </is>
      </c>
      <c r="D158" t="inlineStr">
        <is>
          <t>COPHIL CDS USD SR 5Y D14 Corp</t>
        </is>
      </c>
      <c r="E158" t="inlineStr">
        <is>
          <t>US20826FBK12</t>
        </is>
      </c>
      <c r="F158" s="2" t="n">
        <v>46044</v>
      </c>
      <c r="G158" s="2" t="n">
        <v>46225</v>
      </c>
      <c r="H158" s="2" t="n">
        <v>48385</v>
      </c>
      <c r="I158" s="3" t="n">
        <v>41.6178</v>
      </c>
      <c r="J158" s="3" t="n">
        <v>31.6867</v>
      </c>
      <c r="K158" s="3" t="n">
        <v>47.097</v>
      </c>
      <c r="L158" s="3" t="n">
        <v>49.663</v>
      </c>
      <c r="M158" s="3" t="n">
        <v>-5.479199999999999</v>
      </c>
      <c r="N158" s="3" t="n">
        <v>-15.2123</v>
      </c>
      <c r="O158" s="3" t="n">
        <v>3.058100000000003</v>
      </c>
      <c r="P158" s="4" t="n">
        <v>53.27250634906734</v>
      </c>
      <c r="Q158" s="3" t="n">
        <v>-15.4103</v>
      </c>
      <c r="R158" s="3" t="n">
        <v>-22.475</v>
      </c>
      <c r="S158" s="3" t="n">
        <v>-5.437100000000001</v>
      </c>
      <c r="T158" s="4" t="n">
        <v>41.46461711830683</v>
      </c>
      <c r="U158" s="5">
        <f>IFERROR(BDP(E158&amp;" Corp","LAST_PRICE"),"--")</f>
        <v/>
      </c>
      <c r="V158" s="6">
        <f>IFERROR(BDP(E158&amp;" Corp","YAS_BENCHMARK_BOND_ISIN"),"--")</f>
        <v/>
      </c>
      <c r="W158" s="5">
        <f>IFERROR(BDP(V158&amp;" CORP","LAST_PRICE"),"--")</f>
        <v/>
      </c>
      <c r="X158" s="7">
        <f>IFERROR(BDP(E158&amp;" Corp","YAS_YLD_SPREAD","YAS_BOND_PX="&amp;U158,"YAS_BNCHMRK_BOND_PX="&amp;W158),"--")</f>
        <v/>
      </c>
      <c r="Y158" s="7">
        <f>IFERROR(BDP(E158&amp;" Corp","BLOOMBERG_MID_G_SPREAD","YAS_BOND_PX="&amp;U158,"YAS_BNCHMRK_BOND_PX="&amp;W158),"--")</f>
        <v/>
      </c>
      <c r="Z158" s="7">
        <f>IFERROR(BDP(D158,"LAST_PRICE"),"--")</f>
        <v/>
      </c>
      <c r="AA158" s="7">
        <f>IFERROR(Z158-Y158,"--")</f>
        <v/>
      </c>
      <c r="AB158" s="8">
        <f>IFERROR((AA158-R158)/(S158-R158)*100,"--")</f>
        <v/>
      </c>
    </row>
    <row r="159">
      <c r="A159" t="inlineStr">
        <is>
          <t>COX</t>
        </is>
      </c>
      <c r="B159" t="inlineStr">
        <is>
          <t>IG</t>
        </is>
      </c>
      <c r="C159" t="inlineStr">
        <is>
          <t>COXENT 2.6 06/15/31</t>
        </is>
      </c>
      <c r="D159" t="inlineStr">
        <is>
          <t>COXENT CDS USD SR 5Y D14 Corp</t>
        </is>
      </c>
      <c r="E159" t="inlineStr">
        <is>
          <t>US224044CN54</t>
        </is>
      </c>
      <c r="F159" s="2" t="n">
        <v>45659</v>
      </c>
      <c r="G159" s="2" t="n">
        <v>46225</v>
      </c>
      <c r="H159" s="2" t="n">
        <v>48019</v>
      </c>
      <c r="I159" s="3" t="n">
        <v>84.9091</v>
      </c>
      <c r="J159" s="3" t="n">
        <v>84.9091</v>
      </c>
      <c r="K159" s="3" t="n">
        <v>122.556</v>
      </c>
      <c r="L159" s="3" t="n">
        <v>123.84</v>
      </c>
      <c r="M159" s="3" t="n">
        <v>-37.6469</v>
      </c>
      <c r="N159" s="3" t="n">
        <v>-84.9706</v>
      </c>
      <c r="O159" s="3" t="n">
        <v>-28.0292</v>
      </c>
      <c r="P159" s="4" t="n">
        <v>83.10947746279508</v>
      </c>
      <c r="Q159" s="3" t="n">
        <v>-37.6469</v>
      </c>
      <c r="R159" s="3" t="n">
        <v>-84.9706</v>
      </c>
      <c r="S159" s="3" t="n">
        <v>-28.0292</v>
      </c>
      <c r="T159" s="4" t="n">
        <v>83.10947746279508</v>
      </c>
      <c r="U159" s="5">
        <f>IFERROR(BDP(E159&amp;" Corp","LAST_PRICE"),"--")</f>
        <v/>
      </c>
      <c r="V159" s="6">
        <f>IFERROR(BDP(E159&amp;" Corp","YAS_BENCHMARK_BOND_ISIN"),"--")</f>
        <v/>
      </c>
      <c r="W159" s="5">
        <f>IFERROR(BDP(V159&amp;" CORP","LAST_PRICE"),"--")</f>
        <v/>
      </c>
      <c r="X159" s="7">
        <f>IFERROR(BDP(E159&amp;" Corp","YAS_YLD_SPREAD","YAS_BOND_PX="&amp;U159,"YAS_BNCHMRK_BOND_PX="&amp;W159),"--")</f>
        <v/>
      </c>
      <c r="Y159" s="7">
        <f>IFERROR(BDP(E159&amp;" Corp","BLOOMBERG_MID_G_SPREAD","YAS_BOND_PX="&amp;U159,"YAS_BNCHMRK_BOND_PX="&amp;W159),"--")</f>
        <v/>
      </c>
      <c r="Z159" s="7">
        <f>IFERROR(BDP(D159,"LAST_PRICE"),"--")</f>
        <v/>
      </c>
      <c r="AA159" s="7">
        <f>IFERROR(Z159-Y159,"--")</f>
        <v/>
      </c>
      <c r="AB159" s="8">
        <f>IFERROR((AA159-R159)/(S159-R159)*100,"--")</f>
        <v/>
      </c>
    </row>
    <row r="160">
      <c r="A160" t="inlineStr">
        <is>
          <t>CPB</t>
        </is>
      </c>
      <c r="B160" t="inlineStr">
        <is>
          <t>IG</t>
        </is>
      </c>
      <c r="C160" t="inlineStr">
        <is>
          <t>CPB 4.55 03/21/31</t>
        </is>
      </c>
      <c r="D160" t="inlineStr">
        <is>
          <t>CPB CDS USD SR 5Y D14 Corp</t>
        </is>
      </c>
      <c r="E160" t="inlineStr">
        <is>
          <t>US134462AA89</t>
        </is>
      </c>
      <c r="F160" s="2" t="n">
        <v>46003</v>
      </c>
      <c r="G160" s="2" t="n">
        <v>46225</v>
      </c>
      <c r="H160" s="2" t="n">
        <v>48019</v>
      </c>
      <c r="I160" s="3" t="n">
        <v>89.857</v>
      </c>
      <c r="J160" s="3" t="n">
        <v>89.857</v>
      </c>
      <c r="K160" s="3" t="n">
        <v>96.465</v>
      </c>
      <c r="L160" s="3" t="n">
        <v>95.236</v>
      </c>
      <c r="M160" s="3" t="n">
        <v>-6.608000000000004</v>
      </c>
      <c r="N160" s="3" t="n">
        <v>-47.2054</v>
      </c>
      <c r="O160" s="3" t="n">
        <v>-4.823000000000008</v>
      </c>
      <c r="P160" s="4" t="n">
        <v>95.78834610593077</v>
      </c>
      <c r="Q160" s="3" t="n">
        <v>-6.608000000000004</v>
      </c>
      <c r="R160" s="3" t="n">
        <v>-47.2054</v>
      </c>
      <c r="S160" s="3" t="n">
        <v>-4.823000000000008</v>
      </c>
      <c r="T160" s="4" t="n">
        <v>95.78834610593077</v>
      </c>
      <c r="U160" s="5">
        <f>IFERROR(BDP(E160&amp;" Corp","LAST_PRICE"),"--")</f>
        <v/>
      </c>
      <c r="V160" s="6">
        <f>IFERROR(BDP(E160&amp;" Corp","YAS_BENCHMARK_BOND_ISIN"),"--")</f>
        <v/>
      </c>
      <c r="W160" s="5">
        <f>IFERROR(BDP(V160&amp;" CORP","LAST_PRICE"),"--")</f>
        <v/>
      </c>
      <c r="X160" s="7">
        <f>IFERROR(BDP(E160&amp;" Corp","YAS_YLD_SPREAD","YAS_BOND_PX="&amp;U160,"YAS_BNCHMRK_BOND_PX="&amp;W160),"--")</f>
        <v/>
      </c>
      <c r="Y160" s="7">
        <f>IFERROR(BDP(E160&amp;" Corp","BLOOMBERG_MID_G_SPREAD","YAS_BOND_PX="&amp;U160,"YAS_BNCHMRK_BOND_PX="&amp;W160),"--")</f>
        <v/>
      </c>
      <c r="Z160" s="7">
        <f>IFERROR(BDP(D160,"LAST_PRICE"),"--")</f>
        <v/>
      </c>
      <c r="AA160" s="7">
        <f>IFERROR(Z160-Y160,"--")</f>
        <v/>
      </c>
      <c r="AB160" s="8">
        <f>IFERROR((AA160-R160)/(S160-R160)*100,"--")</f>
        <v/>
      </c>
    </row>
    <row r="161">
      <c r="A161" t="inlineStr">
        <is>
          <t>CSCO</t>
        </is>
      </c>
      <c r="B161" t="inlineStr">
        <is>
          <t>IG</t>
        </is>
      </c>
      <c r="C161" t="inlineStr">
        <is>
          <t>CSCO 4.95 02/24/32</t>
        </is>
      </c>
      <c r="D161" t="inlineStr">
        <is>
          <t>CSCO CDS USD SR 5Y D14 Corp</t>
        </is>
      </c>
      <c r="E161" t="inlineStr">
        <is>
          <t>US17275RBY71</t>
        </is>
      </c>
      <c r="F161" s="2" t="n">
        <v>45708</v>
      </c>
      <c r="G161" s="2" t="n">
        <v>46225</v>
      </c>
      <c r="H161" s="2" t="n">
        <v>48385</v>
      </c>
      <c r="I161" s="3" t="n">
        <v>38.8339</v>
      </c>
      <c r="J161" s="3" t="n">
        <v>33.125</v>
      </c>
      <c r="K161" s="3" t="n">
        <v>45.165</v>
      </c>
      <c r="L161" s="3" t="n">
        <v>51.235</v>
      </c>
      <c r="M161" s="3" t="n">
        <v>-6.331099999999999</v>
      </c>
      <c r="N161" s="3" t="n">
        <v>-34.9886</v>
      </c>
      <c r="O161" s="3" t="n">
        <v>-4.439600000000006</v>
      </c>
      <c r="P161" s="4" t="n">
        <v>93.80830796425417</v>
      </c>
      <c r="Q161" s="3" t="n">
        <v>-12.04</v>
      </c>
      <c r="R161" s="3" t="n">
        <v>-38.39279999999999</v>
      </c>
      <c r="S161" s="3" t="n">
        <v>-9.013300000000001</v>
      </c>
      <c r="T161" s="4" t="n">
        <v>89.69791861672255</v>
      </c>
      <c r="U161" s="5">
        <f>IFERROR(BDP(E161&amp;" Corp","LAST_PRICE"),"--")</f>
        <v/>
      </c>
      <c r="V161" s="6">
        <f>IFERROR(BDP(E161&amp;" Corp","YAS_BENCHMARK_BOND_ISIN"),"--")</f>
        <v/>
      </c>
      <c r="W161" s="5">
        <f>IFERROR(BDP(V161&amp;" CORP","LAST_PRICE"),"--")</f>
        <v/>
      </c>
      <c r="X161" s="7">
        <f>IFERROR(BDP(E161&amp;" Corp","YAS_YLD_SPREAD","YAS_BOND_PX="&amp;U161,"YAS_BNCHMRK_BOND_PX="&amp;W161),"--")</f>
        <v/>
      </c>
      <c r="Y161" s="7">
        <f>IFERROR(BDP(E161&amp;" Corp","BLOOMBERG_MID_G_SPREAD","YAS_BOND_PX="&amp;U161,"YAS_BNCHMRK_BOND_PX="&amp;W161),"--")</f>
        <v/>
      </c>
      <c r="Z161" s="7">
        <f>IFERROR(BDP(D161,"LAST_PRICE"),"--")</f>
        <v/>
      </c>
      <c r="AA161" s="7">
        <f>IFERROR(Z161-Y161,"--")</f>
        <v/>
      </c>
      <c r="AB161" s="8">
        <f>IFERROR((AA161-R161)/(S161-R161)*100,"--")</f>
        <v/>
      </c>
    </row>
    <row r="162">
      <c r="A162" t="inlineStr">
        <is>
          <t>CSX</t>
        </is>
      </c>
      <c r="B162" t="inlineStr">
        <is>
          <t>IG</t>
        </is>
      </c>
      <c r="C162" t="inlineStr">
        <is>
          <t>CSX 5.2 11/15/33</t>
        </is>
      </c>
      <c r="D162" t="inlineStr">
        <is>
          <t>CSX CDS USD SR 5Y D14 Corp</t>
        </is>
      </c>
      <c r="E162" t="inlineStr">
        <is>
          <t>US126408HW63</t>
        </is>
      </c>
      <c r="F162" s="2" t="n">
        <v>45659</v>
      </c>
      <c r="G162" s="2" t="n">
        <v>46225</v>
      </c>
      <c r="H162" s="2" t="n">
        <v>48933</v>
      </c>
      <c r="I162" s="3" t="n">
        <v>28.4763</v>
      </c>
      <c r="J162" s="3" t="n">
        <v>17.3342</v>
      </c>
      <c r="K162" s="3" t="n">
        <v>52.07</v>
      </c>
      <c r="L162" s="3" t="n">
        <v>40.016</v>
      </c>
      <c r="M162" s="3" t="n">
        <v>-23.5937</v>
      </c>
      <c r="N162" s="3" t="n">
        <v>-48.49930000000001</v>
      </c>
      <c r="O162" s="3" t="n">
        <v>-12.7656</v>
      </c>
      <c r="P162" s="4" t="n">
        <v>69.69779228011652</v>
      </c>
      <c r="Q162" s="3" t="n">
        <v>-34.7358</v>
      </c>
      <c r="R162" s="3" t="n">
        <v>-59.9406</v>
      </c>
      <c r="S162" s="3" t="n">
        <v>-23.8936</v>
      </c>
      <c r="T162" s="4" t="n">
        <v>69.92204621743838</v>
      </c>
      <c r="U162" s="5">
        <f>IFERROR(BDP(E162&amp;" Corp","LAST_PRICE"),"--")</f>
        <v/>
      </c>
      <c r="V162" s="6">
        <f>IFERROR(BDP(E162&amp;" Corp","YAS_BENCHMARK_BOND_ISIN"),"--")</f>
        <v/>
      </c>
      <c r="W162" s="5">
        <f>IFERROR(BDP(V162&amp;" CORP","LAST_PRICE"),"--")</f>
        <v/>
      </c>
      <c r="X162" s="7">
        <f>IFERROR(BDP(E162&amp;" Corp","YAS_YLD_SPREAD","YAS_BOND_PX="&amp;U162,"YAS_BNCHMRK_BOND_PX="&amp;W162),"--")</f>
        <v/>
      </c>
      <c r="Y162" s="7">
        <f>IFERROR(BDP(E162&amp;" Corp","BLOOMBERG_MID_G_SPREAD","YAS_BOND_PX="&amp;U162,"YAS_BNCHMRK_BOND_PX="&amp;W162),"--")</f>
        <v/>
      </c>
      <c r="Z162" s="7">
        <f>IFERROR(BDP(D162,"LAST_PRICE"),"--")</f>
        <v/>
      </c>
      <c r="AA162" s="7">
        <f>IFERROR(Z162-Y162,"--")</f>
        <v/>
      </c>
      <c r="AB162" s="8">
        <f>IFERROR((AA162-R162)/(S162-R162)*100,"--")</f>
        <v/>
      </c>
    </row>
    <row r="163">
      <c r="A163" t="inlineStr">
        <is>
          <t>CVS</t>
        </is>
      </c>
      <c r="B163" t="inlineStr">
        <is>
          <t>IG</t>
        </is>
      </c>
      <c r="C163" t="inlineStr">
        <is>
          <t>CVS 5 09/15/32</t>
        </is>
      </c>
      <c r="D163" t="inlineStr">
        <is>
          <t>CVS CDS USD SR 5Y D14 Corp</t>
        </is>
      </c>
      <c r="E163" t="inlineStr">
        <is>
          <t>US126650EJ50</t>
        </is>
      </c>
      <c r="F163" s="2" t="n">
        <v>45880</v>
      </c>
      <c r="G163" s="2" t="n">
        <v>46225</v>
      </c>
      <c r="H163" s="2" t="n">
        <v>48568</v>
      </c>
      <c r="I163" s="3" t="n">
        <v>66.3592</v>
      </c>
      <c r="J163" s="3" t="n">
        <v>48.8176</v>
      </c>
      <c r="K163" s="3" t="n">
        <v>68.044</v>
      </c>
      <c r="L163" s="3" t="n">
        <v>76.316</v>
      </c>
      <c r="M163" s="3" t="n">
        <v>-1.684799999999996</v>
      </c>
      <c r="N163" s="3" t="n">
        <v>-20.8207</v>
      </c>
      <c r="O163" s="3" t="n">
        <v>5.379099999999994</v>
      </c>
      <c r="P163" s="4" t="n">
        <v>73.03834380415122</v>
      </c>
      <c r="Q163" s="3" t="n">
        <v>-19.2264</v>
      </c>
      <c r="R163" s="3" t="n">
        <v>-32.2501</v>
      </c>
      <c r="S163" s="3" t="n">
        <v>-10.0842</v>
      </c>
      <c r="T163" s="4" t="n">
        <v>58.75556598198135</v>
      </c>
      <c r="U163" s="5">
        <f>IFERROR(BDP(E163&amp;" Corp","LAST_PRICE"),"--")</f>
        <v/>
      </c>
      <c r="V163" s="6">
        <f>IFERROR(BDP(E163&amp;" Corp","YAS_BENCHMARK_BOND_ISIN"),"--")</f>
        <v/>
      </c>
      <c r="W163" s="5">
        <f>IFERROR(BDP(V163&amp;" CORP","LAST_PRICE"),"--")</f>
        <v/>
      </c>
      <c r="X163" s="7">
        <f>IFERROR(BDP(E163&amp;" Corp","YAS_YLD_SPREAD","YAS_BOND_PX="&amp;U163,"YAS_BNCHMRK_BOND_PX="&amp;W163),"--")</f>
        <v/>
      </c>
      <c r="Y163" s="7">
        <f>IFERROR(BDP(E163&amp;" Corp","BLOOMBERG_MID_G_SPREAD","YAS_BOND_PX="&amp;U163,"YAS_BNCHMRK_BOND_PX="&amp;W163),"--")</f>
        <v/>
      </c>
      <c r="Z163" s="7">
        <f>IFERROR(BDP(D163,"LAST_PRICE"),"--")</f>
        <v/>
      </c>
      <c r="AA163" s="7">
        <f>IFERROR(Z163-Y163,"--")</f>
        <v/>
      </c>
      <c r="AB163" s="8">
        <f>IFERROR((AA163-R163)/(S163-R163)*100,"--")</f>
        <v/>
      </c>
    </row>
    <row r="164">
      <c r="A164" t="inlineStr">
        <is>
          <t>D</t>
        </is>
      </c>
      <c r="B164" t="inlineStr">
        <is>
          <t>IG</t>
        </is>
      </c>
      <c r="C164" t="inlineStr">
        <is>
          <t>D 5 3/8 11/15/32</t>
        </is>
      </c>
      <c r="D164" t="inlineStr">
        <is>
          <t>DOMINION CDS USD SR 5Y D14 Corp</t>
        </is>
      </c>
      <c r="E164" t="inlineStr">
        <is>
          <t>US25746UDR77</t>
        </is>
      </c>
      <c r="F164" s="2" t="n">
        <v>45659</v>
      </c>
      <c r="G164" s="2" t="n">
        <v>46225</v>
      </c>
      <c r="H164" s="2" t="n">
        <v>48568</v>
      </c>
      <c r="I164" s="3" t="n">
        <v>44.4348</v>
      </c>
      <c r="J164" s="3" t="n">
        <v>33.375</v>
      </c>
      <c r="K164" s="3" t="n">
        <v>72.556</v>
      </c>
      <c r="L164" s="3" t="n">
        <v>79.83499999999999</v>
      </c>
      <c r="M164" s="3" t="n">
        <v>-28.12119999999999</v>
      </c>
      <c r="N164" s="3" t="n">
        <v>-61.8449</v>
      </c>
      <c r="O164" s="3" t="n">
        <v>-14.36940000000001</v>
      </c>
      <c r="P164" s="4" t="n">
        <v>71.03390169666461</v>
      </c>
      <c r="Q164" s="3" t="n">
        <v>-39.181</v>
      </c>
      <c r="R164" s="3" t="n">
        <v>-69.839</v>
      </c>
      <c r="S164" s="3" t="n">
        <v>-24.2381</v>
      </c>
      <c r="T164" s="4" t="n">
        <v>67.2311292101691</v>
      </c>
      <c r="U164" s="5">
        <f>IFERROR(BDP(E164&amp;" Corp","LAST_PRICE"),"--")</f>
        <v/>
      </c>
      <c r="V164" s="6">
        <f>IFERROR(BDP(E164&amp;" Corp","YAS_BENCHMARK_BOND_ISIN"),"--")</f>
        <v/>
      </c>
      <c r="W164" s="5">
        <f>IFERROR(BDP(V164&amp;" CORP","LAST_PRICE"),"--")</f>
        <v/>
      </c>
      <c r="X164" s="7">
        <f>IFERROR(BDP(E164&amp;" Corp","YAS_YLD_SPREAD","YAS_BOND_PX="&amp;U164,"YAS_BNCHMRK_BOND_PX="&amp;W164),"--")</f>
        <v/>
      </c>
      <c r="Y164" s="7">
        <f>IFERROR(BDP(E164&amp;" Corp","BLOOMBERG_MID_G_SPREAD","YAS_BOND_PX="&amp;U164,"YAS_BNCHMRK_BOND_PX="&amp;W164),"--")</f>
        <v/>
      </c>
      <c r="Z164" s="7">
        <f>IFERROR(BDP(D164,"LAST_PRICE"),"--")</f>
        <v/>
      </c>
      <c r="AA164" s="7">
        <f>IFERROR(Z164-Y164,"--")</f>
        <v/>
      </c>
      <c r="AB164" s="8">
        <f>IFERROR((AA164-R164)/(S164-R164)*100,"--")</f>
        <v/>
      </c>
    </row>
    <row r="165">
      <c r="A165" t="inlineStr">
        <is>
          <t>DAL</t>
        </is>
      </c>
      <c r="B165" t="inlineStr">
        <is>
          <t>IG</t>
        </is>
      </c>
      <c r="C165" t="inlineStr">
        <is>
          <t>DAL 5 1/4 07/10/30</t>
        </is>
      </c>
      <c r="D165" t="inlineStr">
        <is>
          <t>DAL CDS USD SR 5Y D14 Corp</t>
        </is>
      </c>
      <c r="E165" t="inlineStr">
        <is>
          <t>US247361A329</t>
        </is>
      </c>
      <c r="F165" s="2" t="n">
        <v>45814</v>
      </c>
      <c r="G165" s="2" t="n">
        <v>46225</v>
      </c>
      <c r="H165" s="2" t="n">
        <v>47837</v>
      </c>
      <c r="I165" s="3" t="n">
        <v>92.0038</v>
      </c>
      <c r="J165" s="3" t="n">
        <v>100.7299</v>
      </c>
      <c r="K165" s="3" t="n">
        <v>73.417</v>
      </c>
      <c r="L165" s="3" t="n">
        <v>72.97499999999999</v>
      </c>
      <c r="M165" s="3" t="n">
        <v>18.5868</v>
      </c>
      <c r="N165" s="3" t="n">
        <v>-7.124800000000008</v>
      </c>
      <c r="O165" s="3" t="n">
        <v>27.5684</v>
      </c>
      <c r="P165" s="4" t="n">
        <v>74.11135323348668</v>
      </c>
      <c r="Q165" s="3" t="n">
        <v>27.3129</v>
      </c>
      <c r="R165" s="3" t="n">
        <v>0.7334999999999923</v>
      </c>
      <c r="S165" s="3" t="n">
        <v>37.9579</v>
      </c>
      <c r="T165" s="4" t="n">
        <v>71.40316566553122</v>
      </c>
      <c r="U165" s="5">
        <f>IFERROR(BDP(E165&amp;" Corp","LAST_PRICE"),"--")</f>
        <v/>
      </c>
      <c r="V165" s="6">
        <f>IFERROR(BDP(E165&amp;" Corp","YAS_BENCHMARK_BOND_ISIN"),"--")</f>
        <v/>
      </c>
      <c r="W165" s="5">
        <f>IFERROR(BDP(V165&amp;" CORP","LAST_PRICE"),"--")</f>
        <v/>
      </c>
      <c r="X165" s="7">
        <f>IFERROR(BDP(E165&amp;" Corp","YAS_YLD_SPREAD","YAS_BOND_PX="&amp;U165,"YAS_BNCHMRK_BOND_PX="&amp;W165),"--")</f>
        <v/>
      </c>
      <c r="Y165" s="7">
        <f>IFERROR(BDP(E165&amp;" Corp","BLOOMBERG_MID_G_SPREAD","YAS_BOND_PX="&amp;U165,"YAS_BNCHMRK_BOND_PX="&amp;W165),"--")</f>
        <v/>
      </c>
      <c r="Z165" s="7">
        <f>IFERROR(BDP(D165,"LAST_PRICE"),"--")</f>
        <v/>
      </c>
      <c r="AA165" s="7">
        <f>IFERROR(Z165-Y165,"--")</f>
        <v/>
      </c>
      <c r="AB165" s="8">
        <f>IFERROR((AA165-R165)/(S165-R165)*100,"--")</f>
        <v/>
      </c>
    </row>
    <row r="166">
      <c r="A166" t="inlineStr">
        <is>
          <t>DE</t>
        </is>
      </c>
      <c r="B166" t="inlineStr">
        <is>
          <t>IG</t>
        </is>
      </c>
      <c r="C166" t="inlineStr">
        <is>
          <t>DE 5.45 01/16/35</t>
        </is>
      </c>
      <c r="D166" t="inlineStr">
        <is>
          <t>DE I CDS USD SR 5Y D14 Corp</t>
        </is>
      </c>
      <c r="E166" t="inlineStr">
        <is>
          <t>US244199BL82</t>
        </is>
      </c>
      <c r="F166" s="2" t="n">
        <v>45736</v>
      </c>
      <c r="G166" s="2" t="n">
        <v>46225</v>
      </c>
      <c r="H166" s="2" t="n">
        <v>49480</v>
      </c>
      <c r="I166" s="3" t="n">
        <v>44.0203</v>
      </c>
      <c r="J166" s="3" t="n">
        <v>24.3333</v>
      </c>
      <c r="K166" s="3" t="n">
        <v>56.549</v>
      </c>
      <c r="L166" s="3" t="n">
        <v>50.392</v>
      </c>
      <c r="M166" s="3" t="n">
        <v>-12.5287</v>
      </c>
      <c r="N166" s="3" t="n">
        <v>-15.2843</v>
      </c>
      <c r="O166" s="3" t="n">
        <v>3.137199999999993</v>
      </c>
      <c r="P166" s="4" t="n">
        <v>14.95860814808784</v>
      </c>
      <c r="Q166" s="3" t="n">
        <v>-32.2157</v>
      </c>
      <c r="R166" s="3" t="n">
        <v>-39.31769999999999</v>
      </c>
      <c r="S166" s="3" t="n">
        <v>-15.5029</v>
      </c>
      <c r="T166" s="4" t="n">
        <v>29.82179149100558</v>
      </c>
      <c r="U166" s="5">
        <f>IFERROR(BDP(E166&amp;" Corp","LAST_PRICE"),"--")</f>
        <v/>
      </c>
      <c r="V166" s="6">
        <f>IFERROR(BDP(E166&amp;" Corp","YAS_BENCHMARK_BOND_ISIN"),"--")</f>
        <v/>
      </c>
      <c r="W166" s="5">
        <f>IFERROR(BDP(V166&amp;" CORP","LAST_PRICE"),"--")</f>
        <v/>
      </c>
      <c r="X166" s="7">
        <f>IFERROR(BDP(E166&amp;" Corp","YAS_YLD_SPREAD","YAS_BOND_PX="&amp;U166,"YAS_BNCHMRK_BOND_PX="&amp;W166),"--")</f>
        <v/>
      </c>
      <c r="Y166" s="7">
        <f>IFERROR(BDP(E166&amp;" Corp","BLOOMBERG_MID_G_SPREAD","YAS_BOND_PX="&amp;U166,"YAS_BNCHMRK_BOND_PX="&amp;W166),"--")</f>
        <v/>
      </c>
      <c r="Z166" s="7">
        <f>IFERROR(BDP(D166,"LAST_PRICE"),"--")</f>
        <v/>
      </c>
      <c r="AA166" s="7">
        <f>IFERROR(Z166-Y166,"--")</f>
        <v/>
      </c>
      <c r="AB166" s="8">
        <f>IFERROR((AA166-R166)/(S166-R166)*100,"--")</f>
        <v/>
      </c>
    </row>
    <row r="167">
      <c r="A167" t="inlineStr">
        <is>
          <t>DELL</t>
        </is>
      </c>
      <c r="B167" t="inlineStr">
        <is>
          <t>IG</t>
        </is>
      </c>
      <c r="C167" t="inlineStr">
        <is>
          <t>DELL 4 3/4 10/06/32</t>
        </is>
      </c>
      <c r="D167" t="inlineStr">
        <is>
          <t>DELL CDS USD SR 5Y D14 Corp</t>
        </is>
      </c>
      <c r="E167" t="inlineStr">
        <is>
          <t>US24703DBT72</t>
        </is>
      </c>
      <c r="F167" s="2" t="n">
        <v>45922</v>
      </c>
      <c r="G167" s="2" t="n">
        <v>46225</v>
      </c>
      <c r="H167" s="2" t="n">
        <v>48568</v>
      </c>
      <c r="I167" s="3" t="n">
        <v>86.48439999999999</v>
      </c>
      <c r="J167" s="3" t="n">
        <v>65.6165</v>
      </c>
      <c r="K167" s="3" t="n">
        <v>73.831</v>
      </c>
      <c r="L167" s="3" t="n">
        <v>82.535</v>
      </c>
      <c r="M167" s="3" t="n">
        <v>12.65339999999999</v>
      </c>
      <c r="N167" s="3" t="n">
        <v>-16.3096</v>
      </c>
      <c r="O167" s="3" t="n">
        <v>15.7017</v>
      </c>
      <c r="P167" s="4" t="n">
        <v>90.47742515924061</v>
      </c>
      <c r="Q167" s="3" t="n">
        <v>-8.214500000000001</v>
      </c>
      <c r="R167" s="3" t="n">
        <v>-31.3579</v>
      </c>
      <c r="S167" s="3" t="n">
        <v>0.8490000000000038</v>
      </c>
      <c r="T167" s="4" t="n">
        <v>71.8585147903089</v>
      </c>
      <c r="U167" s="5">
        <f>IFERROR(BDP(E167&amp;" Corp","LAST_PRICE"),"--")</f>
        <v/>
      </c>
      <c r="V167" s="6">
        <f>IFERROR(BDP(E167&amp;" Corp","YAS_BENCHMARK_BOND_ISIN"),"--")</f>
        <v/>
      </c>
      <c r="W167" s="5">
        <f>IFERROR(BDP(V167&amp;" CORP","LAST_PRICE"),"--")</f>
        <v/>
      </c>
      <c r="X167" s="7">
        <f>IFERROR(BDP(E167&amp;" Corp","YAS_YLD_SPREAD","YAS_BOND_PX="&amp;U167,"YAS_BNCHMRK_BOND_PX="&amp;W167),"--")</f>
        <v/>
      </c>
      <c r="Y167" s="7">
        <f>IFERROR(BDP(E167&amp;" Corp","BLOOMBERG_MID_G_SPREAD","YAS_BOND_PX="&amp;U167,"YAS_BNCHMRK_BOND_PX="&amp;W167),"--")</f>
        <v/>
      </c>
      <c r="Z167" s="7">
        <f>IFERROR(BDP(D167,"LAST_PRICE"),"--")</f>
        <v/>
      </c>
      <c r="AA167" s="7">
        <f>IFERROR(Z167-Y167,"--")</f>
        <v/>
      </c>
      <c r="AB167" s="8">
        <f>IFERROR((AA167-R167)/(S167-R167)*100,"--")</f>
        <v/>
      </c>
    </row>
    <row r="168">
      <c r="A168" t="inlineStr">
        <is>
          <t>DGX</t>
        </is>
      </c>
      <c r="B168" t="inlineStr">
        <is>
          <t>IG</t>
        </is>
      </c>
      <c r="C168" t="inlineStr">
        <is>
          <t>DGX 6.4 11/30/33</t>
        </is>
      </c>
      <c r="D168" t="inlineStr">
        <is>
          <t>DGX CDS USD SR 5Y D14 Corp</t>
        </is>
      </c>
      <c r="E168" t="inlineStr">
        <is>
          <t>US74834LBD10</t>
        </is>
      </c>
      <c r="F168" s="2" t="n">
        <v>45659</v>
      </c>
      <c r="G168" s="2" t="n">
        <v>46225</v>
      </c>
      <c r="H168" s="2" t="n">
        <v>48933</v>
      </c>
      <c r="I168" s="3" t="n">
        <v>33.5116</v>
      </c>
      <c r="J168" s="3" t="n">
        <v>19.5864</v>
      </c>
      <c r="K168" s="3" t="n">
        <v>69.271</v>
      </c>
      <c r="L168" s="3" t="n">
        <v>58.102</v>
      </c>
      <c r="M168" s="3" t="n">
        <v>-35.7594</v>
      </c>
      <c r="N168" s="3" t="n">
        <v>-61.7015</v>
      </c>
      <c r="O168" s="3" t="n">
        <v>-20.6568</v>
      </c>
      <c r="P168" s="4" t="n">
        <v>63.20450630653897</v>
      </c>
      <c r="Q168" s="3" t="n">
        <v>-49.6846</v>
      </c>
      <c r="R168" s="3" t="n">
        <v>-75.2437</v>
      </c>
      <c r="S168" s="3" t="n">
        <v>-34.1613</v>
      </c>
      <c r="T168" s="4" t="n">
        <v>62.21423285883979</v>
      </c>
      <c r="U168" s="5">
        <f>IFERROR(BDP(E168&amp;" Corp","LAST_PRICE"),"--")</f>
        <v/>
      </c>
      <c r="V168" s="6">
        <f>IFERROR(BDP(E168&amp;" Corp","YAS_BENCHMARK_BOND_ISIN"),"--")</f>
        <v/>
      </c>
      <c r="W168" s="5">
        <f>IFERROR(BDP(V168&amp;" CORP","LAST_PRICE"),"--")</f>
        <v/>
      </c>
      <c r="X168" s="7">
        <f>IFERROR(BDP(E168&amp;" Corp","YAS_YLD_SPREAD","YAS_BOND_PX="&amp;U168,"YAS_BNCHMRK_BOND_PX="&amp;W168),"--")</f>
        <v/>
      </c>
      <c r="Y168" s="7">
        <f>IFERROR(BDP(E168&amp;" Corp","BLOOMBERG_MID_G_SPREAD","YAS_BOND_PX="&amp;U168,"YAS_BNCHMRK_BOND_PX="&amp;W168),"--")</f>
        <v/>
      </c>
      <c r="Z168" s="7">
        <f>IFERROR(BDP(D168,"LAST_PRICE"),"--")</f>
        <v/>
      </c>
      <c r="AA168" s="7">
        <f>IFERROR(Z168-Y168,"--")</f>
        <v/>
      </c>
      <c r="AB168" s="8">
        <f>IFERROR((AA168-R168)/(S168-R168)*100,"--")</f>
        <v/>
      </c>
    </row>
    <row r="169">
      <c r="A169" t="inlineStr">
        <is>
          <t>DHI</t>
        </is>
      </c>
      <c r="B169" t="inlineStr">
        <is>
          <t>IG</t>
        </is>
      </c>
      <c r="C169" t="inlineStr">
        <is>
          <t>DHI 5 10/15/34</t>
        </is>
      </c>
      <c r="D169" t="inlineStr">
        <is>
          <t>DHI CDS USD SR 5Y D14 Corp</t>
        </is>
      </c>
      <c r="E169" t="inlineStr">
        <is>
          <t>US23331ABS78</t>
        </is>
      </c>
      <c r="F169" s="2" t="n">
        <v>45659</v>
      </c>
      <c r="G169" s="2" t="n">
        <v>46225</v>
      </c>
      <c r="H169" s="2" t="n">
        <v>49298</v>
      </c>
      <c r="I169" s="3" t="n">
        <v>68.60129999999999</v>
      </c>
      <c r="J169" s="3" t="n">
        <v>43.6355</v>
      </c>
      <c r="K169" s="3" t="n">
        <v>79.711</v>
      </c>
      <c r="L169" s="3" t="n">
        <v>74.312</v>
      </c>
      <c r="M169" s="3" t="n">
        <v>-11.1097</v>
      </c>
      <c r="N169" s="3" t="n">
        <v>-26.4371</v>
      </c>
      <c r="O169" s="3" t="n">
        <v>9.475700000000003</v>
      </c>
      <c r="P169" s="4" t="n">
        <v>42.67949032099974</v>
      </c>
      <c r="Q169" s="3" t="n">
        <v>-36.0755</v>
      </c>
      <c r="R169" s="3" t="n">
        <v>-47.89660000000001</v>
      </c>
      <c r="S169" s="3" t="n">
        <v>-14.0322</v>
      </c>
      <c r="T169" s="4" t="n">
        <v>34.90715914057241</v>
      </c>
      <c r="U169" s="5">
        <f>IFERROR(BDP(E169&amp;" Corp","LAST_PRICE"),"--")</f>
        <v/>
      </c>
      <c r="V169" s="6">
        <f>IFERROR(BDP(E169&amp;" Corp","YAS_BENCHMARK_BOND_ISIN"),"--")</f>
        <v/>
      </c>
      <c r="W169" s="5">
        <f>IFERROR(BDP(V169&amp;" CORP","LAST_PRICE"),"--")</f>
        <v/>
      </c>
      <c r="X169" s="7">
        <f>IFERROR(BDP(E169&amp;" Corp","YAS_YLD_SPREAD","YAS_BOND_PX="&amp;U169,"YAS_BNCHMRK_BOND_PX="&amp;W169),"--")</f>
        <v/>
      </c>
      <c r="Y169" s="7">
        <f>IFERROR(BDP(E169&amp;" Corp","BLOOMBERG_MID_G_SPREAD","YAS_BOND_PX="&amp;U169,"YAS_BNCHMRK_BOND_PX="&amp;W169),"--")</f>
        <v/>
      </c>
      <c r="Z169" s="7">
        <f>IFERROR(BDP(D169,"LAST_PRICE"),"--")</f>
        <v/>
      </c>
      <c r="AA169" s="7">
        <f>IFERROR(Z169-Y169,"--")</f>
        <v/>
      </c>
      <c r="AB169" s="8">
        <f>IFERROR((AA169-R169)/(S169-R169)*100,"--")</f>
        <v/>
      </c>
    </row>
    <row r="170">
      <c r="A170" t="inlineStr">
        <is>
          <t>DHR</t>
        </is>
      </c>
      <c r="B170" t="inlineStr">
        <is>
          <t>IG</t>
        </is>
      </c>
      <c r="C170" t="inlineStr">
        <is>
          <t>DHR 3 5/8 04/29/34</t>
        </is>
      </c>
      <c r="D170" t="inlineStr">
        <is>
          <t>DANAHER CDS USD SR 5Y D14 Corp</t>
        </is>
      </c>
      <c r="E170" t="inlineStr">
        <is>
          <t>XS3352083409</t>
        </is>
      </c>
      <c r="F170" s="2" t="n">
        <v>46135</v>
      </c>
      <c r="G170" s="2" t="n">
        <v>46225</v>
      </c>
      <c r="H170" s="2" t="n">
        <v>49115</v>
      </c>
      <c r="I170" s="3" t="n">
        <v>37.8559</v>
      </c>
      <c r="J170" s="3" t="n">
        <v>21.8257</v>
      </c>
      <c r="K170" s="3" t="n">
        <v>72.718</v>
      </c>
      <c r="L170" s="3" t="n">
        <v>74.197</v>
      </c>
      <c r="M170" s="3" t="n">
        <v>-34.86210000000001</v>
      </c>
      <c r="N170" s="3" t="n">
        <v>-41.70379999999999</v>
      </c>
      <c r="O170" s="3" t="n">
        <v>-29.19439999999999</v>
      </c>
      <c r="P170" s="4" t="n">
        <v>54.69247126161119</v>
      </c>
      <c r="Q170" s="3" t="n">
        <v>-50.89230000000001</v>
      </c>
      <c r="R170" s="3" t="n">
        <v>-56.88300000000001</v>
      </c>
      <c r="S170" s="3" t="n">
        <v>-46.00449999999999</v>
      </c>
      <c r="T170" s="4" t="n">
        <v>55.06917313967914</v>
      </c>
      <c r="U170" s="5">
        <f>IFERROR(BDP(E170&amp;" Corp","LAST_PRICE"),"--")</f>
        <v/>
      </c>
      <c r="V170" s="6">
        <f>IFERROR(BDP(E170&amp;" Corp","YAS_BENCHMARK_BOND_ISIN"),"--")</f>
        <v/>
      </c>
      <c r="W170" s="5">
        <f>IFERROR(BDP(V170&amp;" CORP","LAST_PRICE"),"--")</f>
        <v/>
      </c>
      <c r="X170" s="7">
        <f>IFERROR(BDP(E170&amp;" Corp","YAS_YLD_SPREAD","YAS_BOND_PX="&amp;U170,"YAS_BNCHMRK_BOND_PX="&amp;W170),"--")</f>
        <v/>
      </c>
      <c r="Y170" s="7">
        <f>IFERROR(BDP(E170&amp;" Corp","BLOOMBERG_MID_G_SPREAD","YAS_BOND_PX="&amp;U170,"YAS_BNCHMRK_BOND_PX="&amp;W170),"--")</f>
        <v/>
      </c>
      <c r="Z170" s="7">
        <f>IFERROR(BDP(D170,"LAST_PRICE"),"--")</f>
        <v/>
      </c>
      <c r="AA170" s="7">
        <f>IFERROR(Z170-Y170,"--")</f>
        <v/>
      </c>
      <c r="AB170" s="8">
        <f>IFERROR((AA170-R170)/(S170-R170)*100,"--")</f>
        <v/>
      </c>
    </row>
    <row r="171">
      <c r="A171" t="inlineStr">
        <is>
          <t>DIS</t>
        </is>
      </c>
      <c r="B171" t="inlineStr">
        <is>
          <t>IG</t>
        </is>
      </c>
      <c r="C171" t="inlineStr">
        <is>
          <t>DIS 4 03/14/31</t>
        </is>
      </c>
      <c r="D171" t="inlineStr">
        <is>
          <t>DIS B CDS USD SR 5Y D14 Corp</t>
        </is>
      </c>
      <c r="E171" t="inlineStr">
        <is>
          <t>US254687GD28</t>
        </is>
      </c>
      <c r="F171" s="2" t="n">
        <v>46063</v>
      </c>
      <c r="G171" s="2" t="n">
        <v>46225</v>
      </c>
      <c r="H171" s="2" t="n">
        <v>48019</v>
      </c>
      <c r="I171" s="3" t="n">
        <v>32.6</v>
      </c>
      <c r="J171" s="3" t="n">
        <v>32.6</v>
      </c>
      <c r="K171" s="3" t="n">
        <v>36.844</v>
      </c>
      <c r="L171" s="3" t="n">
        <v>36.784</v>
      </c>
      <c r="M171" s="3" t="n">
        <v>-4.244</v>
      </c>
      <c r="N171" s="3" t="n">
        <v>-9.199799999999996</v>
      </c>
      <c r="O171" s="3" t="n">
        <v>3.920400000000001</v>
      </c>
      <c r="P171" s="4" t="n">
        <v>37.772290056554</v>
      </c>
      <c r="Q171" s="3" t="n">
        <v>-4.244</v>
      </c>
      <c r="R171" s="3" t="n">
        <v>-9.199799999999996</v>
      </c>
      <c r="S171" s="3" t="n">
        <v>3.920400000000001</v>
      </c>
      <c r="T171" s="4" t="n">
        <v>37.772290056554</v>
      </c>
      <c r="U171" s="5">
        <f>IFERROR(BDP(E171&amp;" Corp","LAST_PRICE"),"--")</f>
        <v/>
      </c>
      <c r="V171" s="6">
        <f>IFERROR(BDP(E171&amp;" Corp","YAS_BENCHMARK_BOND_ISIN"),"--")</f>
        <v/>
      </c>
      <c r="W171" s="5">
        <f>IFERROR(BDP(V171&amp;" CORP","LAST_PRICE"),"--")</f>
        <v/>
      </c>
      <c r="X171" s="7">
        <f>IFERROR(BDP(E171&amp;" Corp","YAS_YLD_SPREAD","YAS_BOND_PX="&amp;U171,"YAS_BNCHMRK_BOND_PX="&amp;W171),"--")</f>
        <v/>
      </c>
      <c r="Y171" s="7">
        <f>IFERROR(BDP(E171&amp;" Corp","BLOOMBERG_MID_G_SPREAD","YAS_BOND_PX="&amp;U171,"YAS_BNCHMRK_BOND_PX="&amp;W171),"--")</f>
        <v/>
      </c>
      <c r="Z171" s="7">
        <f>IFERROR(BDP(D171,"LAST_PRICE"),"--")</f>
        <v/>
      </c>
      <c r="AA171" s="7">
        <f>IFERROR(Z171-Y171,"--")</f>
        <v/>
      </c>
      <c r="AB171" s="8">
        <f>IFERROR((AA171-R171)/(S171-R171)*100,"--")</f>
        <v/>
      </c>
    </row>
    <row r="172">
      <c r="A172" t="inlineStr">
        <is>
          <t>DOW</t>
        </is>
      </c>
      <c r="B172" t="inlineStr">
        <is>
          <t>IG</t>
        </is>
      </c>
      <c r="C172" t="inlineStr">
        <is>
          <t>DOW 4.8 01/15/31</t>
        </is>
      </c>
      <c r="D172" t="inlineStr">
        <is>
          <t>DOWCHEM CDS USD SR 5Y D14 Corp</t>
        </is>
      </c>
      <c r="E172" t="inlineStr">
        <is>
          <t>US260543DN04</t>
        </is>
      </c>
      <c r="F172" s="2" t="n">
        <v>45903</v>
      </c>
      <c r="G172" s="2" t="n">
        <v>46225</v>
      </c>
      <c r="H172" s="2" t="n">
        <v>48019</v>
      </c>
      <c r="I172" s="3" t="n">
        <v>84.20099999999999</v>
      </c>
      <c r="J172" s="3" t="n">
        <v>84.20099999999999</v>
      </c>
      <c r="K172" s="3" t="n">
        <v>88.538</v>
      </c>
      <c r="L172" s="3" t="n">
        <v>84.935</v>
      </c>
      <c r="M172" s="3" t="n">
        <v>-4.337000000000003</v>
      </c>
      <c r="N172" s="3" t="n">
        <v>-22.6422</v>
      </c>
      <c r="O172" s="3" t="n">
        <v>0.8471000000000117</v>
      </c>
      <c r="P172" s="4" t="n">
        <v>77.92995108411058</v>
      </c>
      <c r="Q172" s="3" t="n">
        <v>-4.337000000000003</v>
      </c>
      <c r="R172" s="3" t="n">
        <v>-22.6422</v>
      </c>
      <c r="S172" s="3" t="n">
        <v>0.8471000000000117</v>
      </c>
      <c r="T172" s="4" t="n">
        <v>77.92995108411058</v>
      </c>
      <c r="U172" s="5">
        <f>IFERROR(BDP(E172&amp;" Corp","LAST_PRICE"),"--")</f>
        <v/>
      </c>
      <c r="V172" s="6">
        <f>IFERROR(BDP(E172&amp;" Corp","YAS_BENCHMARK_BOND_ISIN"),"--")</f>
        <v/>
      </c>
      <c r="W172" s="5">
        <f>IFERROR(BDP(V172&amp;" CORP","LAST_PRICE"),"--")</f>
        <v/>
      </c>
      <c r="X172" s="7">
        <f>IFERROR(BDP(E172&amp;" Corp","YAS_YLD_SPREAD","YAS_BOND_PX="&amp;U172,"YAS_BNCHMRK_BOND_PX="&amp;W172),"--")</f>
        <v/>
      </c>
      <c r="Y172" s="7">
        <f>IFERROR(BDP(E172&amp;" Corp","BLOOMBERG_MID_G_SPREAD","YAS_BOND_PX="&amp;U172,"YAS_BNCHMRK_BOND_PX="&amp;W172),"--")</f>
        <v/>
      </c>
      <c r="Z172" s="7">
        <f>IFERROR(BDP(D172,"LAST_PRICE"),"--")</f>
        <v/>
      </c>
      <c r="AA172" s="7">
        <f>IFERROR(Z172-Y172,"--")</f>
        <v/>
      </c>
      <c r="AB172" s="8">
        <f>IFERROR((AA172-R172)/(S172-R172)*100,"--")</f>
        <v/>
      </c>
    </row>
    <row r="173">
      <c r="A173" t="inlineStr">
        <is>
          <t>DRI</t>
        </is>
      </c>
      <c r="B173" t="inlineStr">
        <is>
          <t>IG</t>
        </is>
      </c>
      <c r="C173" t="inlineStr">
        <is>
          <t>DRI 6.3 10/10/33</t>
        </is>
      </c>
      <c r="D173" t="inlineStr">
        <is>
          <t>DRI CDS USD SR 5Y D14 Corp</t>
        </is>
      </c>
      <c r="E173" t="inlineStr">
        <is>
          <t>US237194AN56</t>
        </is>
      </c>
      <c r="F173" s="2" t="n">
        <v>45659</v>
      </c>
      <c r="G173" s="2" t="n">
        <v>46225</v>
      </c>
      <c r="H173" s="2" t="n">
        <v>48933</v>
      </c>
      <c r="I173" s="3" t="n">
        <v>54.8343</v>
      </c>
      <c r="J173" s="3" t="n">
        <v>37.5253</v>
      </c>
      <c r="K173" s="3" t="n">
        <v>87.31100000000001</v>
      </c>
      <c r="L173" s="3" t="n">
        <v>76.89700000000001</v>
      </c>
      <c r="M173" s="3" t="n">
        <v>-32.47670000000001</v>
      </c>
      <c r="N173" s="3" t="n">
        <v>-69.26880000000001</v>
      </c>
      <c r="O173" s="3" t="n">
        <v>-12.74299999999999</v>
      </c>
      <c r="P173" s="4" t="n">
        <v>65.08903898750657</v>
      </c>
      <c r="Q173" s="3" t="n">
        <v>-49.78570000000001</v>
      </c>
      <c r="R173" s="3" t="n">
        <v>-86.20320000000001</v>
      </c>
      <c r="S173" s="3" t="n">
        <v>-30.1428</v>
      </c>
      <c r="T173" s="4" t="n">
        <v>64.96118472219248</v>
      </c>
      <c r="U173" s="5">
        <f>IFERROR(BDP(E173&amp;" Corp","LAST_PRICE"),"--")</f>
        <v/>
      </c>
      <c r="V173" s="6">
        <f>IFERROR(BDP(E173&amp;" Corp","YAS_BENCHMARK_BOND_ISIN"),"--")</f>
        <v/>
      </c>
      <c r="W173" s="5">
        <f>IFERROR(BDP(V173&amp;" CORP","LAST_PRICE"),"--")</f>
        <v/>
      </c>
      <c r="X173" s="7">
        <f>IFERROR(BDP(E173&amp;" Corp","YAS_YLD_SPREAD","YAS_BOND_PX="&amp;U173,"YAS_BNCHMRK_BOND_PX="&amp;W173),"--")</f>
        <v/>
      </c>
      <c r="Y173" s="7">
        <f>IFERROR(BDP(E173&amp;" Corp","BLOOMBERG_MID_G_SPREAD","YAS_BOND_PX="&amp;U173,"YAS_BNCHMRK_BOND_PX="&amp;W173),"--")</f>
        <v/>
      </c>
      <c r="Z173" s="7">
        <f>IFERROR(BDP(D173,"LAST_PRICE"),"--")</f>
        <v/>
      </c>
      <c r="AA173" s="7">
        <f>IFERROR(Z173-Y173,"--")</f>
        <v/>
      </c>
      <c r="AB173" s="8">
        <f>IFERROR((AA173-R173)/(S173-R173)*100,"--")</f>
        <v/>
      </c>
    </row>
    <row r="174">
      <c r="A174" t="inlineStr">
        <is>
          <t>DVN</t>
        </is>
      </c>
      <c r="B174" t="inlineStr">
        <is>
          <t>IG</t>
        </is>
      </c>
      <c r="C174" t="inlineStr">
        <is>
          <t>DVN 5.2 09/15/34</t>
        </is>
      </c>
      <c r="D174" t="inlineStr">
        <is>
          <t>DVNCORP CDS USD SR 5Y D14 Corp</t>
        </is>
      </c>
      <c r="E174" t="inlineStr">
        <is>
          <t>US25179MBG78</t>
        </is>
      </c>
      <c r="F174" s="2" t="n">
        <v>45659</v>
      </c>
      <c r="G174" s="2" t="n">
        <v>46225</v>
      </c>
      <c r="H174" s="2" t="n">
        <v>49298</v>
      </c>
      <c r="I174" s="3" t="n">
        <v>93.8151</v>
      </c>
      <c r="J174" s="3" t="n">
        <v>53.2729</v>
      </c>
      <c r="K174" s="3" t="n">
        <v>79.331</v>
      </c>
      <c r="L174" s="3" t="n">
        <v>73.2</v>
      </c>
      <c r="M174" s="3" t="n">
        <v>14.4841</v>
      </c>
      <c r="N174" s="3" t="n">
        <v>-41.87190000000001</v>
      </c>
      <c r="O174" s="3" t="n">
        <v>36.65799999999999</v>
      </c>
      <c r="P174" s="4" t="n">
        <v>71.76374858493391</v>
      </c>
      <c r="Q174" s="3" t="n">
        <v>-26.0581</v>
      </c>
      <c r="R174" s="3" t="n">
        <v>-76.137</v>
      </c>
      <c r="S174" s="3" t="n">
        <v>-2.199399999999997</v>
      </c>
      <c r="T174" s="4" t="n">
        <v>67.73130315292894</v>
      </c>
      <c r="U174" s="5">
        <f>IFERROR(BDP(E174&amp;" Corp","LAST_PRICE"),"--")</f>
        <v/>
      </c>
      <c r="V174" s="6">
        <f>IFERROR(BDP(E174&amp;" Corp","YAS_BENCHMARK_BOND_ISIN"),"--")</f>
        <v/>
      </c>
      <c r="W174" s="5">
        <f>IFERROR(BDP(V174&amp;" CORP","LAST_PRICE"),"--")</f>
        <v/>
      </c>
      <c r="X174" s="7">
        <f>IFERROR(BDP(E174&amp;" Corp","YAS_YLD_SPREAD","YAS_BOND_PX="&amp;U174,"YAS_BNCHMRK_BOND_PX="&amp;W174),"--")</f>
        <v/>
      </c>
      <c r="Y174" s="7">
        <f>IFERROR(BDP(E174&amp;" Corp","BLOOMBERG_MID_G_SPREAD","YAS_BOND_PX="&amp;U174,"YAS_BNCHMRK_BOND_PX="&amp;W174),"--")</f>
        <v/>
      </c>
      <c r="Z174" s="7">
        <f>IFERROR(BDP(D174,"LAST_PRICE"),"--")</f>
        <v/>
      </c>
      <c r="AA174" s="7">
        <f>IFERROR(Z174-Y174,"--")</f>
        <v/>
      </c>
      <c r="AB174" s="8">
        <f>IFERROR((AA174-R174)/(S174-R174)*100,"--")</f>
        <v/>
      </c>
    </row>
    <row r="175">
      <c r="A175" t="inlineStr">
        <is>
          <t>DXC</t>
        </is>
      </c>
      <c r="B175" t="inlineStr">
        <is>
          <t>IG</t>
        </is>
      </c>
      <c r="C175" t="inlineStr">
        <is>
          <t>DXC 4 1/4 12/09/30</t>
        </is>
      </c>
      <c r="D175" t="inlineStr">
        <is>
          <t>DXC CDS USD SR 5Y D14 Corp</t>
        </is>
      </c>
      <c r="E175" t="inlineStr">
        <is>
          <t>XS3247588109</t>
        </is>
      </c>
      <c r="F175" s="2" t="n">
        <v>45995</v>
      </c>
      <c r="G175" s="2" t="n">
        <v>46225</v>
      </c>
      <c r="H175" s="2" t="n">
        <v>47837</v>
      </c>
      <c r="I175" s="3" t="n">
        <v>238.293</v>
      </c>
      <c r="J175" s="3" t="n">
        <v>272.85</v>
      </c>
      <c r="K175" s="3" t="n">
        <v>196.954</v>
      </c>
      <c r="L175" s="3" t="n">
        <v>196.967</v>
      </c>
      <c r="M175" s="3" t="n">
        <v>41.339</v>
      </c>
      <c r="N175" s="3" t="n">
        <v>-47.4803</v>
      </c>
      <c r="O175" s="3" t="n">
        <v>61.18109999999999</v>
      </c>
      <c r="P175" s="4" t="n">
        <v>81.73951375557466</v>
      </c>
      <c r="Q175" s="3" t="n">
        <v>75.89600000000002</v>
      </c>
      <c r="R175" s="3" t="n">
        <v>-31.77080000000001</v>
      </c>
      <c r="S175" s="3" t="n">
        <v>96.00629999999998</v>
      </c>
      <c r="T175" s="4" t="n">
        <v>84.2614208649281</v>
      </c>
      <c r="U175" s="5">
        <f>IFERROR(BDP(E175&amp;" Corp","LAST_PRICE"),"--")</f>
        <v/>
      </c>
      <c r="V175" s="6">
        <f>IFERROR(BDP(E175&amp;" Corp","YAS_BENCHMARK_BOND_ISIN"),"--")</f>
        <v/>
      </c>
      <c r="W175" s="5">
        <f>IFERROR(BDP(V175&amp;" CORP","LAST_PRICE"),"--")</f>
        <v/>
      </c>
      <c r="X175" s="7">
        <f>IFERROR(BDP(E175&amp;" Corp","YAS_YLD_SPREAD","YAS_BOND_PX="&amp;U175,"YAS_BNCHMRK_BOND_PX="&amp;W175),"--")</f>
        <v/>
      </c>
      <c r="Y175" s="7">
        <f>IFERROR(BDP(E175&amp;" Corp","BLOOMBERG_MID_G_SPREAD","YAS_BOND_PX="&amp;U175,"YAS_BNCHMRK_BOND_PX="&amp;W175),"--")</f>
        <v/>
      </c>
      <c r="Z175" s="7">
        <f>IFERROR(BDP(D175,"LAST_PRICE"),"--")</f>
        <v/>
      </c>
      <c r="AA175" s="7">
        <f>IFERROR(Z175-Y175,"--")</f>
        <v/>
      </c>
      <c r="AB175" s="8">
        <f>IFERROR((AA175-R175)/(S175-R175)*100,"--")</f>
        <v/>
      </c>
    </row>
    <row r="176">
      <c r="A176" t="inlineStr">
        <is>
          <t>ELV</t>
        </is>
      </c>
      <c r="B176" t="inlineStr">
        <is>
          <t>IG</t>
        </is>
      </c>
      <c r="C176" t="inlineStr">
        <is>
          <t>ELV 4.95 11/01/31</t>
        </is>
      </c>
      <c r="D176" t="inlineStr">
        <is>
          <t>ELV CDS USD SR 5Y D14 Corp</t>
        </is>
      </c>
      <c r="E176" t="inlineStr">
        <is>
          <t>US036752BC66</t>
        </is>
      </c>
      <c r="F176" s="2" t="n">
        <v>46099</v>
      </c>
      <c r="G176" s="2" t="n">
        <v>46225</v>
      </c>
      <c r="H176" s="2" t="n">
        <v>48202</v>
      </c>
      <c r="I176" s="3" t="n">
        <v>52.7489</v>
      </c>
      <c r="J176" s="3" t="n">
        <v>46.461</v>
      </c>
      <c r="K176" s="3" t="n">
        <v>63.401</v>
      </c>
      <c r="L176" s="3" t="n">
        <v>66.64400000000001</v>
      </c>
      <c r="M176" s="3" t="n">
        <v>-10.6521</v>
      </c>
      <c r="N176" s="3" t="n">
        <v>-16.5877</v>
      </c>
      <c r="O176" s="3" t="n">
        <v>-1.371899999999997</v>
      </c>
      <c r="P176" s="4" t="n">
        <v>39.00945070255914</v>
      </c>
      <c r="Q176" s="3" t="n">
        <v>-16.94</v>
      </c>
      <c r="R176" s="3" t="n">
        <v>-23.36219999999999</v>
      </c>
      <c r="S176" s="3" t="n">
        <v>-7.991</v>
      </c>
      <c r="T176" s="4" t="n">
        <v>41.78073279900067</v>
      </c>
      <c r="U176" s="5">
        <f>IFERROR(BDP(E176&amp;" Corp","LAST_PRICE"),"--")</f>
        <v/>
      </c>
      <c r="V176" s="6">
        <f>IFERROR(BDP(E176&amp;" Corp","YAS_BENCHMARK_BOND_ISIN"),"--")</f>
        <v/>
      </c>
      <c r="W176" s="5">
        <f>IFERROR(BDP(V176&amp;" CORP","LAST_PRICE"),"--")</f>
        <v/>
      </c>
      <c r="X176" s="7">
        <f>IFERROR(BDP(E176&amp;" Corp","YAS_YLD_SPREAD","YAS_BOND_PX="&amp;U176,"YAS_BNCHMRK_BOND_PX="&amp;W176),"--")</f>
        <v/>
      </c>
      <c r="Y176" s="7">
        <f>IFERROR(BDP(E176&amp;" Corp","BLOOMBERG_MID_G_SPREAD","YAS_BOND_PX="&amp;U176,"YAS_BNCHMRK_BOND_PX="&amp;W176),"--")</f>
        <v/>
      </c>
      <c r="Z176" s="7">
        <f>IFERROR(BDP(D176,"LAST_PRICE"),"--")</f>
        <v/>
      </c>
      <c r="AA176" s="7">
        <f>IFERROR(Z176-Y176,"--")</f>
        <v/>
      </c>
      <c r="AB176" s="8">
        <f>IFERROR((AA176-R176)/(S176-R176)*100,"--")</f>
        <v/>
      </c>
    </row>
    <row r="177">
      <c r="A177" t="inlineStr">
        <is>
          <t>EMN</t>
        </is>
      </c>
      <c r="B177" t="inlineStr">
        <is>
          <t>IG</t>
        </is>
      </c>
      <c r="C177" t="inlineStr">
        <is>
          <t>EMN 4 1/2 02/20/31</t>
        </is>
      </c>
      <c r="D177" t="inlineStr">
        <is>
          <t>EMN CDS USD SR 5Y D14 Corp</t>
        </is>
      </c>
      <c r="E177" t="inlineStr">
        <is>
          <t>US277432BB57</t>
        </is>
      </c>
      <c r="F177" s="2" t="n">
        <v>46071</v>
      </c>
      <c r="G177" s="2" t="n">
        <v>46225</v>
      </c>
      <c r="H177" s="2" t="n">
        <v>48019</v>
      </c>
      <c r="I177" s="3" t="n">
        <v>67.66849999999999</v>
      </c>
      <c r="J177" s="3" t="n">
        <v>67.66849999999999</v>
      </c>
      <c r="K177" s="3" t="n">
        <v>76.089</v>
      </c>
      <c r="L177" s="3" t="n">
        <v>75.593</v>
      </c>
      <c r="M177" s="3" t="n">
        <v>-8.420500000000004</v>
      </c>
      <c r="N177" s="3" t="n">
        <v>-20.1742</v>
      </c>
      <c r="O177" s="3" t="n">
        <v>26.7765</v>
      </c>
      <c r="P177" s="4" t="n">
        <v>25.0341315464945</v>
      </c>
      <c r="Q177" s="3" t="n">
        <v>-8.420500000000004</v>
      </c>
      <c r="R177" s="3" t="n">
        <v>-20.1742</v>
      </c>
      <c r="S177" s="3" t="n">
        <v>26.7765</v>
      </c>
      <c r="T177" s="4" t="n">
        <v>25.0341315464945</v>
      </c>
      <c r="U177" s="5">
        <f>IFERROR(BDP(E177&amp;" Corp","LAST_PRICE"),"--")</f>
        <v/>
      </c>
      <c r="V177" s="6">
        <f>IFERROR(BDP(E177&amp;" Corp","YAS_BENCHMARK_BOND_ISIN"),"--")</f>
        <v/>
      </c>
      <c r="W177" s="5">
        <f>IFERROR(BDP(V177&amp;" CORP","LAST_PRICE"),"--")</f>
        <v/>
      </c>
      <c r="X177" s="7">
        <f>IFERROR(BDP(E177&amp;" Corp","YAS_YLD_SPREAD","YAS_BOND_PX="&amp;U177,"YAS_BNCHMRK_BOND_PX="&amp;W177),"--")</f>
        <v/>
      </c>
      <c r="Y177" s="7">
        <f>IFERROR(BDP(E177&amp;" Corp","BLOOMBERG_MID_G_SPREAD","YAS_BOND_PX="&amp;U177,"YAS_BNCHMRK_BOND_PX="&amp;W177),"--")</f>
        <v/>
      </c>
      <c r="Z177" s="7">
        <f>IFERROR(BDP(D177,"LAST_PRICE"),"--")</f>
        <v/>
      </c>
      <c r="AA177" s="7">
        <f>IFERROR(Z177-Y177,"--")</f>
        <v/>
      </c>
      <c r="AB177" s="8">
        <f>IFERROR((AA177-R177)/(S177-R177)*100,"--")</f>
        <v/>
      </c>
    </row>
    <row r="178">
      <c r="A178" t="inlineStr">
        <is>
          <t>ENBCN</t>
        </is>
      </c>
      <c r="B178" t="inlineStr">
        <is>
          <t>IG</t>
        </is>
      </c>
      <c r="C178" t="inlineStr">
        <is>
          <t>ENBCN 4 1/2 02/15/31</t>
        </is>
      </c>
      <c r="D178" t="inlineStr">
        <is>
          <t>ENBRIDGE INC CDS USD SR 5Y D14 Corp</t>
        </is>
      </c>
      <c r="E178" t="inlineStr">
        <is>
          <t>US29250NCN30</t>
        </is>
      </c>
      <c r="F178" s="2" t="n">
        <v>45978</v>
      </c>
      <c r="G178" s="2" t="n">
        <v>46225</v>
      </c>
      <c r="H178" s="2" t="n">
        <v>48019</v>
      </c>
      <c r="I178" s="3" t="n">
        <v>53.9008</v>
      </c>
      <c r="J178" s="3" t="n">
        <v>53.9008</v>
      </c>
      <c r="K178" s="3" t="n">
        <v>66.483</v>
      </c>
      <c r="L178" s="3" t="n">
        <v>67.46899999999999</v>
      </c>
      <c r="M178" s="3" t="n">
        <v>-12.58220000000001</v>
      </c>
      <c r="N178" s="3" t="n">
        <v>-20.29110000000001</v>
      </c>
      <c r="O178" s="3" t="n">
        <v>-5.118499999999997</v>
      </c>
      <c r="P178" s="4" t="n">
        <v>50.80803553774565</v>
      </c>
      <c r="Q178" s="3" t="n">
        <v>-12.58220000000001</v>
      </c>
      <c r="R178" s="3" t="n">
        <v>-20.29110000000001</v>
      </c>
      <c r="S178" s="3" t="n">
        <v>-5.118499999999997</v>
      </c>
      <c r="T178" s="4" t="n">
        <v>50.80803553774565</v>
      </c>
      <c r="U178" s="5">
        <f>IFERROR(BDP(E178&amp;" Corp","LAST_PRICE"),"--")</f>
        <v/>
      </c>
      <c r="V178" s="6">
        <f>IFERROR(BDP(E178&amp;" Corp","YAS_BENCHMARK_BOND_ISIN"),"--")</f>
        <v/>
      </c>
      <c r="W178" s="5">
        <f>IFERROR(BDP(V178&amp;" CORP","LAST_PRICE"),"--")</f>
        <v/>
      </c>
      <c r="X178" s="7">
        <f>IFERROR(BDP(E178&amp;" Corp","YAS_YLD_SPREAD","YAS_BOND_PX="&amp;U178,"YAS_BNCHMRK_BOND_PX="&amp;W178),"--")</f>
        <v/>
      </c>
      <c r="Y178" s="7">
        <f>IFERROR(BDP(E178&amp;" Corp","BLOOMBERG_MID_G_SPREAD","YAS_BOND_PX="&amp;U178,"YAS_BNCHMRK_BOND_PX="&amp;W178),"--")</f>
        <v/>
      </c>
      <c r="Z178" s="7">
        <f>IFERROR(BDP(D178,"LAST_PRICE"),"--")</f>
        <v/>
      </c>
      <c r="AA178" s="7">
        <f>IFERROR(Z178-Y178,"--")</f>
        <v/>
      </c>
      <c r="AB178" s="8">
        <f>IFERROR((AA178-R178)/(S178-R178)*100,"--")</f>
        <v/>
      </c>
    </row>
    <row r="179">
      <c r="A179" t="inlineStr">
        <is>
          <t>ET</t>
        </is>
      </c>
      <c r="B179" t="inlineStr">
        <is>
          <t>IG</t>
        </is>
      </c>
      <c r="C179" t="inlineStr">
        <is>
          <t>ET 5.6 09/01/34</t>
        </is>
      </c>
      <c r="D179" t="inlineStr">
        <is>
          <t>CY325977 MSG1 Curncy</t>
        </is>
      </c>
      <c r="E179" t="inlineStr">
        <is>
          <t>US29273VBA70</t>
        </is>
      </c>
      <c r="F179" s="2" t="n">
        <v>45659</v>
      </c>
      <c r="G179" s="2" t="n">
        <v>46225</v>
      </c>
      <c r="H179" s="2" t="n">
        <v>49298</v>
      </c>
      <c r="I179" s="3" t="n">
        <v>90.4426</v>
      </c>
      <c r="J179" s="3" t="n">
        <v>54.2721</v>
      </c>
      <c r="K179" s="3" t="n">
        <v>91.02800000000001</v>
      </c>
      <c r="L179" s="3" t="n">
        <v>84.27200000000001</v>
      </c>
      <c r="M179" s="3" t="n">
        <v>-0.585400000000007</v>
      </c>
      <c r="N179" s="3" t="n">
        <v>-37.94389999999999</v>
      </c>
      <c r="O179" s="3" t="n">
        <v>4.613100000000003</v>
      </c>
      <c r="P179" s="4" t="n">
        <v>87.78461827666422</v>
      </c>
      <c r="Q179" s="3" t="n">
        <v>-36.7559</v>
      </c>
      <c r="R179" s="3" t="n">
        <v>-70.74289999999999</v>
      </c>
      <c r="S179" s="3" t="n">
        <v>-26.3972</v>
      </c>
      <c r="T179" s="4" t="n">
        <v>76.64102720218644</v>
      </c>
      <c r="U179" s="5">
        <f>IFERROR(BDP(E179&amp;" Corp","LAST_PRICE"),"--")</f>
        <v/>
      </c>
      <c r="V179" s="6">
        <f>IFERROR(BDP(E179&amp;" Corp","YAS_BENCHMARK_BOND_ISIN"),"--")</f>
        <v/>
      </c>
      <c r="W179" s="5">
        <f>IFERROR(BDP(V179&amp;" CORP","LAST_PRICE"),"--")</f>
        <v/>
      </c>
      <c r="X179" s="7">
        <f>IFERROR(BDP(E179&amp;" Corp","YAS_YLD_SPREAD","YAS_BOND_PX="&amp;U179,"YAS_BNCHMRK_BOND_PX="&amp;W179),"--")</f>
        <v/>
      </c>
      <c r="Y179" s="7">
        <f>IFERROR(BDP(E179&amp;" Corp","BLOOMBERG_MID_G_SPREAD","YAS_BOND_PX="&amp;U179,"YAS_BNCHMRK_BOND_PX="&amp;W179),"--")</f>
        <v/>
      </c>
      <c r="Z179" s="7">
        <f>IFERROR(BDP(D179,"LAST_PRICE"),"--")</f>
        <v/>
      </c>
      <c r="AA179" s="7">
        <f>IFERROR(Z179-Y179,"--")</f>
        <v/>
      </c>
      <c r="AB179" s="8">
        <f>IFERROR((AA179-R179)/(S179-R179)*100,"--")</f>
        <v/>
      </c>
    </row>
    <row r="180">
      <c r="A180" t="inlineStr">
        <is>
          <t>EXC</t>
        </is>
      </c>
      <c r="B180" t="inlineStr">
        <is>
          <t>IG</t>
        </is>
      </c>
      <c r="C180" t="inlineStr">
        <is>
          <t>EXC 5.3 03/15/33</t>
        </is>
      </c>
      <c r="D180" t="inlineStr">
        <is>
          <t>EXCC CDS USD SR 5Y D14 Corp</t>
        </is>
      </c>
      <c r="E180" t="inlineStr">
        <is>
          <t>US30161NBK63</t>
        </is>
      </c>
      <c r="F180" s="2" t="n">
        <v>45659</v>
      </c>
      <c r="G180" s="2" t="n">
        <v>46225</v>
      </c>
      <c r="H180" s="2" t="n">
        <v>48750</v>
      </c>
      <c r="I180" s="3" t="n">
        <v>41.1803</v>
      </c>
      <c r="J180" s="3" t="n">
        <v>29.625</v>
      </c>
      <c r="K180" s="3" t="n">
        <v>71.92400000000001</v>
      </c>
      <c r="L180" s="3" t="n">
        <v>58.381</v>
      </c>
      <c r="M180" s="3" t="n">
        <v>-30.7437</v>
      </c>
      <c r="N180" s="3" t="n">
        <v>-55.22919999999999</v>
      </c>
      <c r="O180" s="3" t="n">
        <v>-16.8262</v>
      </c>
      <c r="P180" s="4" t="n">
        <v>63.75934171809492</v>
      </c>
      <c r="Q180" s="3" t="n">
        <v>-42.29900000000001</v>
      </c>
      <c r="R180" s="3" t="n">
        <v>-65.53229999999999</v>
      </c>
      <c r="S180" s="3" t="n">
        <v>-27.56330000000001</v>
      </c>
      <c r="T180" s="4" t="n">
        <v>61.19018146382573</v>
      </c>
      <c r="U180" s="5">
        <f>IFERROR(BDP(E180&amp;" Corp","LAST_PRICE"),"--")</f>
        <v/>
      </c>
      <c r="V180" s="6">
        <f>IFERROR(BDP(E180&amp;" Corp","YAS_BENCHMARK_BOND_ISIN"),"--")</f>
        <v/>
      </c>
      <c r="W180" s="5">
        <f>IFERROR(BDP(V180&amp;" CORP","LAST_PRICE"),"--")</f>
        <v/>
      </c>
      <c r="X180" s="7">
        <f>IFERROR(BDP(E180&amp;" Corp","YAS_YLD_SPREAD","YAS_BOND_PX="&amp;U180,"YAS_BNCHMRK_BOND_PX="&amp;W180),"--")</f>
        <v/>
      </c>
      <c r="Y180" s="7">
        <f>IFERROR(BDP(E180&amp;" Corp","BLOOMBERG_MID_G_SPREAD","YAS_BOND_PX="&amp;U180,"YAS_BNCHMRK_BOND_PX="&amp;W180),"--")</f>
        <v/>
      </c>
      <c r="Z180" s="7">
        <f>IFERROR(BDP(D180,"LAST_PRICE"),"--")</f>
        <v/>
      </c>
      <c r="AA180" s="7">
        <f>IFERROR(Z180-Y180,"--")</f>
        <v/>
      </c>
      <c r="AB180" s="8">
        <f>IFERROR((AA180-R180)/(S180-R180)*100,"--")</f>
        <v/>
      </c>
    </row>
    <row r="181">
      <c r="A181" t="inlineStr">
        <is>
          <t>EXPE</t>
        </is>
      </c>
      <c r="B181" t="inlineStr">
        <is>
          <t>IG</t>
        </is>
      </c>
      <c r="C181" t="inlineStr">
        <is>
          <t>EXPE 2.95 03/15/31</t>
        </is>
      </c>
      <c r="D181" t="inlineStr">
        <is>
          <t>EXPE CDS USD SR 5Y D14 Corp</t>
        </is>
      </c>
      <c r="E181" t="inlineStr">
        <is>
          <t>US30212PBH73</t>
        </is>
      </c>
      <c r="F181" s="2" t="n">
        <v>45659</v>
      </c>
      <c r="G181" s="2" t="n">
        <v>46225</v>
      </c>
      <c r="H181" s="2" t="n">
        <v>48019</v>
      </c>
      <c r="I181" s="3" t="n">
        <v>78.5861</v>
      </c>
      <c r="J181" s="3" t="n">
        <v>78.5861</v>
      </c>
      <c r="K181" s="3" t="n">
        <v>73.84</v>
      </c>
      <c r="L181" s="3" t="n">
        <v>74.801</v>
      </c>
      <c r="M181" s="3" t="n">
        <v>4.746099999999998</v>
      </c>
      <c r="N181" s="3" t="n">
        <v>-35.788</v>
      </c>
      <c r="O181" s="3" t="n">
        <v>20.34650000000001</v>
      </c>
      <c r="P181" s="4" t="n">
        <v>72.20889114537404</v>
      </c>
      <c r="Q181" s="3" t="n">
        <v>4.746099999999998</v>
      </c>
      <c r="R181" s="3" t="n">
        <v>-35.788</v>
      </c>
      <c r="S181" s="3" t="n">
        <v>20.34650000000001</v>
      </c>
      <c r="T181" s="4" t="n">
        <v>72.20889114537404</v>
      </c>
      <c r="U181" s="5">
        <f>IFERROR(BDP(E181&amp;" Corp","LAST_PRICE"),"--")</f>
        <v/>
      </c>
      <c r="V181" s="6">
        <f>IFERROR(BDP(E181&amp;" Corp","YAS_BENCHMARK_BOND_ISIN"),"--")</f>
        <v/>
      </c>
      <c r="W181" s="5">
        <f>IFERROR(BDP(V181&amp;" CORP","LAST_PRICE"),"--")</f>
        <v/>
      </c>
      <c r="X181" s="7">
        <f>IFERROR(BDP(E181&amp;" Corp","YAS_YLD_SPREAD","YAS_BOND_PX="&amp;U181,"YAS_BNCHMRK_BOND_PX="&amp;W181),"--")</f>
        <v/>
      </c>
      <c r="Y181" s="7">
        <f>IFERROR(BDP(E181&amp;" Corp","BLOOMBERG_MID_G_SPREAD","YAS_BOND_PX="&amp;U181,"YAS_BNCHMRK_BOND_PX="&amp;W181),"--")</f>
        <v/>
      </c>
      <c r="Z181" s="7">
        <f>IFERROR(BDP(D181,"LAST_PRICE"),"--")</f>
        <v/>
      </c>
      <c r="AA181" s="7">
        <f>IFERROR(Z181-Y181,"--")</f>
        <v/>
      </c>
      <c r="AB181" s="8">
        <f>IFERROR((AA181-R181)/(S181-R181)*100,"--")</f>
        <v/>
      </c>
    </row>
    <row r="182">
      <c r="A182" t="inlineStr">
        <is>
          <t>FCO</t>
        </is>
      </c>
      <c r="B182" t="inlineStr">
        <is>
          <t>IG</t>
        </is>
      </c>
      <c r="C182" t="inlineStr">
        <is>
          <t>F 7.45 07/16/31</t>
        </is>
      </c>
      <c r="D182" t="inlineStr">
        <is>
          <t>FCO CDS USD SR 5Y D14 Corp</t>
        </is>
      </c>
      <c r="E182" t="inlineStr">
        <is>
          <t>US345370CA64</t>
        </is>
      </c>
      <c r="F182" s="2" t="n">
        <v>45659</v>
      </c>
      <c r="G182" s="2" t="n">
        <v>46225</v>
      </c>
      <c r="H182" s="2" t="n">
        <v>48202</v>
      </c>
      <c r="I182" s="3" t="n">
        <v>152.0018</v>
      </c>
      <c r="J182" s="3" t="n">
        <v>138.4571</v>
      </c>
      <c r="K182" s="3" t="n">
        <v>127.357</v>
      </c>
      <c r="L182" s="3" t="n">
        <v>130.007</v>
      </c>
      <c r="M182" s="3" t="n">
        <v>24.6448</v>
      </c>
      <c r="N182" s="3" t="n">
        <v>8.084599999999995</v>
      </c>
      <c r="O182" s="3" t="n">
        <v>54.6721</v>
      </c>
      <c r="P182" s="4" t="n">
        <v>35.54644486181917</v>
      </c>
      <c r="Q182" s="3" t="n">
        <v>11.1001</v>
      </c>
      <c r="R182" s="3" t="n">
        <v>-0.8976999999999862</v>
      </c>
      <c r="S182" s="3" t="n">
        <v>43.69310000000002</v>
      </c>
      <c r="T182" s="4" t="n">
        <v>26.90644706979912</v>
      </c>
      <c r="U182" s="5">
        <f>IFERROR(BDP(E182&amp;" Corp","LAST_PRICE"),"--")</f>
        <v/>
      </c>
      <c r="V182" s="6">
        <f>IFERROR(BDP(E182&amp;" Corp","YAS_BENCHMARK_BOND_ISIN"),"--")</f>
        <v/>
      </c>
      <c r="W182" s="5">
        <f>IFERROR(BDP(V182&amp;" CORP","LAST_PRICE"),"--")</f>
        <v/>
      </c>
      <c r="X182" s="7">
        <f>IFERROR(BDP(E182&amp;" Corp","YAS_YLD_SPREAD","YAS_BOND_PX="&amp;U182,"YAS_BNCHMRK_BOND_PX="&amp;W182),"--")</f>
        <v/>
      </c>
      <c r="Y182" s="7">
        <f>IFERROR(BDP(E182&amp;" Corp","BLOOMBERG_MID_G_SPREAD","YAS_BOND_PX="&amp;U182,"YAS_BNCHMRK_BOND_PX="&amp;W182),"--")</f>
        <v/>
      </c>
      <c r="Z182" s="7">
        <f>IFERROR(BDP(D182,"LAST_PRICE"),"--")</f>
        <v/>
      </c>
      <c r="AA182" s="7">
        <f>IFERROR(Z182-Y182,"--")</f>
        <v/>
      </c>
      <c r="AB182" s="8">
        <f>IFERROR((AA182-R182)/(S182-R182)*100,"--")</f>
        <v/>
      </c>
    </row>
    <row r="183">
      <c r="A183" t="inlineStr">
        <is>
          <t>FCX</t>
        </is>
      </c>
      <c r="B183" t="inlineStr">
        <is>
          <t>IG</t>
        </is>
      </c>
      <c r="C183" t="inlineStr">
        <is>
          <t>FCX 5.4 11/14/34</t>
        </is>
      </c>
      <c r="D183" t="inlineStr">
        <is>
          <t>CX355476 MSG1 Curncy</t>
        </is>
      </c>
      <c r="E183" t="inlineStr">
        <is>
          <t>US35671DBJ37</t>
        </is>
      </c>
      <c r="F183" s="2" t="n">
        <v>45659</v>
      </c>
      <c r="G183" s="2" t="n">
        <v>46225</v>
      </c>
      <c r="H183" s="2" t="n">
        <v>49298</v>
      </c>
      <c r="I183" s="3" t="n">
        <v>108.3024</v>
      </c>
      <c r="J183" s="3" t="n">
        <v>67.7189</v>
      </c>
      <c r="K183" s="3" t="n">
        <v>77.306</v>
      </c>
      <c r="L183" s="3" t="n">
        <v>69.486</v>
      </c>
      <c r="M183" s="3" t="n">
        <v>30.99640000000001</v>
      </c>
      <c r="N183" s="3" t="n">
        <v>-2.07080000000002</v>
      </c>
      <c r="O183" s="3" t="n">
        <v>39.5519</v>
      </c>
      <c r="P183" s="4" t="n">
        <v>79.44511048057913</v>
      </c>
      <c r="Q183" s="3" t="n">
        <v>-9.587099999999992</v>
      </c>
      <c r="R183" s="3" t="n">
        <v>-30.63450000000002</v>
      </c>
      <c r="S183" s="3" t="n">
        <v>10.6272</v>
      </c>
      <c r="T183" s="4" t="n">
        <v>51.00953184187761</v>
      </c>
      <c r="U183" s="5">
        <f>IFERROR(BDP(E183&amp;" Corp","LAST_PRICE"),"--")</f>
        <v/>
      </c>
      <c r="V183" s="6">
        <f>IFERROR(BDP(E183&amp;" Corp","YAS_BENCHMARK_BOND_ISIN"),"--")</f>
        <v/>
      </c>
      <c r="W183" s="5">
        <f>IFERROR(BDP(V183&amp;" CORP","LAST_PRICE"),"--")</f>
        <v/>
      </c>
      <c r="X183" s="7">
        <f>IFERROR(BDP(E183&amp;" Corp","YAS_YLD_SPREAD","YAS_BOND_PX="&amp;U183,"YAS_BNCHMRK_BOND_PX="&amp;W183),"--")</f>
        <v/>
      </c>
      <c r="Y183" s="7">
        <f>IFERROR(BDP(E183&amp;" Corp","BLOOMBERG_MID_G_SPREAD","YAS_BOND_PX="&amp;U183,"YAS_BNCHMRK_BOND_PX="&amp;W183),"--")</f>
        <v/>
      </c>
      <c r="Z183" s="7">
        <f>IFERROR(BDP(D183,"LAST_PRICE"),"--")</f>
        <v/>
      </c>
      <c r="AA183" s="7">
        <f>IFERROR(Z183-Y183,"--")</f>
        <v/>
      </c>
      <c r="AB183" s="8">
        <f>IFERROR((AA183-R183)/(S183-R183)*100,"--")</f>
        <v/>
      </c>
    </row>
    <row r="184">
      <c r="A184" t="inlineStr">
        <is>
          <t>FDX</t>
        </is>
      </c>
      <c r="B184" t="inlineStr">
        <is>
          <t>IG</t>
        </is>
      </c>
      <c r="C184" t="inlineStr">
        <is>
          <t>FDX 3 1/2 07/30/32</t>
        </is>
      </c>
      <c r="D184" t="inlineStr">
        <is>
          <t>FDX CDS USD SR 5Y D14 Corp</t>
        </is>
      </c>
      <c r="E184" t="inlineStr">
        <is>
          <t>XS3136900670</t>
        </is>
      </c>
      <c r="F184" s="2" t="n">
        <v>45863</v>
      </c>
      <c r="G184" s="2" t="n">
        <v>46225</v>
      </c>
      <c r="H184" s="2" t="n">
        <v>48568</v>
      </c>
      <c r="I184" s="3" t="n">
        <v>58.5915</v>
      </c>
      <c r="J184" s="3" t="n">
        <v>42.7276</v>
      </c>
      <c r="K184" s="3" t="n">
        <v>92.002</v>
      </c>
      <c r="L184" s="3" t="n">
        <v>94.79600000000001</v>
      </c>
      <c r="M184" s="3" t="n">
        <v>-33.41049999999999</v>
      </c>
      <c r="N184" s="3" t="n">
        <v>-44.5089</v>
      </c>
      <c r="O184" s="3" t="n">
        <v>-6.597400000000007</v>
      </c>
      <c r="P184" s="4" t="n">
        <v>29.27449454650965</v>
      </c>
      <c r="Q184" s="3" t="n">
        <v>-49.27439999999999</v>
      </c>
      <c r="R184" s="3" t="n">
        <v>-56.8914</v>
      </c>
      <c r="S184" s="3" t="n">
        <v>-18.91840000000001</v>
      </c>
      <c r="T184" s="4" t="n">
        <v>20.05898928185818</v>
      </c>
      <c r="U184" s="5">
        <f>IFERROR(BDP(E184&amp;" Corp","LAST_PRICE"),"--")</f>
        <v/>
      </c>
      <c r="V184" s="6">
        <f>IFERROR(BDP(E184&amp;" Corp","YAS_BENCHMARK_BOND_ISIN"),"--")</f>
        <v/>
      </c>
      <c r="W184" s="5">
        <f>IFERROR(BDP(V184&amp;" CORP","LAST_PRICE"),"--")</f>
        <v/>
      </c>
      <c r="X184" s="7">
        <f>IFERROR(BDP(E184&amp;" Corp","YAS_YLD_SPREAD","YAS_BOND_PX="&amp;U184,"YAS_BNCHMRK_BOND_PX="&amp;W184),"--")</f>
        <v/>
      </c>
      <c r="Y184" s="7">
        <f>IFERROR(BDP(E184&amp;" Corp","BLOOMBERG_MID_G_SPREAD","YAS_BOND_PX="&amp;U184,"YAS_BNCHMRK_BOND_PX="&amp;W184),"--")</f>
        <v/>
      </c>
      <c r="Z184" s="7">
        <f>IFERROR(BDP(D184,"LAST_PRICE"),"--")</f>
        <v/>
      </c>
      <c r="AA184" s="7">
        <f>IFERROR(Z184-Y184,"--")</f>
        <v/>
      </c>
      <c r="AB184" s="8">
        <f>IFERROR((AA184-R184)/(S184-R184)*100,"--")</f>
        <v/>
      </c>
    </row>
    <row r="185">
      <c r="A185" t="inlineStr">
        <is>
          <t>FE</t>
        </is>
      </c>
      <c r="B185" t="inlineStr">
        <is>
          <t>IG</t>
        </is>
      </c>
      <c r="C185" t="inlineStr">
        <is>
          <t>FE 4 3/4 01/15/33</t>
        </is>
      </c>
      <c r="D185" t="inlineStr">
        <is>
          <t>FENG CDS USD SR 5Y D14 Corp</t>
        </is>
      </c>
      <c r="E185" t="inlineStr">
        <is>
          <t>US33767BAK52</t>
        </is>
      </c>
      <c r="F185" s="2" t="n">
        <v>46048</v>
      </c>
      <c r="G185" s="2" t="n">
        <v>46225</v>
      </c>
      <c r="H185" s="2" t="n">
        <v>48750</v>
      </c>
      <c r="I185" s="3" t="n">
        <v>54.0458</v>
      </c>
      <c r="J185" s="3" t="n">
        <v>38.5887</v>
      </c>
      <c r="K185" s="3" t="n">
        <v>79.11199999999999</v>
      </c>
      <c r="L185" s="3" t="n">
        <v>75.37</v>
      </c>
      <c r="M185" s="3" t="n">
        <v>-25.06619999999999</v>
      </c>
      <c r="N185" s="3" t="n">
        <v>-32.32880000000001</v>
      </c>
      <c r="O185" s="3" t="n">
        <v>-18.1138</v>
      </c>
      <c r="P185" s="4" t="n">
        <v>51.09110094970107</v>
      </c>
      <c r="Q185" s="3" t="n">
        <v>-40.52329999999999</v>
      </c>
      <c r="R185" s="3" t="n">
        <v>-45.28079999999999</v>
      </c>
      <c r="S185" s="3" t="n">
        <v>-30.58179999999999</v>
      </c>
      <c r="T185" s="4" t="n">
        <v>32.36614735696307</v>
      </c>
      <c r="U185" s="5">
        <f>IFERROR(BDP(E185&amp;" Corp","LAST_PRICE"),"--")</f>
        <v/>
      </c>
      <c r="V185" s="6">
        <f>IFERROR(BDP(E185&amp;" Corp","YAS_BENCHMARK_BOND_ISIN"),"--")</f>
        <v/>
      </c>
      <c r="W185" s="5">
        <f>IFERROR(BDP(V185&amp;" CORP","LAST_PRICE"),"--")</f>
        <v/>
      </c>
      <c r="X185" s="7">
        <f>IFERROR(BDP(E185&amp;" Corp","YAS_YLD_SPREAD","YAS_BOND_PX="&amp;U185,"YAS_BNCHMRK_BOND_PX="&amp;W185),"--")</f>
        <v/>
      </c>
      <c r="Y185" s="7">
        <f>IFERROR(BDP(E185&amp;" Corp","BLOOMBERG_MID_G_SPREAD","YAS_BOND_PX="&amp;U185,"YAS_BNCHMRK_BOND_PX="&amp;W185),"--")</f>
        <v/>
      </c>
      <c r="Z185" s="7">
        <f>IFERROR(BDP(D185,"LAST_PRICE"),"--")</f>
        <v/>
      </c>
      <c r="AA185" s="7">
        <f>IFERROR(Z185-Y185,"--")</f>
        <v/>
      </c>
      <c r="AB185" s="8">
        <f>IFERROR((AA185-R185)/(S185-R185)*100,"--")</f>
        <v/>
      </c>
    </row>
    <row r="186">
      <c r="A186" t="inlineStr">
        <is>
          <t>GE</t>
        </is>
      </c>
      <c r="B186" t="inlineStr">
        <is>
          <t>IG</t>
        </is>
      </c>
      <c r="C186" t="inlineStr">
        <is>
          <t>GE 6 3/4 03/15/32</t>
        </is>
      </c>
      <c r="D186" t="inlineStr">
        <is>
          <t>GECO CDS USD SR 5Y D14 Corp</t>
        </is>
      </c>
      <c r="E186" t="inlineStr">
        <is>
          <t>US36962GXZ26</t>
        </is>
      </c>
      <c r="F186" s="2" t="n">
        <v>45659</v>
      </c>
      <c r="G186" s="2" t="n">
        <v>46225</v>
      </c>
      <c r="H186" s="2" t="n">
        <v>48385</v>
      </c>
      <c r="I186" s="3" t="n">
        <v>27.8693</v>
      </c>
      <c r="J186" s="3" t="n">
        <v>20.0217</v>
      </c>
      <c r="K186" s="3" t="n">
        <v>41.565</v>
      </c>
      <c r="L186" s="3" t="n">
        <v>46.719</v>
      </c>
      <c r="M186" s="3" t="n">
        <v>-13.6957</v>
      </c>
      <c r="N186" s="3" t="n">
        <v>-39.4619</v>
      </c>
      <c r="O186" s="3" t="n">
        <v>11.5864</v>
      </c>
      <c r="P186" s="4" t="n">
        <v>50.4741587868744</v>
      </c>
      <c r="Q186" s="3" t="n">
        <v>-21.5433</v>
      </c>
      <c r="R186" s="3" t="n">
        <v>-45.7968</v>
      </c>
      <c r="S186" s="3" t="n">
        <v>4.511400000000002</v>
      </c>
      <c r="T186" s="4" t="n">
        <v>48.20983457965103</v>
      </c>
      <c r="U186" s="5">
        <f>IFERROR(BDP(E186&amp;" Corp","LAST_PRICE"),"--")</f>
        <v/>
      </c>
      <c r="V186" s="6">
        <f>IFERROR(BDP(E186&amp;" Corp","YAS_BENCHMARK_BOND_ISIN"),"--")</f>
        <v/>
      </c>
      <c r="W186" s="5">
        <f>IFERROR(BDP(V186&amp;" CORP","LAST_PRICE"),"--")</f>
        <v/>
      </c>
      <c r="X186" s="7">
        <f>IFERROR(BDP(E186&amp;" Corp","YAS_YLD_SPREAD","YAS_BOND_PX="&amp;U186,"YAS_BNCHMRK_BOND_PX="&amp;W186),"--")</f>
        <v/>
      </c>
      <c r="Y186" s="7">
        <f>IFERROR(BDP(E186&amp;" Corp","BLOOMBERG_MID_G_SPREAD","YAS_BOND_PX="&amp;U186,"YAS_BNCHMRK_BOND_PX="&amp;W186),"--")</f>
        <v/>
      </c>
      <c r="Z186" s="7">
        <f>IFERROR(BDP(D186,"LAST_PRICE"),"--")</f>
        <v/>
      </c>
      <c r="AA186" s="7">
        <f>IFERROR(Z186-Y186,"--")</f>
        <v/>
      </c>
      <c r="AB186" s="8">
        <f>IFERROR((AA186-R186)/(S186-R186)*100,"--")</f>
        <v/>
      </c>
    </row>
    <row r="187">
      <c r="A187" t="inlineStr">
        <is>
          <t>GIS</t>
        </is>
      </c>
      <c r="B187" t="inlineStr">
        <is>
          <t>IG</t>
        </is>
      </c>
      <c r="C187" t="inlineStr">
        <is>
          <t>GIS 2 1/4 10/14/31</t>
        </is>
      </c>
      <c r="D187" t="inlineStr">
        <is>
          <t>GIS CDS USD SR 5Y D14 Corp</t>
        </is>
      </c>
      <c r="E187" t="inlineStr">
        <is>
          <t>US370334CQ51</t>
        </is>
      </c>
      <c r="F187" s="2" t="n">
        <v>45659</v>
      </c>
      <c r="G187" s="2" t="n">
        <v>46225</v>
      </c>
      <c r="H187" s="2" t="n">
        <v>48202</v>
      </c>
      <c r="I187" s="3" t="n">
        <v>56.8484</v>
      </c>
      <c r="J187" s="3" t="n">
        <v>52.0621</v>
      </c>
      <c r="K187" s="3" t="n">
        <v>61.332</v>
      </c>
      <c r="L187" s="3" t="n">
        <v>63.393</v>
      </c>
      <c r="M187" s="3" t="n">
        <v>-4.483600000000003</v>
      </c>
      <c r="N187" s="3" t="n">
        <v>-41.20870000000001</v>
      </c>
      <c r="O187" s="3" t="n">
        <v>6.7958</v>
      </c>
      <c r="P187" s="4" t="n">
        <v>76.50345280129987</v>
      </c>
      <c r="Q187" s="3" t="n">
        <v>-9.2699</v>
      </c>
      <c r="R187" s="3" t="n">
        <v>-44.32920000000001</v>
      </c>
      <c r="S187" s="3" t="n">
        <v>1.832999999999998</v>
      </c>
      <c r="T187" s="4" t="n">
        <v>75.94807006598472</v>
      </c>
      <c r="U187" s="5">
        <f>IFERROR(BDP(E187&amp;" Corp","LAST_PRICE"),"--")</f>
        <v/>
      </c>
      <c r="V187" s="6">
        <f>IFERROR(BDP(E187&amp;" Corp","YAS_BENCHMARK_BOND_ISIN"),"--")</f>
        <v/>
      </c>
      <c r="W187" s="5">
        <f>IFERROR(BDP(V187&amp;" CORP","LAST_PRICE"),"--")</f>
        <v/>
      </c>
      <c r="X187" s="7">
        <f>IFERROR(BDP(E187&amp;" Corp","YAS_YLD_SPREAD","YAS_BOND_PX="&amp;U187,"YAS_BNCHMRK_BOND_PX="&amp;W187),"--")</f>
        <v/>
      </c>
      <c r="Y187" s="7">
        <f>IFERROR(BDP(E187&amp;" Corp","BLOOMBERG_MID_G_SPREAD","YAS_BOND_PX="&amp;U187,"YAS_BNCHMRK_BOND_PX="&amp;W187),"--")</f>
        <v/>
      </c>
      <c r="Z187" s="7">
        <f>IFERROR(BDP(D187,"LAST_PRICE"),"--")</f>
        <v/>
      </c>
      <c r="AA187" s="7">
        <f>IFERROR(Z187-Y187,"--")</f>
        <v/>
      </c>
      <c r="AB187" s="8">
        <f>IFERROR((AA187-R187)/(S187-R187)*100,"--")</f>
        <v/>
      </c>
    </row>
    <row r="188">
      <c r="A188" t="inlineStr">
        <is>
          <t>GM</t>
        </is>
      </c>
      <c r="B188" t="inlineStr">
        <is>
          <t>IG</t>
        </is>
      </c>
      <c r="C188" t="inlineStr">
        <is>
          <t>GM 5.6 10/15/32</t>
        </is>
      </c>
      <c r="D188" t="inlineStr">
        <is>
          <t>GM CDS USD SR 5Y D14 Corp</t>
        </is>
      </c>
      <c r="E188" t="inlineStr">
        <is>
          <t>US37045VAZ31</t>
        </is>
      </c>
      <c r="F188" s="2" t="n">
        <v>45659</v>
      </c>
      <c r="G188" s="2" t="n">
        <v>46225</v>
      </c>
      <c r="H188" s="2" t="n">
        <v>48568</v>
      </c>
      <c r="I188" s="3" t="n">
        <v>122.7803</v>
      </c>
      <c r="J188" s="3" t="n">
        <v>91.78319999999999</v>
      </c>
      <c r="K188" s="3" t="n">
        <v>83.696</v>
      </c>
      <c r="L188" s="3" t="n">
        <v>89.765</v>
      </c>
      <c r="M188" s="3" t="n">
        <v>39.0843</v>
      </c>
      <c r="N188" s="3" t="n">
        <v>12.51340000000002</v>
      </c>
      <c r="O188" s="3" t="n">
        <v>56.1906</v>
      </c>
      <c r="P188" s="4" t="n">
        <v>60.8347146795124</v>
      </c>
      <c r="Q188" s="3" t="n">
        <v>8.087199999999996</v>
      </c>
      <c r="R188" s="3" t="n">
        <v>-5.591199999999986</v>
      </c>
      <c r="S188" s="3" t="n">
        <v>38.73349999999999</v>
      </c>
      <c r="T188" s="4" t="n">
        <v>30.85954332460228</v>
      </c>
      <c r="U188" s="5">
        <f>IFERROR(BDP(E188&amp;" Corp","LAST_PRICE"),"--")</f>
        <v/>
      </c>
      <c r="V188" s="6">
        <f>IFERROR(BDP(E188&amp;" Corp","YAS_BENCHMARK_BOND_ISIN"),"--")</f>
        <v/>
      </c>
      <c r="W188" s="5">
        <f>IFERROR(BDP(V188&amp;" CORP","LAST_PRICE"),"--")</f>
        <v/>
      </c>
      <c r="X188" s="7">
        <f>IFERROR(BDP(E188&amp;" Corp","YAS_YLD_SPREAD","YAS_BOND_PX="&amp;U188,"YAS_BNCHMRK_BOND_PX="&amp;W188),"--")</f>
        <v/>
      </c>
      <c r="Y188" s="7">
        <f>IFERROR(BDP(E188&amp;" Corp","BLOOMBERG_MID_G_SPREAD","YAS_BOND_PX="&amp;U188,"YAS_BNCHMRK_BOND_PX="&amp;W188),"--")</f>
        <v/>
      </c>
      <c r="Z188" s="7">
        <f>IFERROR(BDP(D188,"LAST_PRICE"),"--")</f>
        <v/>
      </c>
      <c r="AA188" s="7">
        <f>IFERROR(Z188-Y188,"--")</f>
        <v/>
      </c>
      <c r="AB188" s="8">
        <f>IFERROR((AA188-R188)/(S188-R188)*100,"--")</f>
        <v/>
      </c>
    </row>
    <row r="189">
      <c r="A189" t="inlineStr">
        <is>
          <t>GOOG</t>
        </is>
      </c>
      <c r="B189" t="inlineStr">
        <is>
          <t>IG</t>
        </is>
      </c>
      <c r="C189" t="inlineStr">
        <is>
          <t>GOOGL 3 05/06/33</t>
        </is>
      </c>
      <c r="D189" t="inlineStr">
        <is>
          <t>GOOGL CDS USD SR 5Y D14 Corp</t>
        </is>
      </c>
      <c r="E189" t="inlineStr">
        <is>
          <t>XS3064423174</t>
        </is>
      </c>
      <c r="F189" s="2" t="n">
        <v>46099</v>
      </c>
      <c r="G189" s="2" t="n">
        <v>46225</v>
      </c>
      <c r="H189" s="2" t="n">
        <v>48750</v>
      </c>
      <c r="I189" s="3" t="n">
        <v>70.565</v>
      </c>
      <c r="J189" s="3" t="n">
        <v>57.9834</v>
      </c>
      <c r="K189" s="3" t="n">
        <v>71.51900000000001</v>
      </c>
      <c r="L189" s="3" t="n">
        <v>79.795</v>
      </c>
      <c r="M189" s="3" t="n">
        <v>-0.9540000000000077</v>
      </c>
      <c r="N189" s="3" t="n">
        <v>-14.0564</v>
      </c>
      <c r="O189" s="3" t="n">
        <v>12.6152</v>
      </c>
      <c r="P189" s="4" t="n">
        <v>49.12491189130007</v>
      </c>
      <c r="Q189" s="3" t="n">
        <v>-13.5356</v>
      </c>
      <c r="R189" s="3" t="n">
        <v>-23.4481</v>
      </c>
      <c r="S189" s="3" t="n">
        <v>-2.034700000000001</v>
      </c>
      <c r="T189" s="4" t="n">
        <v>46.29110743739899</v>
      </c>
      <c r="U189" s="5">
        <f>IFERROR(BDP(E189&amp;" Corp","LAST_PRICE"),"--")</f>
        <v/>
      </c>
      <c r="V189" s="6">
        <f>IFERROR(BDP(E189&amp;" Corp","YAS_BENCHMARK_BOND_ISIN"),"--")</f>
        <v/>
      </c>
      <c r="W189" s="5">
        <f>IFERROR(BDP(V189&amp;" CORP","LAST_PRICE"),"--")</f>
        <v/>
      </c>
      <c r="X189" s="7">
        <f>IFERROR(BDP(E189&amp;" Corp","YAS_YLD_SPREAD","YAS_BOND_PX="&amp;U189,"YAS_BNCHMRK_BOND_PX="&amp;W189),"--")</f>
        <v/>
      </c>
      <c r="Y189" s="7">
        <f>IFERROR(BDP(E189&amp;" Corp","BLOOMBERG_MID_G_SPREAD","YAS_BOND_PX="&amp;U189,"YAS_BNCHMRK_BOND_PX="&amp;W189),"--")</f>
        <v/>
      </c>
      <c r="Z189" s="7">
        <f>IFERROR(BDP(D189,"LAST_PRICE"),"--")</f>
        <v/>
      </c>
      <c r="AA189" s="7">
        <f>IFERROR(Z189-Y189,"--")</f>
        <v/>
      </c>
      <c r="AB189" s="8">
        <f>IFERROR((AA189-R189)/(S189-R189)*100,"--")</f>
        <v/>
      </c>
    </row>
    <row r="190">
      <c r="A190" t="inlineStr">
        <is>
          <t>HAL</t>
        </is>
      </c>
      <c r="B190" t="inlineStr">
        <is>
          <t>IG</t>
        </is>
      </c>
      <c r="C190" t="inlineStr">
        <is>
          <t>HAL 4.85 11/15/35</t>
        </is>
      </c>
      <c r="D190" t="inlineStr">
        <is>
          <t>HAL CDS USD SR 5Y D14 Corp</t>
        </is>
      </c>
      <c r="E190" t="inlineStr">
        <is>
          <t>US406216BJ98</t>
        </is>
      </c>
      <c r="F190" s="2" t="n">
        <v>45922</v>
      </c>
      <c r="G190" s="2" t="n">
        <v>46225</v>
      </c>
      <c r="H190" s="2" t="n">
        <v>49663</v>
      </c>
      <c r="I190" s="3" t="n">
        <v>81.1421</v>
      </c>
      <c r="J190" s="3" t="n">
        <v>48.3234</v>
      </c>
      <c r="K190" s="3" t="n">
        <v>84.10299999999999</v>
      </c>
      <c r="L190" s="3" t="n">
        <v>82.88800000000001</v>
      </c>
      <c r="M190" s="3" t="n">
        <v>-2.960899999999995</v>
      </c>
      <c r="N190" s="3" t="n">
        <v>-13.2835</v>
      </c>
      <c r="O190" s="3" t="n">
        <v>23.1176</v>
      </c>
      <c r="P190" s="4" t="n">
        <v>28.35793423825107</v>
      </c>
      <c r="Q190" s="3" t="n">
        <v>-35.77959999999999</v>
      </c>
      <c r="R190" s="3" t="n">
        <v>-42.8017</v>
      </c>
      <c r="S190" s="3" t="n">
        <v>-7.83120000000001</v>
      </c>
      <c r="T190" s="4" t="n">
        <v>20.08006748545203</v>
      </c>
      <c r="U190" s="5">
        <f>IFERROR(BDP(E190&amp;" Corp","LAST_PRICE"),"--")</f>
        <v/>
      </c>
      <c r="V190" s="6">
        <f>IFERROR(BDP(E190&amp;" Corp","YAS_BENCHMARK_BOND_ISIN"),"--")</f>
        <v/>
      </c>
      <c r="W190" s="5">
        <f>IFERROR(BDP(V190&amp;" CORP","LAST_PRICE"),"--")</f>
        <v/>
      </c>
      <c r="X190" s="7">
        <f>IFERROR(BDP(E190&amp;" Corp","YAS_YLD_SPREAD","YAS_BOND_PX="&amp;U190,"YAS_BNCHMRK_BOND_PX="&amp;W190),"--")</f>
        <v/>
      </c>
      <c r="Y190" s="7">
        <f>IFERROR(BDP(E190&amp;" Corp","BLOOMBERG_MID_G_SPREAD","YAS_BOND_PX="&amp;U190,"YAS_BNCHMRK_BOND_PX="&amp;W190),"--")</f>
        <v/>
      </c>
      <c r="Z190" s="7">
        <f>IFERROR(BDP(D190,"LAST_PRICE"),"--")</f>
        <v/>
      </c>
      <c r="AA190" s="7">
        <f>IFERROR(Z190-Y190,"--")</f>
        <v/>
      </c>
      <c r="AB190" s="8">
        <f>IFERROR((AA190-R190)/(S190-R190)*100,"--")</f>
        <v/>
      </c>
    </row>
    <row r="191">
      <c r="A191" t="inlineStr">
        <is>
          <t>HCA</t>
        </is>
      </c>
      <c r="B191" t="inlineStr">
        <is>
          <t>IG</t>
        </is>
      </c>
      <c r="C191" t="inlineStr">
        <is>
          <t>HCA 4.6 11/15/32</t>
        </is>
      </c>
      <c r="D191" t="inlineStr">
        <is>
          <t>HCA CDS USD SR 5Y D14 Corp</t>
        </is>
      </c>
      <c r="E191" t="inlineStr">
        <is>
          <t>US404119DE60</t>
        </is>
      </c>
      <c r="F191" s="2" t="n">
        <v>45957</v>
      </c>
      <c r="G191" s="2" t="n">
        <v>46225</v>
      </c>
      <c r="H191" s="2" t="n">
        <v>48568</v>
      </c>
      <c r="I191" s="3" t="n">
        <v>71.96259999999999</v>
      </c>
      <c r="J191" s="3" t="n">
        <v>55.3068</v>
      </c>
      <c r="K191" s="3" t="n">
        <v>82.943</v>
      </c>
      <c r="L191" s="3" t="n">
        <v>92.075</v>
      </c>
      <c r="M191" s="3" t="n">
        <v>-10.9804</v>
      </c>
      <c r="N191" s="3" t="n">
        <v>-25.9014</v>
      </c>
      <c r="O191" s="3" t="n">
        <v>-2.118099999999998</v>
      </c>
      <c r="P191" s="4" t="n">
        <v>62.73729886096544</v>
      </c>
      <c r="Q191" s="3" t="n">
        <v>-27.6362</v>
      </c>
      <c r="R191" s="3" t="n">
        <v>-39.4295</v>
      </c>
      <c r="S191" s="3" t="n">
        <v>-17.89529999999999</v>
      </c>
      <c r="T191" s="4" t="n">
        <v>54.76544287691208</v>
      </c>
      <c r="U191" s="5">
        <f>IFERROR(BDP(E191&amp;" Corp","LAST_PRICE"),"--")</f>
        <v/>
      </c>
      <c r="V191" s="6">
        <f>IFERROR(BDP(E191&amp;" Corp","YAS_BENCHMARK_BOND_ISIN"),"--")</f>
        <v/>
      </c>
      <c r="W191" s="5">
        <f>IFERROR(BDP(V191&amp;" CORP","LAST_PRICE"),"--")</f>
        <v/>
      </c>
      <c r="X191" s="7">
        <f>IFERROR(BDP(E191&amp;" Corp","YAS_YLD_SPREAD","YAS_BOND_PX="&amp;U191,"YAS_BNCHMRK_BOND_PX="&amp;W191),"--")</f>
        <v/>
      </c>
      <c r="Y191" s="7">
        <f>IFERROR(BDP(E191&amp;" Corp","BLOOMBERG_MID_G_SPREAD","YAS_BOND_PX="&amp;U191,"YAS_BNCHMRK_BOND_PX="&amp;W191),"--")</f>
        <v/>
      </c>
      <c r="Z191" s="7">
        <f>IFERROR(BDP(D191,"LAST_PRICE"),"--")</f>
        <v/>
      </c>
      <c r="AA191" s="7">
        <f>IFERROR(Z191-Y191,"--")</f>
        <v/>
      </c>
      <c r="AB191" s="8">
        <f>IFERROR((AA191-R191)/(S191-R191)*100,"--")</f>
        <v/>
      </c>
    </row>
    <row r="192">
      <c r="A192" t="inlineStr">
        <is>
          <t>HD</t>
        </is>
      </c>
      <c r="B192" t="inlineStr">
        <is>
          <t>IG</t>
        </is>
      </c>
      <c r="C192" t="inlineStr">
        <is>
          <t>HD 4 1/2 09/15/32</t>
        </is>
      </c>
      <c r="D192" t="inlineStr">
        <is>
          <t>HD CDS USD SR 5Y D14 Corp</t>
        </is>
      </c>
      <c r="E192" t="inlineStr">
        <is>
          <t>US437076CS90</t>
        </is>
      </c>
      <c r="F192" s="2" t="n">
        <v>45659</v>
      </c>
      <c r="G192" s="2" t="n">
        <v>46225</v>
      </c>
      <c r="H192" s="2" t="n">
        <v>48568</v>
      </c>
      <c r="I192" s="3" t="n">
        <v>31.9085</v>
      </c>
      <c r="J192" s="3" t="n">
        <v>25.1607</v>
      </c>
      <c r="K192" s="3" t="n">
        <v>32.901</v>
      </c>
      <c r="L192" s="3" t="n">
        <v>41.705</v>
      </c>
      <c r="M192" s="3" t="n">
        <v>-0.9925000000000033</v>
      </c>
      <c r="N192" s="3" t="n">
        <v>-18.4933</v>
      </c>
      <c r="O192" s="3" t="n">
        <v>12.04190000000001</v>
      </c>
      <c r="P192" s="4" t="n">
        <v>57.31352668395816</v>
      </c>
      <c r="Q192" s="3" t="n">
        <v>-7.740300000000005</v>
      </c>
      <c r="R192" s="3" t="n">
        <v>-24.5562</v>
      </c>
      <c r="S192" s="3" t="n">
        <v>4.281500000000001</v>
      </c>
      <c r="T192" s="4" t="n">
        <v>58.3122093648245</v>
      </c>
      <c r="U192" s="5">
        <f>IFERROR(BDP(E192&amp;" Corp","LAST_PRICE"),"--")</f>
        <v/>
      </c>
      <c r="V192" s="6">
        <f>IFERROR(BDP(E192&amp;" Corp","YAS_BENCHMARK_BOND_ISIN"),"--")</f>
        <v/>
      </c>
      <c r="W192" s="5">
        <f>IFERROR(BDP(V192&amp;" CORP","LAST_PRICE"),"--")</f>
        <v/>
      </c>
      <c r="X192" s="7">
        <f>IFERROR(BDP(E192&amp;" Corp","YAS_YLD_SPREAD","YAS_BOND_PX="&amp;U192,"YAS_BNCHMRK_BOND_PX="&amp;W192),"--")</f>
        <v/>
      </c>
      <c r="Y192" s="7">
        <f>IFERROR(BDP(E192&amp;" Corp","BLOOMBERG_MID_G_SPREAD","YAS_BOND_PX="&amp;U192,"YAS_BNCHMRK_BOND_PX="&amp;W192),"--")</f>
        <v/>
      </c>
      <c r="Z192" s="7">
        <f>IFERROR(BDP(D192,"LAST_PRICE"),"--")</f>
        <v/>
      </c>
      <c r="AA192" s="7">
        <f>IFERROR(Z192-Y192,"--")</f>
        <v/>
      </c>
      <c r="AB192" s="8">
        <f>IFERROR((AA192-R192)/(S192-R192)*100,"--")</f>
        <v/>
      </c>
    </row>
    <row r="193">
      <c r="A193" t="inlineStr">
        <is>
          <t>HON</t>
        </is>
      </c>
      <c r="B193" t="inlineStr">
        <is>
          <t>IG</t>
        </is>
      </c>
      <c r="C193" t="inlineStr">
        <is>
          <t>HON 4 1/2 01/15/34</t>
        </is>
      </c>
      <c r="D193" t="inlineStr">
        <is>
          <t>HON CDS USD SR 5Y D14 Corp</t>
        </is>
      </c>
      <c r="E193" t="inlineStr">
        <is>
          <t>US438516CM68</t>
        </is>
      </c>
      <c r="F193" s="2" t="n">
        <v>45659</v>
      </c>
      <c r="G193" s="2" t="n">
        <v>46225</v>
      </c>
      <c r="H193" s="2" t="n">
        <v>49115</v>
      </c>
      <c r="I193" s="3" t="n">
        <v>37.3713</v>
      </c>
      <c r="J193" s="3" t="n">
        <v>22.5947</v>
      </c>
      <c r="K193" s="3" t="n">
        <v>54.373</v>
      </c>
      <c r="L193" s="3" t="n">
        <v>45.874</v>
      </c>
      <c r="M193" s="3" t="n">
        <v>-17.0017</v>
      </c>
      <c r="N193" s="3" t="n">
        <v>-49.62139999999999</v>
      </c>
      <c r="O193" s="3" t="n">
        <v>-10.0619</v>
      </c>
      <c r="P193" s="4" t="n">
        <v>82.45731113891733</v>
      </c>
      <c r="Q193" s="3" t="n">
        <v>-31.7783</v>
      </c>
      <c r="R193" s="3" t="n">
        <v>-62.29879999999999</v>
      </c>
      <c r="S193" s="3" t="n">
        <v>-22.1062</v>
      </c>
      <c r="T193" s="4" t="n">
        <v>75.93561998974936</v>
      </c>
      <c r="U193" s="5">
        <f>IFERROR(BDP(E193&amp;" Corp","LAST_PRICE"),"--")</f>
        <v/>
      </c>
      <c r="V193" s="6">
        <f>IFERROR(BDP(E193&amp;" Corp","YAS_BENCHMARK_BOND_ISIN"),"--")</f>
        <v/>
      </c>
      <c r="W193" s="5">
        <f>IFERROR(BDP(V193&amp;" CORP","LAST_PRICE"),"--")</f>
        <v/>
      </c>
      <c r="X193" s="7">
        <f>IFERROR(BDP(E193&amp;" Corp","YAS_YLD_SPREAD","YAS_BOND_PX="&amp;U193,"YAS_BNCHMRK_BOND_PX="&amp;W193),"--")</f>
        <v/>
      </c>
      <c r="Y193" s="7">
        <f>IFERROR(BDP(E193&amp;" Corp","BLOOMBERG_MID_G_SPREAD","YAS_BOND_PX="&amp;U193,"YAS_BNCHMRK_BOND_PX="&amp;W193),"--")</f>
        <v/>
      </c>
      <c r="Z193" s="7">
        <f>IFERROR(BDP(D193,"LAST_PRICE"),"--")</f>
        <v/>
      </c>
      <c r="AA193" s="7">
        <f>IFERROR(Z193-Y193,"--")</f>
        <v/>
      </c>
      <c r="AB193" s="8">
        <f>IFERROR((AA193-R193)/(S193-R193)*100,"--")</f>
        <v/>
      </c>
    </row>
    <row r="194">
      <c r="A194" t="inlineStr">
        <is>
          <t>HPQ</t>
        </is>
      </c>
      <c r="B194" t="inlineStr">
        <is>
          <t>IG</t>
        </is>
      </c>
      <c r="C194" t="inlineStr">
        <is>
          <t>HPQ 5 1/2 01/15/33</t>
        </is>
      </c>
      <c r="D194" t="inlineStr">
        <is>
          <t>HPQ CDS USD SR 5Y D14 Corp</t>
        </is>
      </c>
      <c r="E194" t="inlineStr">
        <is>
          <t>US40434LAN55</t>
        </is>
      </c>
      <c r="F194" s="2" t="n">
        <v>45659</v>
      </c>
      <c r="G194" s="2" t="n">
        <v>46225</v>
      </c>
      <c r="H194" s="2" t="n">
        <v>48750</v>
      </c>
      <c r="I194" s="3" t="n">
        <v>111.004</v>
      </c>
      <c r="J194" s="3" t="n">
        <v>87.8544</v>
      </c>
      <c r="K194" s="3" t="n">
        <v>83.005</v>
      </c>
      <c r="L194" s="3" t="n">
        <v>65.979</v>
      </c>
      <c r="M194" s="3" t="n">
        <v>27.99900000000001</v>
      </c>
      <c r="N194" s="3" t="n">
        <v>-33.69110000000001</v>
      </c>
      <c r="O194" s="3" t="n">
        <v>34.7153</v>
      </c>
      <c r="P194" s="4" t="n">
        <v>90.18176661832813</v>
      </c>
      <c r="Q194" s="3" t="n">
        <v>4.849400000000003</v>
      </c>
      <c r="R194" s="3" t="n">
        <v>-51.24810000000001</v>
      </c>
      <c r="S194" s="3" t="n">
        <v>5.920099999999991</v>
      </c>
      <c r="T194" s="4" t="n">
        <v>98.12710562865371</v>
      </c>
      <c r="U194" s="5">
        <f>IFERROR(BDP(E194&amp;" Corp","LAST_PRICE"),"--")</f>
        <v/>
      </c>
      <c r="V194" s="6">
        <f>IFERROR(BDP(E194&amp;" Corp","YAS_BENCHMARK_BOND_ISIN"),"--")</f>
        <v/>
      </c>
      <c r="W194" s="5">
        <f>IFERROR(BDP(V194&amp;" CORP","LAST_PRICE"),"--")</f>
        <v/>
      </c>
      <c r="X194" s="7">
        <f>IFERROR(BDP(E194&amp;" Corp","YAS_YLD_SPREAD","YAS_BOND_PX="&amp;U194,"YAS_BNCHMRK_BOND_PX="&amp;W194),"--")</f>
        <v/>
      </c>
      <c r="Y194" s="7">
        <f>IFERROR(BDP(E194&amp;" Corp","BLOOMBERG_MID_G_SPREAD","YAS_BOND_PX="&amp;U194,"YAS_BNCHMRK_BOND_PX="&amp;W194),"--")</f>
        <v/>
      </c>
      <c r="Z194" s="7">
        <f>IFERROR(BDP(D194,"LAST_PRICE"),"--")</f>
        <v/>
      </c>
      <c r="AA194" s="7">
        <f>IFERROR(Z194-Y194,"--")</f>
        <v/>
      </c>
      <c r="AB194" s="8">
        <f>IFERROR((AA194-R194)/(S194-R194)*100,"--")</f>
        <v/>
      </c>
    </row>
    <row r="195">
      <c r="A195" t="inlineStr">
        <is>
          <t>HRB</t>
        </is>
      </c>
      <c r="B195" t="inlineStr">
        <is>
          <t>IG</t>
        </is>
      </c>
      <c r="C195" t="inlineStr">
        <is>
          <t>HRB 5 3/8 09/15/32</t>
        </is>
      </c>
      <c r="D195" t="inlineStr">
        <is>
          <t>BLOCK FIN CDS USD SR 5Y D14 Corp</t>
        </is>
      </c>
      <c r="E195" t="inlineStr">
        <is>
          <t>US093662AK00</t>
        </is>
      </c>
      <c r="F195" s="2" t="n">
        <v>45888</v>
      </c>
      <c r="G195" s="2" t="n">
        <v>46225</v>
      </c>
      <c r="H195" s="2" t="n">
        <v>48568</v>
      </c>
      <c r="I195" s="3" t="n">
        <v>119.0509</v>
      </c>
      <c r="J195" s="3" t="n">
        <v>97.38330000000001</v>
      </c>
      <c r="K195" s="3" t="n">
        <v>120.809</v>
      </c>
      <c r="L195" s="3" t="n">
        <v>133.027</v>
      </c>
      <c r="M195" s="3" t="n">
        <v>-1.758099999999999</v>
      </c>
      <c r="N195" s="3" t="n">
        <v>-55.18889999999999</v>
      </c>
      <c r="O195" s="3" t="n">
        <v>1.66279999999999</v>
      </c>
      <c r="P195" s="4" t="n">
        <v>93.98276568686602</v>
      </c>
      <c r="Q195" s="3" t="n">
        <v>-23.42569999999999</v>
      </c>
      <c r="R195" s="3" t="n">
        <v>-70.0762</v>
      </c>
      <c r="S195" s="3" t="n">
        <v>-20.956</v>
      </c>
      <c r="T195" s="4" t="n">
        <v>94.97212959230625</v>
      </c>
      <c r="U195" s="5">
        <f>IFERROR(BDP(E195&amp;" Corp","LAST_PRICE"),"--")</f>
        <v/>
      </c>
      <c r="V195" s="6">
        <f>IFERROR(BDP(E195&amp;" Corp","YAS_BENCHMARK_BOND_ISIN"),"--")</f>
        <v/>
      </c>
      <c r="W195" s="5">
        <f>IFERROR(BDP(V195&amp;" CORP","LAST_PRICE"),"--")</f>
        <v/>
      </c>
      <c r="X195" s="7">
        <f>IFERROR(BDP(E195&amp;" Corp","YAS_YLD_SPREAD","YAS_BOND_PX="&amp;U195,"YAS_BNCHMRK_BOND_PX="&amp;W195),"--")</f>
        <v/>
      </c>
      <c r="Y195" s="7">
        <f>IFERROR(BDP(E195&amp;" Corp","BLOOMBERG_MID_G_SPREAD","YAS_BOND_PX="&amp;U195,"YAS_BNCHMRK_BOND_PX="&amp;W195),"--")</f>
        <v/>
      </c>
      <c r="Z195" s="7">
        <f>IFERROR(BDP(D195,"LAST_PRICE"),"--")</f>
        <v/>
      </c>
      <c r="AA195" s="7">
        <f>IFERROR(Z195-Y195,"--")</f>
        <v/>
      </c>
      <c r="AB195" s="8">
        <f>IFERROR((AA195-R195)/(S195-R195)*100,"--")</f>
        <v/>
      </c>
    </row>
    <row r="196">
      <c r="A196" t="inlineStr">
        <is>
          <t>HST</t>
        </is>
      </c>
      <c r="B196" t="inlineStr">
        <is>
          <t>IG</t>
        </is>
      </c>
      <c r="C196" t="inlineStr">
        <is>
          <t>HST 5.7 06/15/32</t>
        </is>
      </c>
      <c r="D196" t="inlineStr">
        <is>
          <t>HST CDS USD SR 5Y D14 Corp</t>
        </is>
      </c>
      <c r="E196" t="inlineStr">
        <is>
          <t>US44107TBD72</t>
        </is>
      </c>
      <c r="F196" s="2" t="n">
        <v>45784</v>
      </c>
      <c r="G196" s="2" t="n">
        <v>46225</v>
      </c>
      <c r="H196" s="2" t="n">
        <v>48385</v>
      </c>
      <c r="I196" s="3" t="n">
        <v>85.68170000000001</v>
      </c>
      <c r="J196" s="3" t="n">
        <v>70.0591</v>
      </c>
      <c r="K196" s="3" t="n">
        <v>94.479</v>
      </c>
      <c r="L196" s="3" t="n">
        <v>100.299</v>
      </c>
      <c r="M196" s="3" t="n">
        <v>-8.797299999999993</v>
      </c>
      <c r="N196" s="3" t="n">
        <v>-44.23999999999999</v>
      </c>
      <c r="O196" s="3" t="n">
        <v>1.736999999999995</v>
      </c>
      <c r="P196" s="4" t="n">
        <v>77.08789177197296</v>
      </c>
      <c r="Q196" s="3" t="n">
        <v>-24.4199</v>
      </c>
      <c r="R196" s="3" t="n">
        <v>-55.41449999999999</v>
      </c>
      <c r="S196" s="3" t="n">
        <v>-11.54510000000001</v>
      </c>
      <c r="T196" s="4" t="n">
        <v>70.65198065166153</v>
      </c>
      <c r="U196" s="5">
        <f>IFERROR(BDP(E196&amp;" Corp","LAST_PRICE"),"--")</f>
        <v/>
      </c>
      <c r="V196" s="6">
        <f>IFERROR(BDP(E196&amp;" Corp","YAS_BENCHMARK_BOND_ISIN"),"--")</f>
        <v/>
      </c>
      <c r="W196" s="5">
        <f>IFERROR(BDP(V196&amp;" CORP","LAST_PRICE"),"--")</f>
        <v/>
      </c>
      <c r="X196" s="7">
        <f>IFERROR(BDP(E196&amp;" Corp","YAS_YLD_SPREAD","YAS_BOND_PX="&amp;U196,"YAS_BNCHMRK_BOND_PX="&amp;W196),"--")</f>
        <v/>
      </c>
      <c r="Y196" s="7">
        <f>IFERROR(BDP(E196&amp;" Corp","BLOOMBERG_MID_G_SPREAD","YAS_BOND_PX="&amp;U196,"YAS_BNCHMRK_BOND_PX="&amp;W196),"--")</f>
        <v/>
      </c>
      <c r="Z196" s="7">
        <f>IFERROR(BDP(D196,"LAST_PRICE"),"--")</f>
        <v/>
      </c>
      <c r="AA196" s="7">
        <f>IFERROR(Z196-Y196,"--")</f>
        <v/>
      </c>
      <c r="AB196" s="8">
        <f>IFERROR((AA196-R196)/(S196-R196)*100,"--")</f>
        <v/>
      </c>
    </row>
    <row r="197">
      <c r="A197" t="inlineStr">
        <is>
          <t>IBM</t>
        </is>
      </c>
      <c r="B197" t="inlineStr">
        <is>
          <t>IG</t>
        </is>
      </c>
      <c r="C197" t="inlineStr">
        <is>
          <t>IBM 5 02/10/32</t>
        </is>
      </c>
      <c r="D197" t="inlineStr">
        <is>
          <t>IBM CDS USD SR 5Y D14 Corp</t>
        </is>
      </c>
      <c r="E197" t="inlineStr">
        <is>
          <t>US459200LH20</t>
        </is>
      </c>
      <c r="F197" s="2" t="n">
        <v>45694</v>
      </c>
      <c r="G197" s="2" t="n">
        <v>46225</v>
      </c>
      <c r="H197" s="2" t="n">
        <v>48385</v>
      </c>
      <c r="I197" s="3" t="n">
        <v>68.98950000000001</v>
      </c>
      <c r="J197" s="3" t="n">
        <v>59.8</v>
      </c>
      <c r="K197" s="3" t="n">
        <v>72.807</v>
      </c>
      <c r="L197" s="3" t="n">
        <v>77.035</v>
      </c>
      <c r="M197" s="3" t="n">
        <v>-3.817499999999995</v>
      </c>
      <c r="N197" s="3" t="n">
        <v>-37.85279999999999</v>
      </c>
      <c r="O197" s="3" t="n">
        <v>-1.480900000000005</v>
      </c>
      <c r="P197" s="4" t="n">
        <v>93.57580989720088</v>
      </c>
      <c r="Q197" s="3" t="n">
        <v>-13.00700000000001</v>
      </c>
      <c r="R197" s="3" t="n">
        <v>-43.965</v>
      </c>
      <c r="S197" s="3" t="n">
        <v>-10.4423</v>
      </c>
      <c r="T197" s="4" t="n">
        <v>92.34936326727859</v>
      </c>
      <c r="U197" s="5">
        <f>IFERROR(BDP(E197&amp;" Corp","LAST_PRICE"),"--")</f>
        <v/>
      </c>
      <c r="V197" s="6">
        <f>IFERROR(BDP(E197&amp;" Corp","YAS_BENCHMARK_BOND_ISIN"),"--")</f>
        <v/>
      </c>
      <c r="W197" s="5">
        <f>IFERROR(BDP(V197&amp;" CORP","LAST_PRICE"),"--")</f>
        <v/>
      </c>
      <c r="X197" s="7">
        <f>IFERROR(BDP(E197&amp;" Corp","YAS_YLD_SPREAD","YAS_BOND_PX="&amp;U197,"YAS_BNCHMRK_BOND_PX="&amp;W197),"--")</f>
        <v/>
      </c>
      <c r="Y197" s="7">
        <f>IFERROR(BDP(E197&amp;" Corp","BLOOMBERG_MID_G_SPREAD","YAS_BOND_PX="&amp;U197,"YAS_BNCHMRK_BOND_PX="&amp;W197),"--")</f>
        <v/>
      </c>
      <c r="Z197" s="7">
        <f>IFERROR(BDP(D197,"LAST_PRICE"),"--")</f>
        <v/>
      </c>
      <c r="AA197" s="7">
        <f>IFERROR(Z197-Y197,"--")</f>
        <v/>
      </c>
      <c r="AB197" s="8">
        <f>IFERROR((AA197-R197)/(S197-R197)*100,"--")</f>
        <v/>
      </c>
    </row>
    <row r="198">
      <c r="A198" t="inlineStr">
        <is>
          <t>INTC</t>
        </is>
      </c>
      <c r="B198" t="inlineStr">
        <is>
          <t>IG</t>
        </is>
      </c>
      <c r="C198" t="inlineStr">
        <is>
          <t>INTC 5 02/21/31</t>
        </is>
      </c>
      <c r="D198" t="inlineStr">
        <is>
          <t>INTC CDS USD SR 5Y D14 Corp</t>
        </is>
      </c>
      <c r="E198" t="inlineStr">
        <is>
          <t>US458140CN85</t>
        </is>
      </c>
      <c r="F198" s="2" t="n">
        <v>45659</v>
      </c>
      <c r="G198" s="2" t="n">
        <v>46225</v>
      </c>
      <c r="H198" s="2" t="n">
        <v>48019</v>
      </c>
      <c r="I198" s="3" t="n">
        <v>71.8306</v>
      </c>
      <c r="J198" s="3" t="n">
        <v>71.8306</v>
      </c>
      <c r="K198" s="3" t="n">
        <v>62.847</v>
      </c>
      <c r="L198" s="3" t="n">
        <v>61.008</v>
      </c>
      <c r="M198" s="3" t="n">
        <v>8.983600000000003</v>
      </c>
      <c r="N198" s="3" t="n">
        <v>-25.23009999999999</v>
      </c>
      <c r="O198" s="3" t="n">
        <v>8.983600000000003</v>
      </c>
      <c r="P198" s="4" t="n">
        <v>100</v>
      </c>
      <c r="Q198" s="3" t="n">
        <v>8.983600000000003</v>
      </c>
      <c r="R198" s="3" t="n">
        <v>-25.23009999999999</v>
      </c>
      <c r="S198" s="3" t="n">
        <v>8.983600000000003</v>
      </c>
      <c r="T198" s="4" t="n">
        <v>100</v>
      </c>
      <c r="U198" s="5">
        <f>IFERROR(BDP(E198&amp;" Corp","LAST_PRICE"),"--")</f>
        <v/>
      </c>
      <c r="V198" s="6">
        <f>IFERROR(BDP(E198&amp;" Corp","YAS_BENCHMARK_BOND_ISIN"),"--")</f>
        <v/>
      </c>
      <c r="W198" s="5">
        <f>IFERROR(BDP(V198&amp;" CORP","LAST_PRICE"),"--")</f>
        <v/>
      </c>
      <c r="X198" s="7">
        <f>IFERROR(BDP(E198&amp;" Corp","YAS_YLD_SPREAD","YAS_BOND_PX="&amp;U198,"YAS_BNCHMRK_BOND_PX="&amp;W198),"--")</f>
        <v/>
      </c>
      <c r="Y198" s="7">
        <f>IFERROR(BDP(E198&amp;" Corp","BLOOMBERG_MID_G_SPREAD","YAS_BOND_PX="&amp;U198,"YAS_BNCHMRK_BOND_PX="&amp;W198),"--")</f>
        <v/>
      </c>
      <c r="Z198" s="7">
        <f>IFERROR(BDP(D198,"LAST_PRICE"),"--")</f>
        <v/>
      </c>
      <c r="AA198" s="7">
        <f>IFERROR(Z198-Y198,"--")</f>
        <v/>
      </c>
      <c r="AB198" s="8">
        <f>IFERROR((AA198-R198)/(S198-R198)*100,"--")</f>
        <v/>
      </c>
    </row>
    <row r="199">
      <c r="A199" t="inlineStr">
        <is>
          <t>IP</t>
        </is>
      </c>
      <c r="B199" t="inlineStr">
        <is>
          <t>IG</t>
        </is>
      </c>
      <c r="C199" t="inlineStr">
        <is>
          <t>IP 5 09/15/35</t>
        </is>
      </c>
      <c r="D199" t="inlineStr">
        <is>
          <t>PAPER CDS USD SR 5Y D14 Corp</t>
        </is>
      </c>
      <c r="E199" t="inlineStr">
        <is>
          <t>US460146CM37</t>
        </is>
      </c>
      <c r="F199" s="2" t="n">
        <v>45922</v>
      </c>
      <c r="G199" s="2" t="n">
        <v>46225</v>
      </c>
      <c r="H199" s="2" t="n">
        <v>49663</v>
      </c>
      <c r="I199" s="3" t="n">
        <v>93.1795</v>
      </c>
      <c r="J199" s="3" t="n">
        <v>53.2715</v>
      </c>
      <c r="K199" s="3" t="n">
        <v>87.536</v>
      </c>
      <c r="L199" s="3" t="n">
        <v>88.922</v>
      </c>
      <c r="M199" s="3" t="n">
        <v>5.643500000000003</v>
      </c>
      <c r="N199" s="3" t="n">
        <v>-10.0761</v>
      </c>
      <c r="O199" s="3" t="n">
        <v>24.81779999999999</v>
      </c>
      <c r="P199" s="4" t="n">
        <v>45.04970782858896</v>
      </c>
      <c r="Q199" s="3" t="n">
        <v>-34.2645</v>
      </c>
      <c r="R199" s="3" t="n">
        <v>-52.00580000000001</v>
      </c>
      <c r="S199" s="3" t="n">
        <v>-7.436500000000009</v>
      </c>
      <c r="T199" s="4" t="n">
        <v>39.80609971437741</v>
      </c>
      <c r="U199" s="5">
        <f>IFERROR(BDP(E199&amp;" Corp","LAST_PRICE"),"--")</f>
        <v/>
      </c>
      <c r="V199" s="6">
        <f>IFERROR(BDP(E199&amp;" Corp","YAS_BENCHMARK_BOND_ISIN"),"--")</f>
        <v/>
      </c>
      <c r="W199" s="5">
        <f>IFERROR(BDP(V199&amp;" CORP","LAST_PRICE"),"--")</f>
        <v/>
      </c>
      <c r="X199" s="7">
        <f>IFERROR(BDP(E199&amp;" Corp","YAS_YLD_SPREAD","YAS_BOND_PX="&amp;U199,"YAS_BNCHMRK_BOND_PX="&amp;W199),"--")</f>
        <v/>
      </c>
      <c r="Y199" s="7">
        <f>IFERROR(BDP(E199&amp;" Corp","BLOOMBERG_MID_G_SPREAD","YAS_BOND_PX="&amp;U199,"YAS_BNCHMRK_BOND_PX="&amp;W199),"--")</f>
        <v/>
      </c>
      <c r="Z199" s="7">
        <f>IFERROR(BDP(D199,"LAST_PRICE"),"--")</f>
        <v/>
      </c>
      <c r="AA199" s="7">
        <f>IFERROR(Z199-Y199,"--")</f>
        <v/>
      </c>
      <c r="AB199" s="8">
        <f>IFERROR((AA199-R199)/(S199-R199)*100,"--")</f>
        <v/>
      </c>
    </row>
    <row r="200">
      <c r="A200" t="inlineStr">
        <is>
          <t>JCI</t>
        </is>
      </c>
      <c r="B200" t="inlineStr">
        <is>
          <t>IG</t>
        </is>
      </c>
      <c r="C200" t="inlineStr">
        <is>
          <t>JCI 4.9 12/01/32</t>
        </is>
      </c>
      <c r="D200" t="inlineStr">
        <is>
          <t>CTYC1U5 MSG1 Curncy</t>
        </is>
      </c>
      <c r="E200" t="inlineStr">
        <is>
          <t>US47837RAE09</t>
        </is>
      </c>
      <c r="F200" s="2" t="n">
        <v>45659</v>
      </c>
      <c r="G200" s="2" t="n">
        <v>46225</v>
      </c>
      <c r="H200" s="2" t="n">
        <v>48568</v>
      </c>
      <c r="I200" s="3" t="n">
        <v>36.9023</v>
      </c>
      <c r="J200" s="3" t="n">
        <v>26.5</v>
      </c>
      <c r="K200" s="3" t="n">
        <v>58.701</v>
      </c>
      <c r="L200" s="3" t="n">
        <v>67.69199999999999</v>
      </c>
      <c r="M200" s="3" t="n">
        <v>-21.7987</v>
      </c>
      <c r="N200" s="3" t="n">
        <v>-54.26679999999999</v>
      </c>
      <c r="O200" s="3" t="n">
        <v>-9.650399999999998</v>
      </c>
      <c r="P200" s="4" t="n">
        <v>72.77167140334045</v>
      </c>
      <c r="Q200" s="3" t="n">
        <v>-32.201</v>
      </c>
      <c r="R200" s="3" t="n">
        <v>-61.99359999999999</v>
      </c>
      <c r="S200" s="3" t="n">
        <v>-19.0746</v>
      </c>
      <c r="T200" s="4" t="n">
        <v>69.41587641836946</v>
      </c>
      <c r="U200" s="5">
        <f>IFERROR(BDP(E200&amp;" Corp","LAST_PRICE"),"--")</f>
        <v/>
      </c>
      <c r="V200" s="6">
        <f>IFERROR(BDP(E200&amp;" Corp","YAS_BENCHMARK_BOND_ISIN"),"--")</f>
        <v/>
      </c>
      <c r="W200" s="5">
        <f>IFERROR(BDP(V200&amp;" CORP","LAST_PRICE"),"--")</f>
        <v/>
      </c>
      <c r="X200" s="7">
        <f>IFERROR(BDP(E200&amp;" Corp","YAS_YLD_SPREAD","YAS_BOND_PX="&amp;U200,"YAS_BNCHMRK_BOND_PX="&amp;W200),"--")</f>
        <v/>
      </c>
      <c r="Y200" s="7">
        <f>IFERROR(BDP(E200&amp;" Corp","BLOOMBERG_MID_G_SPREAD","YAS_BOND_PX="&amp;U200,"YAS_BNCHMRK_BOND_PX="&amp;W200),"--")</f>
        <v/>
      </c>
      <c r="Z200" s="7">
        <f>IFERROR(BDP(D200,"LAST_PRICE"),"--")</f>
        <v/>
      </c>
      <c r="AA200" s="7">
        <f>IFERROR(Z200-Y200,"--")</f>
        <v/>
      </c>
      <c r="AB200" s="8">
        <f>IFERROR((AA200-R200)/(S200-R200)*100,"--")</f>
        <v/>
      </c>
    </row>
    <row r="201">
      <c r="A201" t="inlineStr">
        <is>
          <t>JNJ</t>
        </is>
      </c>
      <c r="B201" t="inlineStr">
        <is>
          <t>IG</t>
        </is>
      </c>
      <c r="C201" t="inlineStr">
        <is>
          <t>JNJ 4.9 06/01/31</t>
        </is>
      </c>
      <c r="D201" t="inlineStr">
        <is>
          <t>JNJ CDS USD SR 5Y D14 Corp</t>
        </is>
      </c>
      <c r="E201" t="inlineStr">
        <is>
          <t>US478160CV47</t>
        </is>
      </c>
      <c r="F201" s="2" t="n">
        <v>45659</v>
      </c>
      <c r="G201" s="2" t="n">
        <v>46225</v>
      </c>
      <c r="H201" s="2" t="n">
        <v>48019</v>
      </c>
      <c r="I201" s="3" t="n">
        <v>17.2533</v>
      </c>
      <c r="J201" s="3" t="n">
        <v>17.2533</v>
      </c>
      <c r="K201" s="3" t="n">
        <v>17.155</v>
      </c>
      <c r="L201" s="3" t="n">
        <v>16.794</v>
      </c>
      <c r="M201" s="3" t="n">
        <v>0.09829999999999828</v>
      </c>
      <c r="N201" s="3" t="n">
        <v>-27.614</v>
      </c>
      <c r="O201" s="3" t="n">
        <v>11.1643</v>
      </c>
      <c r="P201" s="4" t="n">
        <v>71.46342155277564</v>
      </c>
      <c r="Q201" s="3" t="n">
        <v>0.09829999999999828</v>
      </c>
      <c r="R201" s="3" t="n">
        <v>-27.614</v>
      </c>
      <c r="S201" s="3" t="n">
        <v>11.1643</v>
      </c>
      <c r="T201" s="4" t="n">
        <v>71.46342155277564</v>
      </c>
      <c r="U201" s="5">
        <f>IFERROR(BDP(E201&amp;" Corp","LAST_PRICE"),"--")</f>
        <v/>
      </c>
      <c r="V201" s="6">
        <f>IFERROR(BDP(E201&amp;" Corp","YAS_BENCHMARK_BOND_ISIN"),"--")</f>
        <v/>
      </c>
      <c r="W201" s="5">
        <f>IFERROR(BDP(V201&amp;" CORP","LAST_PRICE"),"--")</f>
        <v/>
      </c>
      <c r="X201" s="7">
        <f>IFERROR(BDP(E201&amp;" Corp","YAS_YLD_SPREAD","YAS_BOND_PX="&amp;U201,"YAS_BNCHMRK_BOND_PX="&amp;W201),"--")</f>
        <v/>
      </c>
      <c r="Y201" s="7">
        <f>IFERROR(BDP(E201&amp;" Corp","BLOOMBERG_MID_G_SPREAD","YAS_BOND_PX="&amp;U201,"YAS_BNCHMRK_BOND_PX="&amp;W201),"--")</f>
        <v/>
      </c>
      <c r="Z201" s="7">
        <f>IFERROR(BDP(D201,"LAST_PRICE"),"--")</f>
        <v/>
      </c>
      <c r="AA201" s="7">
        <f>IFERROR(Z201-Y201,"--")</f>
        <v/>
      </c>
      <c r="AB201" s="8">
        <f>IFERROR((AA201-R201)/(S201-R201)*100,"--")</f>
        <v/>
      </c>
    </row>
    <row r="202">
      <c r="A202" t="inlineStr">
        <is>
          <t>KHC</t>
        </is>
      </c>
      <c r="B202" t="inlineStr">
        <is>
          <t>IG</t>
        </is>
      </c>
      <c r="C202" t="inlineStr">
        <is>
          <t>KHC 5.2 03/15/32</t>
        </is>
      </c>
      <c r="D202" t="inlineStr">
        <is>
          <t>KHC CDS USD SR 5Y D14 Corp</t>
        </is>
      </c>
      <c r="E202" t="inlineStr">
        <is>
          <t>US50077LBM72</t>
        </is>
      </c>
      <c r="F202" s="2" t="n">
        <v>45708</v>
      </c>
      <c r="G202" s="2" t="n">
        <v>46225</v>
      </c>
      <c r="H202" s="2" t="n">
        <v>48385</v>
      </c>
      <c r="I202" s="3" t="n">
        <v>69.5192</v>
      </c>
      <c r="J202" s="3" t="n">
        <v>54.1228</v>
      </c>
      <c r="K202" s="3" t="n">
        <v>70.07599999999999</v>
      </c>
      <c r="L202" s="3" t="n">
        <v>73.857</v>
      </c>
      <c r="M202" s="3" t="n">
        <v>-0.5567999999999955</v>
      </c>
      <c r="N202" s="3" t="n">
        <v>-34.82839999999999</v>
      </c>
      <c r="O202" s="3" t="n">
        <v>7.786999999999992</v>
      </c>
      <c r="P202" s="4" t="n">
        <v>80.42069298891951</v>
      </c>
      <c r="Q202" s="3" t="n">
        <v>-15.9532</v>
      </c>
      <c r="R202" s="3" t="n">
        <v>-44.92179999999999</v>
      </c>
      <c r="S202" s="3" t="n">
        <v>-6.6205</v>
      </c>
      <c r="T202" s="4" t="n">
        <v>75.63346413829296</v>
      </c>
      <c r="U202" s="5">
        <f>IFERROR(BDP(E202&amp;" Corp","LAST_PRICE"),"--")</f>
        <v/>
      </c>
      <c r="V202" s="6">
        <f>IFERROR(BDP(E202&amp;" Corp","YAS_BENCHMARK_BOND_ISIN"),"--")</f>
        <v/>
      </c>
      <c r="W202" s="5">
        <f>IFERROR(BDP(V202&amp;" CORP","LAST_PRICE"),"--")</f>
        <v/>
      </c>
      <c r="X202" s="7">
        <f>IFERROR(BDP(E202&amp;" Corp","YAS_YLD_SPREAD","YAS_BOND_PX="&amp;U202,"YAS_BNCHMRK_BOND_PX="&amp;W202),"--")</f>
        <v/>
      </c>
      <c r="Y202" s="7">
        <f>IFERROR(BDP(E202&amp;" Corp","BLOOMBERG_MID_G_SPREAD","YAS_BOND_PX="&amp;U202,"YAS_BNCHMRK_BOND_PX="&amp;W202),"--")</f>
        <v/>
      </c>
      <c r="Z202" s="7">
        <f>IFERROR(BDP(D202,"LAST_PRICE"),"--")</f>
        <v/>
      </c>
      <c r="AA202" s="7">
        <f>IFERROR(Z202-Y202,"--")</f>
        <v/>
      </c>
      <c r="AB202" s="8">
        <f>IFERROR((AA202-R202)/(S202-R202)*100,"--")</f>
        <v/>
      </c>
    </row>
    <row r="203">
      <c r="A203" t="inlineStr">
        <is>
          <t>KMI</t>
        </is>
      </c>
      <c r="B203" t="inlineStr">
        <is>
          <t>IG</t>
        </is>
      </c>
      <c r="C203" t="inlineStr">
        <is>
          <t>KMI 5.4 02/01/34</t>
        </is>
      </c>
      <c r="D203" t="inlineStr">
        <is>
          <t>CKMI1U5 MSG1 Curncy</t>
        </is>
      </c>
      <c r="E203" t="inlineStr">
        <is>
          <t>US494553AE00</t>
        </is>
      </c>
      <c r="F203" s="2" t="n">
        <v>45659</v>
      </c>
      <c r="G203" s="2" t="n">
        <v>46225</v>
      </c>
      <c r="H203" s="2" t="n">
        <v>49115</v>
      </c>
      <c r="I203" s="3" t="n">
        <v>72.3597</v>
      </c>
      <c r="J203" s="3" t="n">
        <v>44.5</v>
      </c>
      <c r="K203" s="3" t="n">
        <v>76.40900000000001</v>
      </c>
      <c r="L203" s="3" t="n">
        <v>67.75</v>
      </c>
      <c r="M203" s="3" t="n">
        <v>-4.049300000000002</v>
      </c>
      <c r="N203" s="3" t="n">
        <v>-39.99039999999999</v>
      </c>
      <c r="O203" s="3" t="n">
        <v>8.57350000000001</v>
      </c>
      <c r="P203" s="4" t="n">
        <v>74.00785357024454</v>
      </c>
      <c r="Q203" s="3" t="n">
        <v>-31.90900000000001</v>
      </c>
      <c r="R203" s="3" t="n">
        <v>-64.6463</v>
      </c>
      <c r="S203" s="3" t="n">
        <v>-17.8685</v>
      </c>
      <c r="T203" s="4" t="n">
        <v>69.98469359396978</v>
      </c>
      <c r="U203" s="5">
        <f>IFERROR(BDP(E203&amp;" Corp","LAST_PRICE"),"--")</f>
        <v/>
      </c>
      <c r="V203" s="6">
        <f>IFERROR(BDP(E203&amp;" Corp","YAS_BENCHMARK_BOND_ISIN"),"--")</f>
        <v/>
      </c>
      <c r="W203" s="5">
        <f>IFERROR(BDP(V203&amp;" CORP","LAST_PRICE"),"--")</f>
        <v/>
      </c>
      <c r="X203" s="7">
        <f>IFERROR(BDP(E203&amp;" Corp","YAS_YLD_SPREAD","YAS_BOND_PX="&amp;U203,"YAS_BNCHMRK_BOND_PX="&amp;W203),"--")</f>
        <v/>
      </c>
      <c r="Y203" s="7">
        <f>IFERROR(BDP(E203&amp;" Corp","BLOOMBERG_MID_G_SPREAD","YAS_BOND_PX="&amp;U203,"YAS_BNCHMRK_BOND_PX="&amp;W203),"--")</f>
        <v/>
      </c>
      <c r="Z203" s="7">
        <f>IFERROR(BDP(D203,"LAST_PRICE"),"--")</f>
        <v/>
      </c>
      <c r="AA203" s="7">
        <f>IFERROR(Z203-Y203,"--")</f>
        <v/>
      </c>
      <c r="AB203" s="8">
        <f>IFERROR((AA203-R203)/(S203-R203)*100,"--")</f>
        <v/>
      </c>
    </row>
    <row r="204">
      <c r="A204" t="inlineStr">
        <is>
          <t>KR</t>
        </is>
      </c>
      <c r="B204" t="inlineStr">
        <is>
          <t>IG</t>
        </is>
      </c>
      <c r="C204" t="inlineStr">
        <is>
          <t>KR 5 09/15/34</t>
        </is>
      </c>
      <c r="D204" t="inlineStr">
        <is>
          <t>KR CDS USD SR 5Y D14 Corp</t>
        </is>
      </c>
      <c r="E204" t="inlineStr">
        <is>
          <t>US501044DV05</t>
        </is>
      </c>
      <c r="F204" s="2" t="n">
        <v>45659</v>
      </c>
      <c r="G204" s="2" t="n">
        <v>46225</v>
      </c>
      <c r="H204" s="2" t="n">
        <v>49298</v>
      </c>
      <c r="I204" s="3" t="n">
        <v>58.1745</v>
      </c>
      <c r="J204" s="3" t="n">
        <v>34.4417</v>
      </c>
      <c r="K204" s="3" t="n">
        <v>84.93899999999999</v>
      </c>
      <c r="L204" s="3" t="n">
        <v>80.79600000000001</v>
      </c>
      <c r="M204" s="3" t="n">
        <v>-26.76449999999999</v>
      </c>
      <c r="N204" s="3" t="n">
        <v>-43.98989999999999</v>
      </c>
      <c r="O204" s="3" t="n">
        <v>-5.661000000000001</v>
      </c>
      <c r="P204" s="4" t="n">
        <v>44.94102361403537</v>
      </c>
      <c r="Q204" s="3" t="n">
        <v>-50.4973</v>
      </c>
      <c r="R204" s="3" t="n">
        <v>-68.88839999999999</v>
      </c>
      <c r="S204" s="3" t="n">
        <v>-31.9485</v>
      </c>
      <c r="T204" s="4" t="n">
        <v>49.78654517202267</v>
      </c>
      <c r="U204" s="5">
        <f>IFERROR(BDP(E204&amp;" Corp","LAST_PRICE"),"--")</f>
        <v/>
      </c>
      <c r="V204" s="6">
        <f>IFERROR(BDP(E204&amp;" Corp","YAS_BENCHMARK_BOND_ISIN"),"--")</f>
        <v/>
      </c>
      <c r="W204" s="5">
        <f>IFERROR(BDP(V204&amp;" CORP","LAST_PRICE"),"--")</f>
        <v/>
      </c>
      <c r="X204" s="7">
        <f>IFERROR(BDP(E204&amp;" Corp","YAS_YLD_SPREAD","YAS_BOND_PX="&amp;U204,"YAS_BNCHMRK_BOND_PX="&amp;W204),"--")</f>
        <v/>
      </c>
      <c r="Y204" s="7">
        <f>IFERROR(BDP(E204&amp;" Corp","BLOOMBERG_MID_G_SPREAD","YAS_BOND_PX="&amp;U204,"YAS_BNCHMRK_BOND_PX="&amp;W204),"--")</f>
        <v/>
      </c>
      <c r="Z204" s="7">
        <f>IFERROR(BDP(D204,"LAST_PRICE"),"--")</f>
        <v/>
      </c>
      <c r="AA204" s="7">
        <f>IFERROR(Z204-Y204,"--")</f>
        <v/>
      </c>
      <c r="AB204" s="8">
        <f>IFERROR((AA204-R204)/(S204-R204)*100,"--")</f>
        <v/>
      </c>
    </row>
    <row r="205">
      <c r="A205" t="inlineStr">
        <is>
          <t>LEN</t>
        </is>
      </c>
      <c r="B205" t="inlineStr">
        <is>
          <t>IG</t>
        </is>
      </c>
      <c r="C205" t="inlineStr">
        <is>
          <t>LEN 5.2 07/30/30</t>
        </is>
      </c>
      <c r="D205" t="inlineStr">
        <is>
          <t>LEN CDS USD SR 5Y D14 Corp</t>
        </is>
      </c>
      <c r="E205" t="inlineStr">
        <is>
          <t>US526057CY87</t>
        </is>
      </c>
      <c r="F205" s="2" t="n">
        <v>45789</v>
      </c>
      <c r="G205" s="2" t="n">
        <v>46225</v>
      </c>
      <c r="H205" s="2" t="n">
        <v>47837</v>
      </c>
      <c r="I205" s="3" t="n">
        <v>75.3454</v>
      </c>
      <c r="J205" s="3" t="n">
        <v>82.0973</v>
      </c>
      <c r="K205" s="3" t="n">
        <v>67.773</v>
      </c>
      <c r="L205" s="3" t="n">
        <v>64.55500000000001</v>
      </c>
      <c r="M205" s="3" t="n">
        <v>7.572400000000002</v>
      </c>
      <c r="N205" s="3" t="n">
        <v>-9.404699999999991</v>
      </c>
      <c r="O205" s="3" t="n">
        <v>18.2073</v>
      </c>
      <c r="P205" s="4" t="n">
        <v>61.48449949297405</v>
      </c>
      <c r="Q205" s="3" t="n">
        <v>14.32430000000001</v>
      </c>
      <c r="R205" s="3" t="n">
        <v>-1.359499999999997</v>
      </c>
      <c r="S205" s="3" t="n">
        <v>25.0321</v>
      </c>
      <c r="T205" s="4" t="n">
        <v>59.42724200124284</v>
      </c>
      <c r="U205" s="5">
        <f>IFERROR(BDP(E205&amp;" Corp","LAST_PRICE"),"--")</f>
        <v/>
      </c>
      <c r="V205" s="6">
        <f>IFERROR(BDP(E205&amp;" Corp","YAS_BENCHMARK_BOND_ISIN"),"--")</f>
        <v/>
      </c>
      <c r="W205" s="5">
        <f>IFERROR(BDP(V205&amp;" CORP","LAST_PRICE"),"--")</f>
        <v/>
      </c>
      <c r="X205" s="7">
        <f>IFERROR(BDP(E205&amp;" Corp","YAS_YLD_SPREAD","YAS_BOND_PX="&amp;U205,"YAS_BNCHMRK_BOND_PX="&amp;W205),"--")</f>
        <v/>
      </c>
      <c r="Y205" s="7">
        <f>IFERROR(BDP(E205&amp;" Corp","BLOOMBERG_MID_G_SPREAD","YAS_BOND_PX="&amp;U205,"YAS_BNCHMRK_BOND_PX="&amp;W205),"--")</f>
        <v/>
      </c>
      <c r="Z205" s="7">
        <f>IFERROR(BDP(D205,"LAST_PRICE"),"--")</f>
        <v/>
      </c>
      <c r="AA205" s="7">
        <f>IFERROR(Z205-Y205,"--")</f>
        <v/>
      </c>
      <c r="AB205" s="8">
        <f>IFERROR((AA205-R205)/(S205-R205)*100,"--")</f>
        <v/>
      </c>
    </row>
    <row r="206">
      <c r="A206" t="inlineStr">
        <is>
          <t>LMT</t>
        </is>
      </c>
      <c r="B206" t="inlineStr">
        <is>
          <t>IG</t>
        </is>
      </c>
      <c r="C206" t="inlineStr">
        <is>
          <t>LMT 4.8 08/15/34</t>
        </is>
      </c>
      <c r="D206" t="inlineStr">
        <is>
          <t>LMT CDS USD SR 5Y D14 Corp</t>
        </is>
      </c>
      <c r="E206" t="inlineStr">
        <is>
          <t>US539830CD97</t>
        </is>
      </c>
      <c r="F206" s="2" t="n">
        <v>45659</v>
      </c>
      <c r="G206" s="2" t="n">
        <v>46225</v>
      </c>
      <c r="H206" s="2" t="n">
        <v>49298</v>
      </c>
      <c r="I206" s="3" t="n">
        <v>32.4881</v>
      </c>
      <c r="J206" s="3" t="n">
        <v>19.3909</v>
      </c>
      <c r="K206" s="3" t="n">
        <v>50.943</v>
      </c>
      <c r="L206" s="3" t="n">
        <v>42.734</v>
      </c>
      <c r="M206" s="3" t="n">
        <v>-18.45489999999999</v>
      </c>
      <c r="N206" s="3" t="n">
        <v>-42.547</v>
      </c>
      <c r="O206" s="3" t="n">
        <v>-11.3438</v>
      </c>
      <c r="P206" s="4" t="n">
        <v>77.21035022049023</v>
      </c>
      <c r="Q206" s="3" t="n">
        <v>-31.5521</v>
      </c>
      <c r="R206" s="3" t="n">
        <v>-57.922</v>
      </c>
      <c r="S206" s="3" t="n">
        <v>-25.8226</v>
      </c>
      <c r="T206" s="4" t="n">
        <v>82.15075671196347</v>
      </c>
      <c r="U206" s="5">
        <f>IFERROR(BDP(E206&amp;" Corp","LAST_PRICE"),"--")</f>
        <v/>
      </c>
      <c r="V206" s="6">
        <f>IFERROR(BDP(E206&amp;" Corp","YAS_BENCHMARK_BOND_ISIN"),"--")</f>
        <v/>
      </c>
      <c r="W206" s="5">
        <f>IFERROR(BDP(V206&amp;" CORP","LAST_PRICE"),"--")</f>
        <v/>
      </c>
      <c r="X206" s="7">
        <f>IFERROR(BDP(E206&amp;" Corp","YAS_YLD_SPREAD","YAS_BOND_PX="&amp;U206,"YAS_BNCHMRK_BOND_PX="&amp;W206),"--")</f>
        <v/>
      </c>
      <c r="Y206" s="7">
        <f>IFERROR(BDP(E206&amp;" Corp","BLOOMBERG_MID_G_SPREAD","YAS_BOND_PX="&amp;U206,"YAS_BNCHMRK_BOND_PX="&amp;W206),"--")</f>
        <v/>
      </c>
      <c r="Z206" s="7">
        <f>IFERROR(BDP(D206,"LAST_PRICE"),"--")</f>
        <v/>
      </c>
      <c r="AA206" s="7">
        <f>IFERROR(Z206-Y206,"--")</f>
        <v/>
      </c>
      <c r="AB206" s="8">
        <f>IFERROR((AA206-R206)/(S206-R206)*100,"--")</f>
        <v/>
      </c>
    </row>
    <row r="207">
      <c r="A207" t="inlineStr">
        <is>
          <t>LNC</t>
        </is>
      </c>
      <c r="B207" t="inlineStr">
        <is>
          <t>IG</t>
        </is>
      </c>
      <c r="C207" t="inlineStr">
        <is>
          <t>LNC 5.852 03/15/34</t>
        </is>
      </c>
      <c r="D207" t="inlineStr">
        <is>
          <t>LNC CDS USD SR 5Y D14 Corp</t>
        </is>
      </c>
      <c r="E207" t="inlineStr">
        <is>
          <t>US534187BT58</t>
        </is>
      </c>
      <c r="F207" s="2" t="n">
        <v>45659</v>
      </c>
      <c r="G207" s="2" t="n">
        <v>46225</v>
      </c>
      <c r="H207" s="2" t="n">
        <v>49115</v>
      </c>
      <c r="I207" s="3" t="n">
        <v>173.6935</v>
      </c>
      <c r="J207" s="3" t="n">
        <v>135.188</v>
      </c>
      <c r="K207" s="3" t="n">
        <v>116.22</v>
      </c>
      <c r="L207" s="3" t="n">
        <v>107.049</v>
      </c>
      <c r="M207" s="3" t="n">
        <v>57.4735</v>
      </c>
      <c r="N207" s="3" t="n">
        <v>17.91370000000001</v>
      </c>
      <c r="O207" s="3" t="n">
        <v>78.206</v>
      </c>
      <c r="P207" s="4" t="n">
        <v>65.61335361231865</v>
      </c>
      <c r="Q207" s="3" t="n">
        <v>18.96799999999999</v>
      </c>
      <c r="R207" s="3" t="n">
        <v>-6.341999999999999</v>
      </c>
      <c r="S207" s="3" t="n">
        <v>41.91970000000001</v>
      </c>
      <c r="T207" s="4" t="n">
        <v>52.44324174241684</v>
      </c>
      <c r="U207" s="5">
        <f>IFERROR(BDP(E207&amp;" Corp","LAST_PRICE"),"--")</f>
        <v/>
      </c>
      <c r="V207" s="6">
        <f>IFERROR(BDP(E207&amp;" Corp","YAS_BENCHMARK_BOND_ISIN"),"--")</f>
        <v/>
      </c>
      <c r="W207" s="5">
        <f>IFERROR(BDP(V207&amp;" CORP","LAST_PRICE"),"--")</f>
        <v/>
      </c>
      <c r="X207" s="7">
        <f>IFERROR(BDP(E207&amp;" Corp","YAS_YLD_SPREAD","YAS_BOND_PX="&amp;U207,"YAS_BNCHMRK_BOND_PX="&amp;W207),"--")</f>
        <v/>
      </c>
      <c r="Y207" s="7">
        <f>IFERROR(BDP(E207&amp;" Corp","BLOOMBERG_MID_G_SPREAD","YAS_BOND_PX="&amp;U207,"YAS_BNCHMRK_BOND_PX="&amp;W207),"--")</f>
        <v/>
      </c>
      <c r="Z207" s="7">
        <f>IFERROR(BDP(D207,"LAST_PRICE"),"--")</f>
        <v/>
      </c>
      <c r="AA207" s="7">
        <f>IFERROR(Z207-Y207,"--")</f>
        <v/>
      </c>
      <c r="AB207" s="8">
        <f>IFERROR((AA207-R207)/(S207-R207)*100,"--")</f>
        <v/>
      </c>
    </row>
    <row r="208">
      <c r="A208" t="inlineStr">
        <is>
          <t>LOW</t>
        </is>
      </c>
      <c r="B208" t="inlineStr">
        <is>
          <t>IG</t>
        </is>
      </c>
      <c r="C208" t="inlineStr">
        <is>
          <t>LOW 5 04/15/33</t>
        </is>
      </c>
      <c r="D208" t="inlineStr">
        <is>
          <t>LOW CDS USD SR 5Y D14 Corp</t>
        </is>
      </c>
      <c r="E208" t="inlineStr">
        <is>
          <t>US548661EL74</t>
        </is>
      </c>
      <c r="F208" s="2" t="n">
        <v>45659</v>
      </c>
      <c r="G208" s="2" t="n">
        <v>46225</v>
      </c>
      <c r="H208" s="2" t="n">
        <v>48750</v>
      </c>
      <c r="I208" s="3" t="n">
        <v>41.5447</v>
      </c>
      <c r="J208" s="3" t="n">
        <v>29.7651</v>
      </c>
      <c r="K208" s="3" t="n">
        <v>64.11799999999999</v>
      </c>
      <c r="L208" s="3" t="n">
        <v>52.256</v>
      </c>
      <c r="M208" s="3" t="n">
        <v>-22.5733</v>
      </c>
      <c r="N208" s="3" t="n">
        <v>-47.492</v>
      </c>
      <c r="O208" s="3" t="n">
        <v>-6.429500000000004</v>
      </c>
      <c r="P208" s="4" t="n">
        <v>60.68480974124812</v>
      </c>
      <c r="Q208" s="3" t="n">
        <v>-34.35289999999999</v>
      </c>
      <c r="R208" s="3" t="n">
        <v>-57.4588</v>
      </c>
      <c r="S208" s="3" t="n">
        <v>-17.3341</v>
      </c>
      <c r="T208" s="4" t="n">
        <v>57.58522805154931</v>
      </c>
      <c r="U208" s="5">
        <f>IFERROR(BDP(E208&amp;" Corp","LAST_PRICE"),"--")</f>
        <v/>
      </c>
      <c r="V208" s="6">
        <f>IFERROR(BDP(E208&amp;" Corp","YAS_BENCHMARK_BOND_ISIN"),"--")</f>
        <v/>
      </c>
      <c r="W208" s="5">
        <f>IFERROR(BDP(V208&amp;" CORP","LAST_PRICE"),"--")</f>
        <v/>
      </c>
      <c r="X208" s="7">
        <f>IFERROR(BDP(E208&amp;" Corp","YAS_YLD_SPREAD","YAS_BOND_PX="&amp;U208,"YAS_BNCHMRK_BOND_PX="&amp;W208),"--")</f>
        <v/>
      </c>
      <c r="Y208" s="7">
        <f>IFERROR(BDP(E208&amp;" Corp","BLOOMBERG_MID_G_SPREAD","YAS_BOND_PX="&amp;U208,"YAS_BNCHMRK_BOND_PX="&amp;W208),"--")</f>
        <v/>
      </c>
      <c r="Z208" s="7">
        <f>IFERROR(BDP(D208,"LAST_PRICE"),"--")</f>
        <v/>
      </c>
      <c r="AA208" s="7">
        <f>IFERROR(Z208-Y208,"--")</f>
        <v/>
      </c>
      <c r="AB208" s="8">
        <f>IFERROR((AA208-R208)/(S208-R208)*100,"--")</f>
        <v/>
      </c>
    </row>
    <row r="209">
      <c r="A209" t="inlineStr">
        <is>
          <t>LUV</t>
        </is>
      </c>
      <c r="B209" t="inlineStr">
        <is>
          <t>IG</t>
        </is>
      </c>
      <c r="C209" t="inlineStr">
        <is>
          <t>LUV 5 1/4 11/15/35</t>
        </is>
      </c>
      <c r="D209" t="inlineStr">
        <is>
          <t>LUV CDS USD SR 5Y D14 Corp</t>
        </is>
      </c>
      <c r="E209" t="inlineStr">
        <is>
          <t>US844741BM99</t>
        </is>
      </c>
      <c r="F209" s="2" t="n">
        <v>45957</v>
      </c>
      <c r="G209" s="2" t="n">
        <v>46225</v>
      </c>
      <c r="H209" s="2" t="n">
        <v>49663</v>
      </c>
      <c r="I209" s="3" t="n">
        <v>132.5738</v>
      </c>
      <c r="J209" s="3" t="n">
        <v>89.1896</v>
      </c>
      <c r="K209" s="3" t="n">
        <v>135.585</v>
      </c>
      <c r="L209" s="3" t="n">
        <v>135.974</v>
      </c>
      <c r="M209" s="3" t="n">
        <v>-3.011200000000002</v>
      </c>
      <c r="N209" s="3" t="n">
        <v>-7.132300000000015</v>
      </c>
      <c r="O209" s="3" t="n">
        <v>20.04539999999999</v>
      </c>
      <c r="P209" s="4" t="n">
        <v>15.16353480978895</v>
      </c>
      <c r="Q209" s="3" t="n">
        <v>-46.39540000000001</v>
      </c>
      <c r="R209" s="3" t="n">
        <v>-49.37200000000001</v>
      </c>
      <c r="S209" s="3" t="n">
        <v>-15.31440000000001</v>
      </c>
      <c r="T209" s="4" t="n">
        <v>8.739899464436732</v>
      </c>
      <c r="U209" s="5">
        <f>IFERROR(BDP(E209&amp;" Corp","LAST_PRICE"),"--")</f>
        <v/>
      </c>
      <c r="V209" s="6">
        <f>IFERROR(BDP(E209&amp;" Corp","YAS_BENCHMARK_BOND_ISIN"),"--")</f>
        <v/>
      </c>
      <c r="W209" s="5">
        <f>IFERROR(BDP(V209&amp;" CORP","LAST_PRICE"),"--")</f>
        <v/>
      </c>
      <c r="X209" s="7">
        <f>IFERROR(BDP(E209&amp;" Corp","YAS_YLD_SPREAD","YAS_BOND_PX="&amp;U209,"YAS_BNCHMRK_BOND_PX="&amp;W209),"--")</f>
        <v/>
      </c>
      <c r="Y209" s="7">
        <f>IFERROR(BDP(E209&amp;" Corp","BLOOMBERG_MID_G_SPREAD","YAS_BOND_PX="&amp;U209,"YAS_BNCHMRK_BOND_PX="&amp;W209),"--")</f>
        <v/>
      </c>
      <c r="Z209" s="7">
        <f>IFERROR(BDP(D209,"LAST_PRICE"),"--")</f>
        <v/>
      </c>
      <c r="AA209" s="7">
        <f>IFERROR(Z209-Y209,"--")</f>
        <v/>
      </c>
      <c r="AB209" s="8">
        <f>IFERROR((AA209-R209)/(S209-R209)*100,"--")</f>
        <v/>
      </c>
    </row>
    <row r="210">
      <c r="A210" t="inlineStr">
        <is>
          <t>MCD</t>
        </is>
      </c>
      <c r="B210" t="inlineStr">
        <is>
          <t>IG</t>
        </is>
      </c>
      <c r="C210" t="inlineStr">
        <is>
          <t>MCD 4.95 08/14/33</t>
        </is>
      </c>
      <c r="D210" t="inlineStr">
        <is>
          <t>MCD CDS USD SR 5Y D14 Corp</t>
        </is>
      </c>
      <c r="E210" t="inlineStr">
        <is>
          <t>US58013MFV19</t>
        </is>
      </c>
      <c r="F210" s="2" t="n">
        <v>45659</v>
      </c>
      <c r="G210" s="2" t="n">
        <v>46225</v>
      </c>
      <c r="H210" s="2" t="n">
        <v>48933</v>
      </c>
      <c r="I210" s="3" t="n">
        <v>32.9693</v>
      </c>
      <c r="J210" s="3" t="n">
        <v>22.1668</v>
      </c>
      <c r="K210" s="3" t="n">
        <v>40.577</v>
      </c>
      <c r="L210" s="3" t="n">
        <v>28.957</v>
      </c>
      <c r="M210" s="3" t="n">
        <v>-7.607700000000001</v>
      </c>
      <c r="N210" s="3" t="n">
        <v>-39.78580000000001</v>
      </c>
      <c r="O210" s="3" t="n">
        <v>-1.631599999999999</v>
      </c>
      <c r="P210" s="4" t="n">
        <v>84.33697993929896</v>
      </c>
      <c r="Q210" s="3" t="n">
        <v>-18.4102</v>
      </c>
      <c r="R210" s="3" t="n">
        <v>-49.86130000000001</v>
      </c>
      <c r="S210" s="3" t="n">
        <v>-13.3521</v>
      </c>
      <c r="T210" s="4" t="n">
        <v>86.14568382763797</v>
      </c>
      <c r="U210" s="5">
        <f>IFERROR(BDP(E210&amp;" Corp","LAST_PRICE"),"--")</f>
        <v/>
      </c>
      <c r="V210" s="6">
        <f>IFERROR(BDP(E210&amp;" Corp","YAS_BENCHMARK_BOND_ISIN"),"--")</f>
        <v/>
      </c>
      <c r="W210" s="5">
        <f>IFERROR(BDP(V210&amp;" CORP","LAST_PRICE"),"--")</f>
        <v/>
      </c>
      <c r="X210" s="7">
        <f>IFERROR(BDP(E210&amp;" Corp","YAS_YLD_SPREAD","YAS_BOND_PX="&amp;U210,"YAS_BNCHMRK_BOND_PX="&amp;W210),"--")</f>
        <v/>
      </c>
      <c r="Y210" s="7">
        <f>IFERROR(BDP(E210&amp;" Corp","BLOOMBERG_MID_G_SPREAD","YAS_BOND_PX="&amp;U210,"YAS_BNCHMRK_BOND_PX="&amp;W210),"--")</f>
        <v/>
      </c>
      <c r="Z210" s="7">
        <f>IFERROR(BDP(D210,"LAST_PRICE"),"--")</f>
        <v/>
      </c>
      <c r="AA210" s="7">
        <f>IFERROR(Z210-Y210,"--")</f>
        <v/>
      </c>
      <c r="AB210" s="8">
        <f>IFERROR((AA210-R210)/(S210-R210)*100,"--")</f>
        <v/>
      </c>
    </row>
    <row r="211">
      <c r="A211" t="inlineStr">
        <is>
          <t>MCK</t>
        </is>
      </c>
      <c r="B211" t="inlineStr">
        <is>
          <t>IG</t>
        </is>
      </c>
      <c r="C211" t="inlineStr">
        <is>
          <t>MCK 4.95 05/30/32</t>
        </is>
      </c>
      <c r="D211" t="inlineStr">
        <is>
          <t>MCK CDS USD SR 5Y D14 Corp</t>
        </is>
      </c>
      <c r="E211" t="inlineStr">
        <is>
          <t>US581557BX22</t>
        </is>
      </c>
      <c r="F211" s="2" t="n">
        <v>45797</v>
      </c>
      <c r="G211" s="2" t="n">
        <v>46225</v>
      </c>
      <c r="H211" s="2" t="n">
        <v>48385</v>
      </c>
      <c r="I211" s="3" t="n">
        <v>36.2908</v>
      </c>
      <c r="J211" s="3" t="n">
        <v>26.4362</v>
      </c>
      <c r="K211" s="3" t="n">
        <v>53.624</v>
      </c>
      <c r="L211" s="3" t="n">
        <v>59.312</v>
      </c>
      <c r="M211" s="3" t="n">
        <v>-17.33320000000001</v>
      </c>
      <c r="N211" s="3" t="n">
        <v>-27.76819999999999</v>
      </c>
      <c r="O211" s="3" t="n">
        <v>-4.304899999999996</v>
      </c>
      <c r="P211" s="4" t="n">
        <v>44.47371000669126</v>
      </c>
      <c r="Q211" s="3" t="n">
        <v>-27.1878</v>
      </c>
      <c r="R211" s="3" t="n">
        <v>-33.8137</v>
      </c>
      <c r="S211" s="3" t="n">
        <v>-14.3758</v>
      </c>
      <c r="T211" s="4" t="n">
        <v>34.0875300315363</v>
      </c>
      <c r="U211" s="5">
        <f>IFERROR(BDP(E211&amp;" Corp","LAST_PRICE"),"--")</f>
        <v/>
      </c>
      <c r="V211" s="6">
        <f>IFERROR(BDP(E211&amp;" Corp","YAS_BENCHMARK_BOND_ISIN"),"--")</f>
        <v/>
      </c>
      <c r="W211" s="5">
        <f>IFERROR(BDP(V211&amp;" CORP","LAST_PRICE"),"--")</f>
        <v/>
      </c>
      <c r="X211" s="7">
        <f>IFERROR(BDP(E211&amp;" Corp","YAS_YLD_SPREAD","YAS_BOND_PX="&amp;U211,"YAS_BNCHMRK_BOND_PX="&amp;W211),"--")</f>
        <v/>
      </c>
      <c r="Y211" s="7">
        <f>IFERROR(BDP(E211&amp;" Corp","BLOOMBERG_MID_G_SPREAD","YAS_BOND_PX="&amp;U211,"YAS_BNCHMRK_BOND_PX="&amp;W211),"--")</f>
        <v/>
      </c>
      <c r="Z211" s="7">
        <f>IFERROR(BDP(D211,"LAST_PRICE"),"--")</f>
        <v/>
      </c>
      <c r="AA211" s="7">
        <f>IFERROR(Z211-Y211,"--")</f>
        <v/>
      </c>
      <c r="AB211" s="8">
        <f>IFERROR((AA211-R211)/(S211-R211)*100,"--")</f>
        <v/>
      </c>
    </row>
    <row r="212">
      <c r="A212" t="inlineStr">
        <is>
          <t>MDLZ</t>
        </is>
      </c>
      <c r="B212" t="inlineStr">
        <is>
          <t>IG</t>
        </is>
      </c>
      <c r="C212" t="inlineStr">
        <is>
          <t>MDLZ 4 3/4 08/28/34</t>
        </is>
      </c>
      <c r="D212" t="inlineStr">
        <is>
          <t>KRAFT CDS USD SR 5Y D14 Corp</t>
        </is>
      </c>
      <c r="E212" t="inlineStr">
        <is>
          <t>US609207BE44</t>
        </is>
      </c>
      <c r="F212" s="2" t="n">
        <v>45659</v>
      </c>
      <c r="G212" s="2" t="n">
        <v>46225</v>
      </c>
      <c r="H212" s="2" t="n">
        <v>49298</v>
      </c>
      <c r="I212" s="3" t="n">
        <v>58.2247</v>
      </c>
      <c r="J212" s="3" t="n">
        <v>35.8749</v>
      </c>
      <c r="K212" s="3" t="n">
        <v>67.53400000000001</v>
      </c>
      <c r="L212" s="3" t="n">
        <v>61.306</v>
      </c>
      <c r="M212" s="3" t="n">
        <v>-9.309300000000007</v>
      </c>
      <c r="N212" s="3" t="n">
        <v>-19.5908</v>
      </c>
      <c r="O212" s="3" t="n">
        <v>5.144999999999996</v>
      </c>
      <c r="P212" s="4" t="n">
        <v>41.56526168549226</v>
      </c>
      <c r="Q212" s="3" t="n">
        <v>-31.65910000000001</v>
      </c>
      <c r="R212" s="3" t="n">
        <v>-38.93340000000001</v>
      </c>
      <c r="S212" s="3" t="n">
        <v>-14.92120000000001</v>
      </c>
      <c r="T212" s="4" t="n">
        <v>30.29418378990678</v>
      </c>
      <c r="U212" s="5">
        <f>IFERROR(BDP(E212&amp;" Corp","LAST_PRICE"),"--")</f>
        <v/>
      </c>
      <c r="V212" s="6">
        <f>IFERROR(BDP(E212&amp;" Corp","YAS_BENCHMARK_BOND_ISIN"),"--")</f>
        <v/>
      </c>
      <c r="W212" s="5">
        <f>IFERROR(BDP(V212&amp;" CORP","LAST_PRICE"),"--")</f>
        <v/>
      </c>
      <c r="X212" s="7">
        <f>IFERROR(BDP(E212&amp;" Corp","YAS_YLD_SPREAD","YAS_BOND_PX="&amp;U212,"YAS_BNCHMRK_BOND_PX="&amp;W212),"--")</f>
        <v/>
      </c>
      <c r="Y212" s="7">
        <f>IFERROR(BDP(E212&amp;" Corp","BLOOMBERG_MID_G_SPREAD","YAS_BOND_PX="&amp;U212,"YAS_BNCHMRK_BOND_PX="&amp;W212),"--")</f>
        <v/>
      </c>
      <c r="Z212" s="7">
        <f>IFERROR(BDP(D212,"LAST_PRICE"),"--")</f>
        <v/>
      </c>
      <c r="AA212" s="7">
        <f>IFERROR(Z212-Y212,"--")</f>
        <v/>
      </c>
      <c r="AB212" s="8">
        <f>IFERROR((AA212-R212)/(S212-R212)*100,"--")</f>
        <v/>
      </c>
    </row>
    <row r="213">
      <c r="A213" t="inlineStr">
        <is>
          <t>MET</t>
        </is>
      </c>
      <c r="B213" t="inlineStr">
        <is>
          <t>IG</t>
        </is>
      </c>
      <c r="C213" t="inlineStr">
        <is>
          <t>MET 5 3/8 07/15/33</t>
        </is>
      </c>
      <c r="D213" t="inlineStr">
        <is>
          <t>MET CDS USD SR 5Y D14 Corp</t>
        </is>
      </c>
      <c r="E213" t="inlineStr">
        <is>
          <t>US59156RCE62</t>
        </is>
      </c>
      <c r="F213" s="2" t="n">
        <v>45659</v>
      </c>
      <c r="G213" s="2" t="n">
        <v>46225</v>
      </c>
      <c r="H213" s="2" t="n">
        <v>48933</v>
      </c>
      <c r="I213" s="3" t="n">
        <v>94.33280000000001</v>
      </c>
      <c r="J213" s="3" t="n">
        <v>70.2847</v>
      </c>
      <c r="K213" s="3" t="n">
        <v>54.902</v>
      </c>
      <c r="L213" s="3" t="n">
        <v>42.094</v>
      </c>
      <c r="M213" s="3" t="n">
        <v>39.4308</v>
      </c>
      <c r="N213" s="3" t="n">
        <v>6.053799999999995</v>
      </c>
      <c r="O213" s="3" t="n">
        <v>57.59270000000001</v>
      </c>
      <c r="P213" s="4" t="n">
        <v>64.76079233355776</v>
      </c>
      <c r="Q213" s="3" t="n">
        <v>15.3827</v>
      </c>
      <c r="R213" s="3" t="n">
        <v>-11.6071</v>
      </c>
      <c r="S213" s="3" t="n">
        <v>32.55080000000001</v>
      </c>
      <c r="T213" s="4" t="n">
        <v>61.12111309641083</v>
      </c>
      <c r="U213" s="5">
        <f>IFERROR(BDP(E213&amp;" Corp","LAST_PRICE"),"--")</f>
        <v/>
      </c>
      <c r="V213" s="6">
        <f>IFERROR(BDP(E213&amp;" Corp","YAS_BENCHMARK_BOND_ISIN"),"--")</f>
        <v/>
      </c>
      <c r="W213" s="5">
        <f>IFERROR(BDP(V213&amp;" CORP","LAST_PRICE"),"--")</f>
        <v/>
      </c>
      <c r="X213" s="7">
        <f>IFERROR(BDP(E213&amp;" Corp","YAS_YLD_SPREAD","YAS_BOND_PX="&amp;U213,"YAS_BNCHMRK_BOND_PX="&amp;W213),"--")</f>
        <v/>
      </c>
      <c r="Y213" s="7">
        <f>IFERROR(BDP(E213&amp;" Corp","BLOOMBERG_MID_G_SPREAD","YAS_BOND_PX="&amp;U213,"YAS_BNCHMRK_BOND_PX="&amp;W213),"--")</f>
        <v/>
      </c>
      <c r="Z213" s="7">
        <f>IFERROR(BDP(D213,"LAST_PRICE"),"--")</f>
        <v/>
      </c>
      <c r="AA213" s="7">
        <f>IFERROR(Z213-Y213,"--")</f>
        <v/>
      </c>
      <c r="AB213" s="8">
        <f>IFERROR((AA213-R213)/(S213-R213)*100,"--")</f>
        <v/>
      </c>
    </row>
    <row r="214">
      <c r="A214" t="inlineStr">
        <is>
          <t>META</t>
        </is>
      </c>
      <c r="B214" t="inlineStr">
        <is>
          <t>IG</t>
        </is>
      </c>
      <c r="C214" t="inlineStr">
        <is>
          <t>META 4.55 08/15/31</t>
        </is>
      </c>
      <c r="D214" t="inlineStr">
        <is>
          <t>META CDS USD SR 5Y D14 Corp</t>
        </is>
      </c>
      <c r="E214" t="inlineStr">
        <is>
          <t>US30303M8T23</t>
        </is>
      </c>
      <c r="F214" s="2" t="n">
        <v>46099</v>
      </c>
      <c r="G214" s="2" t="n">
        <v>46225</v>
      </c>
      <c r="H214" s="2" t="n">
        <v>48202</v>
      </c>
      <c r="I214" s="3" t="n">
        <v>85.68259999999999</v>
      </c>
      <c r="J214" s="3" t="n">
        <v>79.8077</v>
      </c>
      <c r="K214" s="3" t="n">
        <v>54.904</v>
      </c>
      <c r="L214" s="3" t="n">
        <v>59.509</v>
      </c>
      <c r="M214" s="3" t="n">
        <v>30.77859999999999</v>
      </c>
      <c r="N214" s="3" t="n">
        <v>21.9325</v>
      </c>
      <c r="O214" s="3" t="n">
        <v>37.85019999999999</v>
      </c>
      <c r="P214" s="4" t="n">
        <v>55.57398367854649</v>
      </c>
      <c r="Q214" s="3" t="n">
        <v>24.90369999999999</v>
      </c>
      <c r="R214" s="3" t="n">
        <v>17.055</v>
      </c>
      <c r="S214" s="3" t="n">
        <v>32.35279999999999</v>
      </c>
      <c r="T214" s="4" t="n">
        <v>51.30607015387832</v>
      </c>
      <c r="U214" s="5">
        <f>IFERROR(BDP(E214&amp;" Corp","LAST_PRICE"),"--")</f>
        <v/>
      </c>
      <c r="V214" s="6">
        <f>IFERROR(BDP(E214&amp;" Corp","YAS_BENCHMARK_BOND_ISIN"),"--")</f>
        <v/>
      </c>
      <c r="W214" s="5">
        <f>IFERROR(BDP(V214&amp;" CORP","LAST_PRICE"),"--")</f>
        <v/>
      </c>
      <c r="X214" s="7">
        <f>IFERROR(BDP(E214&amp;" Corp","YAS_YLD_SPREAD","YAS_BOND_PX="&amp;U214,"YAS_BNCHMRK_BOND_PX="&amp;W214),"--")</f>
        <v/>
      </c>
      <c r="Y214" s="7">
        <f>IFERROR(BDP(E214&amp;" Corp","BLOOMBERG_MID_G_SPREAD","YAS_BOND_PX="&amp;U214,"YAS_BNCHMRK_BOND_PX="&amp;W214),"--")</f>
        <v/>
      </c>
      <c r="Z214" s="7">
        <f>IFERROR(BDP(D214,"LAST_PRICE"),"--")</f>
        <v/>
      </c>
      <c r="AA214" s="7">
        <f>IFERROR(Z214-Y214,"--")</f>
        <v/>
      </c>
      <c r="AB214" s="8">
        <f>IFERROR((AA214-R214)/(S214-R214)*100,"--")</f>
        <v/>
      </c>
    </row>
    <row r="215">
      <c r="A215" t="inlineStr">
        <is>
          <t>MO</t>
        </is>
      </c>
      <c r="B215" t="inlineStr">
        <is>
          <t>IG</t>
        </is>
      </c>
      <c r="C215" t="inlineStr">
        <is>
          <t>MO 6 7/8 11/01/33</t>
        </is>
      </c>
      <c r="D215" t="inlineStr">
        <is>
          <t>ALTRIA CDS USD SR 5Y D14 Corp</t>
        </is>
      </c>
      <c r="E215" t="inlineStr">
        <is>
          <t>US02209SBR31</t>
        </is>
      </c>
      <c r="F215" s="2" t="n">
        <v>45659</v>
      </c>
      <c r="G215" s="2" t="n">
        <v>46225</v>
      </c>
      <c r="H215" s="2" t="n">
        <v>48933</v>
      </c>
      <c r="I215" s="3" t="n">
        <v>50.3464</v>
      </c>
      <c r="J215" s="3" t="n">
        <v>30.6959</v>
      </c>
      <c r="K215" s="3" t="n">
        <v>76.128</v>
      </c>
      <c r="L215" s="3" t="n">
        <v>64.932</v>
      </c>
      <c r="M215" s="3" t="n">
        <v>-25.7816</v>
      </c>
      <c r="N215" s="3" t="n">
        <v>-70.71720000000001</v>
      </c>
      <c r="O215" s="3" t="n">
        <v>-14.3803</v>
      </c>
      <c r="P215" s="4" t="n">
        <v>79.76228723980198</v>
      </c>
      <c r="Q215" s="3" t="n">
        <v>-45.4321</v>
      </c>
      <c r="R215" s="3" t="n">
        <v>-87.94880000000001</v>
      </c>
      <c r="S215" s="3" t="n">
        <v>-34.7889</v>
      </c>
      <c r="T215" s="4" t="n">
        <v>79.97889386548884</v>
      </c>
      <c r="U215" s="5">
        <f>IFERROR(BDP(E215&amp;" Corp","LAST_PRICE"),"--")</f>
        <v/>
      </c>
      <c r="V215" s="6">
        <f>IFERROR(BDP(E215&amp;" Corp","YAS_BENCHMARK_BOND_ISIN"),"--")</f>
        <v/>
      </c>
      <c r="W215" s="5">
        <f>IFERROR(BDP(V215&amp;" CORP","LAST_PRICE"),"--")</f>
        <v/>
      </c>
      <c r="X215" s="7">
        <f>IFERROR(BDP(E215&amp;" Corp","YAS_YLD_SPREAD","YAS_BOND_PX="&amp;U215,"YAS_BNCHMRK_BOND_PX="&amp;W215),"--")</f>
        <v/>
      </c>
      <c r="Y215" s="7">
        <f>IFERROR(BDP(E215&amp;" Corp","BLOOMBERG_MID_G_SPREAD","YAS_BOND_PX="&amp;U215,"YAS_BNCHMRK_BOND_PX="&amp;W215),"--")</f>
        <v/>
      </c>
      <c r="Z215" s="7">
        <f>IFERROR(BDP(D215,"LAST_PRICE"),"--")</f>
        <v/>
      </c>
      <c r="AA215" s="7">
        <f>IFERROR(Z215-Y215,"--")</f>
        <v/>
      </c>
      <c r="AB215" s="8">
        <f>IFERROR((AA215-R215)/(S215-R215)*100,"--")</f>
        <v/>
      </c>
    </row>
    <row r="216">
      <c r="A216" t="inlineStr">
        <is>
          <t>MPC</t>
        </is>
      </c>
      <c r="B216" t="inlineStr">
        <is>
          <t>IG</t>
        </is>
      </c>
      <c r="C216" t="inlineStr">
        <is>
          <t>MPC 5.7 03/01/35</t>
        </is>
      </c>
      <c r="D216" t="inlineStr">
        <is>
          <t>MPC CDS USD SR 5Y D14 Corp</t>
        </is>
      </c>
      <c r="E216" t="inlineStr">
        <is>
          <t>US56585ABL52</t>
        </is>
      </c>
      <c r="F216" s="2" t="n">
        <v>45736</v>
      </c>
      <c r="G216" s="2" t="n">
        <v>46225</v>
      </c>
      <c r="H216" s="2" t="n">
        <v>49480</v>
      </c>
      <c r="I216" s="3" t="n">
        <v>89.50960000000001</v>
      </c>
      <c r="J216" s="3" t="n">
        <v>52.375</v>
      </c>
      <c r="K216" s="3" t="n">
        <v>89.94</v>
      </c>
      <c r="L216" s="3" t="n">
        <v>83.867</v>
      </c>
      <c r="M216" s="3" t="n">
        <v>-0.4303999999999917</v>
      </c>
      <c r="N216" s="3" t="n">
        <v>-60.15219999999999</v>
      </c>
      <c r="O216" s="3" t="n">
        <v>4.7714</v>
      </c>
      <c r="P216" s="4" t="n">
        <v>91.98781336832832</v>
      </c>
      <c r="Q216" s="3" t="n">
        <v>-37.565</v>
      </c>
      <c r="R216" s="3" t="n">
        <v>-88.78019999999999</v>
      </c>
      <c r="S216" s="3" t="n">
        <v>-33.06789999999999</v>
      </c>
      <c r="T216" s="4" t="n">
        <v>91.92799435672194</v>
      </c>
      <c r="U216" s="5">
        <f>IFERROR(BDP(E216&amp;" Corp","LAST_PRICE"),"--")</f>
        <v/>
      </c>
      <c r="V216" s="6">
        <f>IFERROR(BDP(E216&amp;" Corp","YAS_BENCHMARK_BOND_ISIN"),"--")</f>
        <v/>
      </c>
      <c r="W216" s="5">
        <f>IFERROR(BDP(V216&amp;" CORP","LAST_PRICE"),"--")</f>
        <v/>
      </c>
      <c r="X216" s="7">
        <f>IFERROR(BDP(E216&amp;" Corp","YAS_YLD_SPREAD","YAS_BOND_PX="&amp;U216,"YAS_BNCHMRK_BOND_PX="&amp;W216),"--")</f>
        <v/>
      </c>
      <c r="Y216" s="7">
        <f>IFERROR(BDP(E216&amp;" Corp","BLOOMBERG_MID_G_SPREAD","YAS_BOND_PX="&amp;U216,"YAS_BNCHMRK_BOND_PX="&amp;W216),"--")</f>
        <v/>
      </c>
      <c r="Z216" s="7">
        <f>IFERROR(BDP(D216,"LAST_PRICE"),"--")</f>
        <v/>
      </c>
      <c r="AA216" s="7">
        <f>IFERROR(Z216-Y216,"--")</f>
        <v/>
      </c>
      <c r="AB216" s="8">
        <f>IFERROR((AA216-R216)/(S216-R216)*100,"--")</f>
        <v/>
      </c>
    </row>
    <row r="217">
      <c r="A217" t="inlineStr">
        <is>
          <t>MSFT</t>
        </is>
      </c>
      <c r="B217" t="inlineStr">
        <is>
          <t>IG</t>
        </is>
      </c>
      <c r="C217" t="inlineStr">
        <is>
          <t>MSFT 3 1/2 02/12/35</t>
        </is>
      </c>
      <c r="D217" t="inlineStr">
        <is>
          <t>MSFT CDS USD SR 5Y D14 Corp</t>
        </is>
      </c>
      <c r="E217" t="inlineStr">
        <is>
          <t>US594918BC73</t>
        </is>
      </c>
      <c r="F217" s="2" t="n">
        <v>46099</v>
      </c>
      <c r="G217" s="2" t="n">
        <v>46225</v>
      </c>
      <c r="H217" s="2" t="n">
        <v>49480</v>
      </c>
      <c r="I217" s="3" t="n">
        <v>64.5424</v>
      </c>
      <c r="J217" s="3" t="n">
        <v>47.7401</v>
      </c>
      <c r="K217" s="3" t="n">
        <v>32.313</v>
      </c>
      <c r="L217" s="3" t="n">
        <v>32.921</v>
      </c>
      <c r="M217" s="3" t="n">
        <v>32.2294</v>
      </c>
      <c r="N217" s="3" t="n">
        <v>29.3175</v>
      </c>
      <c r="O217" s="3" t="n">
        <v>47.6072</v>
      </c>
      <c r="P217" s="4" t="n">
        <v>15.92098284826979</v>
      </c>
      <c r="Q217" s="3" t="n">
        <v>15.4271</v>
      </c>
      <c r="R217" s="3" t="n">
        <v>15.11539999999999</v>
      </c>
      <c r="S217" s="3" t="n">
        <v>31.9898</v>
      </c>
      <c r="T217" s="4" t="n">
        <v>1.847176788508046</v>
      </c>
      <c r="U217" s="5">
        <f>IFERROR(BDP(E217&amp;" Corp","LAST_PRICE"),"--")</f>
        <v/>
      </c>
      <c r="V217" s="6">
        <f>IFERROR(BDP(E217&amp;" Corp","YAS_BENCHMARK_BOND_ISIN"),"--")</f>
        <v/>
      </c>
      <c r="W217" s="5">
        <f>IFERROR(BDP(V217&amp;" CORP","LAST_PRICE"),"--")</f>
        <v/>
      </c>
      <c r="X217" s="7">
        <f>IFERROR(BDP(E217&amp;" Corp","YAS_YLD_SPREAD","YAS_BOND_PX="&amp;U217,"YAS_BNCHMRK_BOND_PX="&amp;W217),"--")</f>
        <v/>
      </c>
      <c r="Y217" s="7">
        <f>IFERROR(BDP(E217&amp;" Corp","BLOOMBERG_MID_G_SPREAD","YAS_BOND_PX="&amp;U217,"YAS_BNCHMRK_BOND_PX="&amp;W217),"--")</f>
        <v/>
      </c>
      <c r="Z217" s="7">
        <f>IFERROR(BDP(D217,"LAST_PRICE"),"--")</f>
        <v/>
      </c>
      <c r="AA217" s="7">
        <f>IFERROR(Z217-Y217,"--")</f>
        <v/>
      </c>
      <c r="AB217" s="8">
        <f>IFERROR((AA217-R217)/(S217-R217)*100,"--")</f>
        <v/>
      </c>
    </row>
    <row r="218">
      <c r="A218" t="inlineStr">
        <is>
          <t>MSI</t>
        </is>
      </c>
      <c r="B218" t="inlineStr">
        <is>
          <t>IG</t>
        </is>
      </c>
      <c r="C218" t="inlineStr">
        <is>
          <t>MSI 5.6 06/01/32</t>
        </is>
      </c>
      <c r="D218" t="inlineStr">
        <is>
          <t>MSI CDS USD SR 5Y D14 Corp</t>
        </is>
      </c>
      <c r="E218" t="inlineStr">
        <is>
          <t>US620076BW88</t>
        </is>
      </c>
      <c r="F218" s="2" t="n">
        <v>45659</v>
      </c>
      <c r="G218" s="2" t="n">
        <v>46225</v>
      </c>
      <c r="H218" s="2" t="n">
        <v>48385</v>
      </c>
      <c r="I218" s="3" t="n">
        <v>43.6521</v>
      </c>
      <c r="J218" s="3" t="n">
        <v>36.6246</v>
      </c>
      <c r="K218" s="3" t="n">
        <v>78.23699999999999</v>
      </c>
      <c r="L218" s="3" t="n">
        <v>84.422</v>
      </c>
      <c r="M218" s="3" t="n">
        <v>-34.5849</v>
      </c>
      <c r="N218" s="3" t="n">
        <v>-61.41079999999999</v>
      </c>
      <c r="O218" s="3" t="n">
        <v>-11.6947</v>
      </c>
      <c r="P218" s="4" t="n">
        <v>53.95817451489557</v>
      </c>
      <c r="Q218" s="3" t="n">
        <v>-41.61239999999999</v>
      </c>
      <c r="R218" s="3" t="n">
        <v>-68.45739999999999</v>
      </c>
      <c r="S218" s="3" t="n">
        <v>-21.0683</v>
      </c>
      <c r="T218" s="4" t="n">
        <v>56.64804775781774</v>
      </c>
      <c r="U218" s="5">
        <f>IFERROR(BDP(E218&amp;" Corp","LAST_PRICE"),"--")</f>
        <v/>
      </c>
      <c r="V218" s="6">
        <f>IFERROR(BDP(E218&amp;" Corp","YAS_BENCHMARK_BOND_ISIN"),"--")</f>
        <v/>
      </c>
      <c r="W218" s="5">
        <f>IFERROR(BDP(V218&amp;" CORP","LAST_PRICE"),"--")</f>
        <v/>
      </c>
      <c r="X218" s="7">
        <f>IFERROR(BDP(E218&amp;" Corp","YAS_YLD_SPREAD","YAS_BOND_PX="&amp;U218,"YAS_BNCHMRK_BOND_PX="&amp;W218),"--")</f>
        <v/>
      </c>
      <c r="Y218" s="7">
        <f>IFERROR(BDP(E218&amp;" Corp","BLOOMBERG_MID_G_SPREAD","YAS_BOND_PX="&amp;U218,"YAS_BNCHMRK_BOND_PX="&amp;W218),"--")</f>
        <v/>
      </c>
      <c r="Z218" s="7">
        <f>IFERROR(BDP(D218,"LAST_PRICE"),"--")</f>
        <v/>
      </c>
      <c r="AA218" s="7">
        <f>IFERROR(Z218-Y218,"--")</f>
        <v/>
      </c>
      <c r="AB218" s="8">
        <f>IFERROR((AA218-R218)/(S218-R218)*100,"--")</f>
        <v/>
      </c>
    </row>
    <row r="219">
      <c r="A219" t="inlineStr">
        <is>
          <t>NEE</t>
        </is>
      </c>
      <c r="B219" t="inlineStr">
        <is>
          <t>IG</t>
        </is>
      </c>
      <c r="C219" t="inlineStr">
        <is>
          <t>NEE 5 1/4 03/15/34</t>
        </is>
      </c>
      <c r="D219" t="inlineStr">
        <is>
          <t>FPL CDS USD SR 5Y D14 Corp</t>
        </is>
      </c>
      <c r="E219" t="inlineStr">
        <is>
          <t>US65339KCU25</t>
        </is>
      </c>
      <c r="F219" s="2" t="n">
        <v>45659</v>
      </c>
      <c r="G219" s="2" t="n">
        <v>46225</v>
      </c>
      <c r="H219" s="2" t="n">
        <v>49115</v>
      </c>
      <c r="I219" s="3" t="n">
        <v>81.5731</v>
      </c>
      <c r="J219" s="3" t="n">
        <v>54.2912</v>
      </c>
      <c r="K219" s="3" t="n">
        <v>70.04300000000001</v>
      </c>
      <c r="L219" s="3" t="n">
        <v>63.157</v>
      </c>
      <c r="M219" s="3" t="n">
        <v>11.53009999999999</v>
      </c>
      <c r="N219" s="3" t="n">
        <v>-17.88439999999999</v>
      </c>
      <c r="O219" s="3" t="n">
        <v>21.0427</v>
      </c>
      <c r="P219" s="4" t="n">
        <v>75.56303963048876</v>
      </c>
      <c r="Q219" s="3" t="n">
        <v>-15.7518</v>
      </c>
      <c r="R219" s="3" t="n">
        <v>-39.34519999999999</v>
      </c>
      <c r="S219" s="3" t="n">
        <v>-3.711799999999997</v>
      </c>
      <c r="T219" s="4" t="n">
        <v>66.21147575027922</v>
      </c>
      <c r="U219" s="5">
        <f>IFERROR(BDP(E219&amp;" Corp","LAST_PRICE"),"--")</f>
        <v/>
      </c>
      <c r="V219" s="6">
        <f>IFERROR(BDP(E219&amp;" Corp","YAS_BENCHMARK_BOND_ISIN"),"--")</f>
        <v/>
      </c>
      <c r="W219" s="5">
        <f>IFERROR(BDP(V219&amp;" CORP","LAST_PRICE"),"--")</f>
        <v/>
      </c>
      <c r="X219" s="7">
        <f>IFERROR(BDP(E219&amp;" Corp","YAS_YLD_SPREAD","YAS_BOND_PX="&amp;U219,"YAS_BNCHMRK_BOND_PX="&amp;W219),"--")</f>
        <v/>
      </c>
      <c r="Y219" s="7">
        <f>IFERROR(BDP(E219&amp;" Corp","BLOOMBERG_MID_G_SPREAD","YAS_BOND_PX="&amp;U219,"YAS_BNCHMRK_BOND_PX="&amp;W219),"--")</f>
        <v/>
      </c>
      <c r="Z219" s="7">
        <f>IFERROR(BDP(D219,"LAST_PRICE"),"--")</f>
        <v/>
      </c>
      <c r="AA219" s="7">
        <f>IFERROR(Z219-Y219,"--")</f>
        <v/>
      </c>
      <c r="AB219" s="8">
        <f>IFERROR((AA219-R219)/(S219-R219)*100,"--")</f>
        <v/>
      </c>
    </row>
    <row r="220">
      <c r="A220" t="inlineStr">
        <is>
          <t>NEM</t>
        </is>
      </c>
      <c r="B220" t="inlineStr">
        <is>
          <t>IG</t>
        </is>
      </c>
      <c r="C220" t="inlineStr">
        <is>
          <t>NEM 5.35 03/15/34</t>
        </is>
      </c>
      <c r="D220" t="inlineStr">
        <is>
          <t>NEWMONT CDS USD SR 5Y D14 Corp</t>
        </is>
      </c>
      <c r="E220" t="inlineStr">
        <is>
          <t>US65163LAR06</t>
        </is>
      </c>
      <c r="F220" s="2" t="n">
        <v>45659</v>
      </c>
      <c r="G220" s="2" t="n">
        <v>46225</v>
      </c>
      <c r="H220" s="2" t="n">
        <v>49115</v>
      </c>
      <c r="I220" s="3" t="n">
        <v>49.3784</v>
      </c>
      <c r="J220" s="3" t="n">
        <v>27.5587</v>
      </c>
      <c r="K220" s="3" t="n">
        <v>63.408</v>
      </c>
      <c r="L220" s="3" t="n">
        <v>53.42</v>
      </c>
      <c r="M220" s="3" t="n">
        <v>-14.0296</v>
      </c>
      <c r="N220" s="3" t="n">
        <v>-31.1438</v>
      </c>
      <c r="O220" s="3" t="n">
        <v>6.702100000000002</v>
      </c>
      <c r="P220" s="4" t="n">
        <v>45.22075046438319</v>
      </c>
      <c r="Q220" s="3" t="n">
        <v>-35.8493</v>
      </c>
      <c r="R220" s="3" t="n">
        <v>-59.6534</v>
      </c>
      <c r="S220" s="3" t="n">
        <v>-18.272</v>
      </c>
      <c r="T220" s="4" t="n">
        <v>57.52367005466223</v>
      </c>
      <c r="U220" s="5">
        <f>IFERROR(BDP(E220&amp;" Corp","LAST_PRICE"),"--")</f>
        <v/>
      </c>
      <c r="V220" s="6">
        <f>IFERROR(BDP(E220&amp;" Corp","YAS_BENCHMARK_BOND_ISIN"),"--")</f>
        <v/>
      </c>
      <c r="W220" s="5">
        <f>IFERROR(BDP(V220&amp;" CORP","LAST_PRICE"),"--")</f>
        <v/>
      </c>
      <c r="X220" s="7">
        <f>IFERROR(BDP(E220&amp;" Corp","YAS_YLD_SPREAD","YAS_BOND_PX="&amp;U220,"YAS_BNCHMRK_BOND_PX="&amp;W220),"--")</f>
        <v/>
      </c>
      <c r="Y220" s="7">
        <f>IFERROR(BDP(E220&amp;" Corp","BLOOMBERG_MID_G_SPREAD","YAS_BOND_PX="&amp;U220,"YAS_BNCHMRK_BOND_PX="&amp;W220),"--")</f>
        <v/>
      </c>
      <c r="Z220" s="7">
        <f>IFERROR(BDP(D220,"LAST_PRICE"),"--")</f>
        <v/>
      </c>
      <c r="AA220" s="7">
        <f>IFERROR(Z220-Y220,"--")</f>
        <v/>
      </c>
      <c r="AB220" s="8">
        <f>IFERROR((AA220-R220)/(S220-R220)*100,"--")</f>
        <v/>
      </c>
    </row>
    <row r="221">
      <c r="A221" t="inlineStr">
        <is>
          <t>NFLX</t>
        </is>
      </c>
      <c r="B221" t="inlineStr">
        <is>
          <t>IG</t>
        </is>
      </c>
      <c r="C221" t="inlineStr">
        <is>
          <t>NFLX 4.9 08/15/34</t>
        </is>
      </c>
      <c r="D221" t="inlineStr">
        <is>
          <t>NFLX CDS USD SR 5Y D14 Corp</t>
        </is>
      </c>
      <c r="E221" t="inlineStr">
        <is>
          <t>US64110LAZ94</t>
        </is>
      </c>
      <c r="F221" s="2" t="n">
        <v>45659</v>
      </c>
      <c r="G221" s="2" t="n">
        <v>46225</v>
      </c>
      <c r="H221" s="2" t="n">
        <v>49298</v>
      </c>
      <c r="I221" s="3" t="n">
        <v>57.4039</v>
      </c>
      <c r="J221" s="3" t="n">
        <v>41.1199</v>
      </c>
      <c r="K221" s="3" t="n">
        <v>62.753</v>
      </c>
      <c r="L221" s="3" t="n">
        <v>55.122</v>
      </c>
      <c r="M221" s="3" t="n">
        <v>-5.3491</v>
      </c>
      <c r="N221" s="3" t="n">
        <v>-23.6293</v>
      </c>
      <c r="O221" s="3" t="n">
        <v>20.3478</v>
      </c>
      <c r="P221" s="4" t="n">
        <v>41.56754310766285</v>
      </c>
      <c r="Q221" s="3" t="n">
        <v>-21.6331</v>
      </c>
      <c r="R221" s="3" t="n">
        <v>-36.0489</v>
      </c>
      <c r="S221" s="3" t="n">
        <v>5.5976</v>
      </c>
      <c r="T221" s="4" t="n">
        <v>34.61467350197496</v>
      </c>
      <c r="U221" s="5">
        <f>IFERROR(BDP(E221&amp;" Corp","LAST_PRICE"),"--")</f>
        <v/>
      </c>
      <c r="V221" s="6">
        <f>IFERROR(BDP(E221&amp;" Corp","YAS_BENCHMARK_BOND_ISIN"),"--")</f>
        <v/>
      </c>
      <c r="W221" s="5">
        <f>IFERROR(BDP(V221&amp;" CORP","LAST_PRICE"),"--")</f>
        <v/>
      </c>
      <c r="X221" s="7">
        <f>IFERROR(BDP(E221&amp;" Corp","YAS_YLD_SPREAD","YAS_BOND_PX="&amp;U221,"YAS_BNCHMRK_BOND_PX="&amp;W221),"--")</f>
        <v/>
      </c>
      <c r="Y221" s="7">
        <f>IFERROR(BDP(E221&amp;" Corp","BLOOMBERG_MID_G_SPREAD","YAS_BOND_PX="&amp;U221,"YAS_BNCHMRK_BOND_PX="&amp;W221),"--")</f>
        <v/>
      </c>
      <c r="Z221" s="7">
        <f>IFERROR(BDP(D221,"LAST_PRICE"),"--")</f>
        <v/>
      </c>
      <c r="AA221" s="7">
        <f>IFERROR(Z221-Y221,"--")</f>
        <v/>
      </c>
      <c r="AB221" s="8">
        <f>IFERROR((AA221-R221)/(S221-R221)*100,"--")</f>
        <v/>
      </c>
    </row>
    <row r="222">
      <c r="A222" t="inlineStr">
        <is>
          <t>NOC</t>
        </is>
      </c>
      <c r="B222" t="inlineStr">
        <is>
          <t>IG</t>
        </is>
      </c>
      <c r="C222" t="inlineStr">
        <is>
          <t>NOC 4.7 03/15/33</t>
        </is>
      </c>
      <c r="D222" t="inlineStr">
        <is>
          <t>NOC CDS USD SR 5Y D14 Corp</t>
        </is>
      </c>
      <c r="E222" t="inlineStr">
        <is>
          <t>US666807CH36</t>
        </is>
      </c>
      <c r="F222" s="2" t="n">
        <v>45659</v>
      </c>
      <c r="G222" s="2" t="n">
        <v>46225</v>
      </c>
      <c r="H222" s="2" t="n">
        <v>48750</v>
      </c>
      <c r="I222" s="3" t="n">
        <v>26.0402</v>
      </c>
      <c r="J222" s="3" t="n">
        <v>19.5215</v>
      </c>
      <c r="K222" s="3" t="n">
        <v>57.577</v>
      </c>
      <c r="L222" s="3" t="n">
        <v>42.875</v>
      </c>
      <c r="M222" s="3" t="n">
        <v>-31.5368</v>
      </c>
      <c r="N222" s="3" t="n">
        <v>-50.1212</v>
      </c>
      <c r="O222" s="3" t="n">
        <v>-16.1881</v>
      </c>
      <c r="P222" s="4" t="n">
        <v>54.767763629023</v>
      </c>
      <c r="Q222" s="3" t="n">
        <v>-38.05549999999999</v>
      </c>
      <c r="R222" s="3" t="n">
        <v>-58.8422</v>
      </c>
      <c r="S222" s="3" t="n">
        <v>-24.1829</v>
      </c>
      <c r="T222" s="4" t="n">
        <v>59.97437917095845</v>
      </c>
      <c r="U222" s="5">
        <f>IFERROR(BDP(E222&amp;" Corp","LAST_PRICE"),"--")</f>
        <v/>
      </c>
      <c r="V222" s="6">
        <f>IFERROR(BDP(E222&amp;" Corp","YAS_BENCHMARK_BOND_ISIN"),"--")</f>
        <v/>
      </c>
      <c r="W222" s="5">
        <f>IFERROR(BDP(V222&amp;" CORP","LAST_PRICE"),"--")</f>
        <v/>
      </c>
      <c r="X222" s="7">
        <f>IFERROR(BDP(E222&amp;" Corp","YAS_YLD_SPREAD","YAS_BOND_PX="&amp;U222,"YAS_BNCHMRK_BOND_PX="&amp;W222),"--")</f>
        <v/>
      </c>
      <c r="Y222" s="7">
        <f>IFERROR(BDP(E222&amp;" Corp","BLOOMBERG_MID_G_SPREAD","YAS_BOND_PX="&amp;U222,"YAS_BNCHMRK_BOND_PX="&amp;W222),"--")</f>
        <v/>
      </c>
      <c r="Z222" s="7">
        <f>IFERROR(BDP(D222,"LAST_PRICE"),"--")</f>
        <v/>
      </c>
      <c r="AA222" s="7">
        <f>IFERROR(Z222-Y222,"--")</f>
        <v/>
      </c>
      <c r="AB222" s="8">
        <f>IFERROR((AA222-R222)/(S222-R222)*100,"--")</f>
        <v/>
      </c>
    </row>
    <row r="223">
      <c r="A223" t="inlineStr">
        <is>
          <t>OMC</t>
        </is>
      </c>
      <c r="B223" t="inlineStr">
        <is>
          <t>IG</t>
        </is>
      </c>
      <c r="C223" t="inlineStr">
        <is>
          <t>OMC 5 06/02/33</t>
        </is>
      </c>
      <c r="D223" t="inlineStr">
        <is>
          <t>OMC CDS USD SR 5Y D14 Corp</t>
        </is>
      </c>
      <c r="E223" t="inlineStr">
        <is>
          <t>US681919BW57</t>
        </is>
      </c>
      <c r="F223" s="2" t="n">
        <v>46078</v>
      </c>
      <c r="G223" s="2" t="n">
        <v>46225</v>
      </c>
      <c r="H223" s="2" t="n">
        <v>48750</v>
      </c>
      <c r="I223" s="3" t="n">
        <v>73.4903</v>
      </c>
      <c r="J223" s="3" t="n">
        <v>58.624</v>
      </c>
      <c r="K223" s="3" t="n">
        <v>100.907</v>
      </c>
      <c r="L223" s="3" t="n">
        <v>103.1</v>
      </c>
      <c r="M223" s="3" t="n">
        <v>-27.41669999999999</v>
      </c>
      <c r="N223" s="3" t="n">
        <v>-48.6399</v>
      </c>
      <c r="O223" s="3" t="n">
        <v>-15.53750000000001</v>
      </c>
      <c r="P223" s="4" t="n">
        <v>64.11378026970857</v>
      </c>
      <c r="Q223" s="3" t="n">
        <v>-42.28299999999999</v>
      </c>
      <c r="R223" s="3" t="n">
        <v>-63.7949</v>
      </c>
      <c r="S223" s="3" t="n">
        <v>-30.9616</v>
      </c>
      <c r="T223" s="4" t="n">
        <v>65.51854367364842</v>
      </c>
      <c r="U223" s="5">
        <f>IFERROR(BDP(E223&amp;" Corp","LAST_PRICE"),"--")</f>
        <v/>
      </c>
      <c r="V223" s="6">
        <f>IFERROR(BDP(E223&amp;" Corp","YAS_BENCHMARK_BOND_ISIN"),"--")</f>
        <v/>
      </c>
      <c r="W223" s="5">
        <f>IFERROR(BDP(V223&amp;" CORP","LAST_PRICE"),"--")</f>
        <v/>
      </c>
      <c r="X223" s="7">
        <f>IFERROR(BDP(E223&amp;" Corp","YAS_YLD_SPREAD","YAS_BOND_PX="&amp;U223,"YAS_BNCHMRK_BOND_PX="&amp;W223),"--")</f>
        <v/>
      </c>
      <c r="Y223" s="7">
        <f>IFERROR(BDP(E223&amp;" Corp","BLOOMBERG_MID_G_SPREAD","YAS_BOND_PX="&amp;U223,"YAS_BNCHMRK_BOND_PX="&amp;W223),"--")</f>
        <v/>
      </c>
      <c r="Z223" s="7">
        <f>IFERROR(BDP(D223,"LAST_PRICE"),"--")</f>
        <v/>
      </c>
      <c r="AA223" s="7">
        <f>IFERROR(Z223-Y223,"--")</f>
        <v/>
      </c>
      <c r="AB223" s="8">
        <f>IFERROR((AA223-R223)/(S223-R223)*100,"--")</f>
        <v/>
      </c>
    </row>
    <row r="224">
      <c r="A224" t="inlineStr">
        <is>
          <t>ORCL</t>
        </is>
      </c>
      <c r="B224" t="inlineStr">
        <is>
          <t>IG</t>
        </is>
      </c>
      <c r="C224" t="inlineStr">
        <is>
          <t>ORCL 4.95 02/04/31</t>
        </is>
      </c>
      <c r="D224" t="inlineStr">
        <is>
          <t>ORCLCP CDS USD SR 5Y D14 Corp</t>
        </is>
      </c>
      <c r="E224" t="inlineStr">
        <is>
          <t>US68389XDX03</t>
        </is>
      </c>
      <c r="F224" s="2" t="n">
        <v>46056</v>
      </c>
      <c r="G224" s="2" t="n">
        <v>46225</v>
      </c>
      <c r="H224" s="2" t="n">
        <v>48019</v>
      </c>
      <c r="I224" s="3" t="n">
        <v>205.042</v>
      </c>
      <c r="J224" s="3" t="n">
        <v>205.042</v>
      </c>
      <c r="K224" s="3" t="n">
        <v>163.562</v>
      </c>
      <c r="L224" s="3" t="n">
        <v>168.645</v>
      </c>
      <c r="M224" s="3" t="n">
        <v>41.47999999999999</v>
      </c>
      <c r="N224" s="3" t="n">
        <v>17.22380000000001</v>
      </c>
      <c r="O224" s="3" t="n">
        <v>49.24440000000001</v>
      </c>
      <c r="P224" s="4" t="n">
        <v>75.75185974029212</v>
      </c>
      <c r="Q224" s="3" t="n">
        <v>41.47999999999999</v>
      </c>
      <c r="R224" s="3" t="n">
        <v>17.22380000000001</v>
      </c>
      <c r="S224" s="3" t="n">
        <v>49.24440000000001</v>
      </c>
      <c r="T224" s="4" t="n">
        <v>75.75185974029212</v>
      </c>
      <c r="U224" s="5">
        <f>IFERROR(BDP(E224&amp;" Corp","LAST_PRICE"),"--")</f>
        <v/>
      </c>
      <c r="V224" s="6">
        <f>IFERROR(BDP(E224&amp;" Corp","YAS_BENCHMARK_BOND_ISIN"),"--")</f>
        <v/>
      </c>
      <c r="W224" s="5">
        <f>IFERROR(BDP(V224&amp;" CORP","LAST_PRICE"),"--")</f>
        <v/>
      </c>
      <c r="X224" s="7">
        <f>IFERROR(BDP(E224&amp;" Corp","YAS_YLD_SPREAD","YAS_BOND_PX="&amp;U224,"YAS_BNCHMRK_BOND_PX="&amp;W224),"--")</f>
        <v/>
      </c>
      <c r="Y224" s="7">
        <f>IFERROR(BDP(E224&amp;" Corp","BLOOMBERG_MID_G_SPREAD","YAS_BOND_PX="&amp;U224,"YAS_BNCHMRK_BOND_PX="&amp;W224),"--")</f>
        <v/>
      </c>
      <c r="Z224" s="7">
        <f>IFERROR(BDP(D224,"LAST_PRICE"),"--")</f>
        <v/>
      </c>
      <c r="AA224" s="7">
        <f>IFERROR(Z224-Y224,"--")</f>
        <v/>
      </c>
      <c r="AB224" s="8">
        <f>IFERROR((AA224-R224)/(S224-R224)*100,"--")</f>
        <v/>
      </c>
    </row>
    <row r="225">
      <c r="A225" t="inlineStr">
        <is>
          <t>OVV</t>
        </is>
      </c>
      <c r="B225" t="inlineStr">
        <is>
          <t>IG</t>
        </is>
      </c>
      <c r="C225" t="inlineStr">
        <is>
          <t>OVV 6 1/4 07/15/33</t>
        </is>
      </c>
      <c r="D225" t="inlineStr">
        <is>
          <t>OVV A CDS USD SR 5Y D14 Corp</t>
        </is>
      </c>
      <c r="E225" t="inlineStr">
        <is>
          <t>US69047QAC69</t>
        </is>
      </c>
      <c r="F225" s="2" t="n">
        <v>45659</v>
      </c>
      <c r="G225" s="2" t="n">
        <v>46225</v>
      </c>
      <c r="H225" s="2" t="n">
        <v>48933</v>
      </c>
      <c r="I225" s="3" t="n">
        <v>104.1858</v>
      </c>
      <c r="J225" s="3" t="n">
        <v>71.3325</v>
      </c>
      <c r="K225" s="3" t="n">
        <v>98.468</v>
      </c>
      <c r="L225" s="3" t="n">
        <v>84.15600000000001</v>
      </c>
      <c r="M225" s="3" t="n">
        <v>5.717799999999997</v>
      </c>
      <c r="N225" s="3" t="n">
        <v>-40.61630000000002</v>
      </c>
      <c r="O225" s="3" t="n">
        <v>17.8145</v>
      </c>
      <c r="P225" s="4" t="n">
        <v>79.29739110195308</v>
      </c>
      <c r="Q225" s="3" t="n">
        <v>-27.13550000000001</v>
      </c>
      <c r="R225" s="3" t="n">
        <v>-72.29600000000002</v>
      </c>
      <c r="S225" s="3" t="n">
        <v>-11.9204</v>
      </c>
      <c r="T225" s="4" t="n">
        <v>74.79925665335003</v>
      </c>
      <c r="U225" s="5">
        <f>IFERROR(BDP(E225&amp;" Corp","LAST_PRICE"),"--")</f>
        <v/>
      </c>
      <c r="V225" s="6">
        <f>IFERROR(BDP(E225&amp;" Corp","YAS_BENCHMARK_BOND_ISIN"),"--")</f>
        <v/>
      </c>
      <c r="W225" s="5">
        <f>IFERROR(BDP(V225&amp;" CORP","LAST_PRICE"),"--")</f>
        <v/>
      </c>
      <c r="X225" s="7">
        <f>IFERROR(BDP(E225&amp;" Corp","YAS_YLD_SPREAD","YAS_BOND_PX="&amp;U225,"YAS_BNCHMRK_BOND_PX="&amp;W225),"--")</f>
        <v/>
      </c>
      <c r="Y225" s="7">
        <f>IFERROR(BDP(E225&amp;" Corp","BLOOMBERG_MID_G_SPREAD","YAS_BOND_PX="&amp;U225,"YAS_BNCHMRK_BOND_PX="&amp;W225),"--")</f>
        <v/>
      </c>
      <c r="Z225" s="7">
        <f>IFERROR(BDP(D225,"LAST_PRICE"),"--")</f>
        <v/>
      </c>
      <c r="AA225" s="7">
        <f>IFERROR(Z225-Y225,"--")</f>
        <v/>
      </c>
      <c r="AB225" s="8">
        <f>IFERROR((AA225-R225)/(S225-R225)*100,"--")</f>
        <v/>
      </c>
    </row>
    <row r="226">
      <c r="A226" t="inlineStr">
        <is>
          <t>OXY</t>
        </is>
      </c>
      <c r="B226" t="inlineStr">
        <is>
          <t>IG</t>
        </is>
      </c>
      <c r="C226" t="inlineStr">
        <is>
          <t>OXY 5 3/8 01/01/32</t>
        </is>
      </c>
      <c r="D226" t="inlineStr">
        <is>
          <t>OXY CDS USD SR 5Y D14 Corp</t>
        </is>
      </c>
      <c r="E226" t="inlineStr">
        <is>
          <t>US674599EK76</t>
        </is>
      </c>
      <c r="F226" s="2" t="n">
        <v>45659</v>
      </c>
      <c r="G226" s="2" t="n">
        <v>46225</v>
      </c>
      <c r="H226" s="2" t="n">
        <v>48385</v>
      </c>
      <c r="I226" s="3" t="n">
        <v>81.4349</v>
      </c>
      <c r="J226" s="3" t="n">
        <v>69.9997</v>
      </c>
      <c r="K226" s="3" t="n">
        <v>73.956</v>
      </c>
      <c r="L226" s="3" t="n">
        <v>78.045</v>
      </c>
      <c r="M226" s="3" t="n">
        <v>7.478899999999996</v>
      </c>
      <c r="N226" s="3" t="n">
        <v>-63.1062</v>
      </c>
      <c r="O226" s="3" t="n">
        <v>31.62609999999999</v>
      </c>
      <c r="P226" s="4" t="n">
        <v>74.51006678820212</v>
      </c>
      <c r="Q226" s="3" t="n">
        <v>-3.956299999999999</v>
      </c>
      <c r="R226" s="3" t="n">
        <v>-73.6704</v>
      </c>
      <c r="S226" s="3" t="n">
        <v>18.1931</v>
      </c>
      <c r="T226" s="4" t="n">
        <v>75.88879152220413</v>
      </c>
      <c r="U226" s="5">
        <f>IFERROR(BDP(E226&amp;" Corp","LAST_PRICE"),"--")</f>
        <v/>
      </c>
      <c r="V226" s="6">
        <f>IFERROR(BDP(E226&amp;" Corp","YAS_BENCHMARK_BOND_ISIN"),"--")</f>
        <v/>
      </c>
      <c r="W226" s="5">
        <f>IFERROR(BDP(V226&amp;" CORP","LAST_PRICE"),"--")</f>
        <v/>
      </c>
      <c r="X226" s="7">
        <f>IFERROR(BDP(E226&amp;" Corp","YAS_YLD_SPREAD","YAS_BOND_PX="&amp;U226,"YAS_BNCHMRK_BOND_PX="&amp;W226),"--")</f>
        <v/>
      </c>
      <c r="Y226" s="7">
        <f>IFERROR(BDP(E226&amp;" Corp","BLOOMBERG_MID_G_SPREAD","YAS_BOND_PX="&amp;U226,"YAS_BNCHMRK_BOND_PX="&amp;W226),"--")</f>
        <v/>
      </c>
      <c r="Z226" s="7">
        <f>IFERROR(BDP(D226,"LAST_PRICE"),"--")</f>
        <v/>
      </c>
      <c r="AA226" s="7">
        <f>IFERROR(Z226-Y226,"--")</f>
        <v/>
      </c>
      <c r="AB226" s="8">
        <f>IFERROR((AA226-R226)/(S226-R226)*100,"--")</f>
        <v/>
      </c>
    </row>
    <row r="227">
      <c r="A227" t="inlineStr">
        <is>
          <t>PFE</t>
        </is>
      </c>
      <c r="B227" t="inlineStr">
        <is>
          <t>IG</t>
        </is>
      </c>
      <c r="C227" t="inlineStr">
        <is>
          <t>PFE 4 1/2 11/15/32</t>
        </is>
      </c>
      <c r="D227" t="inlineStr">
        <is>
          <t>PFIZER CDS USD SR 5Y D14 Corp</t>
        </is>
      </c>
      <c r="E227" t="inlineStr">
        <is>
          <t>US717081FE83</t>
        </is>
      </c>
      <c r="F227" s="2" t="n">
        <v>45979</v>
      </c>
      <c r="G227" s="2" t="n">
        <v>46225</v>
      </c>
      <c r="H227" s="2" t="n">
        <v>48568</v>
      </c>
      <c r="I227" s="3" t="n">
        <v>38.3809</v>
      </c>
      <c r="J227" s="3" t="n">
        <v>28.7854</v>
      </c>
      <c r="K227" s="3" t="n">
        <v>44.79</v>
      </c>
      <c r="L227" s="3" t="n">
        <v>54.697</v>
      </c>
      <c r="M227" s="3" t="n">
        <v>-6.409100000000002</v>
      </c>
      <c r="N227" s="3" t="n">
        <v>-16.7205</v>
      </c>
      <c r="O227" s="3" t="n">
        <v>-1.020099999999999</v>
      </c>
      <c r="P227" s="4" t="n">
        <v>65.67603373162466</v>
      </c>
      <c r="Q227" s="3" t="n">
        <v>-16.0046</v>
      </c>
      <c r="R227" s="3" t="n">
        <v>-24.3241</v>
      </c>
      <c r="S227" s="3" t="n">
        <v>-8.603299999999997</v>
      </c>
      <c r="T227" s="4" t="n">
        <v>52.92033484301053</v>
      </c>
      <c r="U227" s="5">
        <f>IFERROR(BDP(E227&amp;" Corp","LAST_PRICE"),"--")</f>
        <v/>
      </c>
      <c r="V227" s="6">
        <f>IFERROR(BDP(E227&amp;" Corp","YAS_BENCHMARK_BOND_ISIN"),"--")</f>
        <v/>
      </c>
      <c r="W227" s="5">
        <f>IFERROR(BDP(V227&amp;" CORP","LAST_PRICE"),"--")</f>
        <v/>
      </c>
      <c r="X227" s="7">
        <f>IFERROR(BDP(E227&amp;" Corp","YAS_YLD_SPREAD","YAS_BOND_PX="&amp;U227,"YAS_BNCHMRK_BOND_PX="&amp;W227),"--")</f>
        <v/>
      </c>
      <c r="Y227" s="7">
        <f>IFERROR(BDP(E227&amp;" Corp","BLOOMBERG_MID_G_SPREAD","YAS_BOND_PX="&amp;U227,"YAS_BNCHMRK_BOND_PX="&amp;W227),"--")</f>
        <v/>
      </c>
      <c r="Z227" s="7">
        <f>IFERROR(BDP(D227,"LAST_PRICE"),"--")</f>
        <v/>
      </c>
      <c r="AA227" s="7">
        <f>IFERROR(Z227-Y227,"--")</f>
        <v/>
      </c>
      <c r="AB227" s="8">
        <f>IFERROR((AA227-R227)/(S227-R227)*100,"--")</f>
        <v/>
      </c>
    </row>
    <row r="228">
      <c r="A228" t="inlineStr">
        <is>
          <t>PG</t>
        </is>
      </c>
      <c r="B228" t="inlineStr">
        <is>
          <t>IG</t>
        </is>
      </c>
      <c r="C228" t="inlineStr">
        <is>
          <t>PG 4.55 10/24/34</t>
        </is>
      </c>
      <c r="D228" t="inlineStr">
        <is>
          <t>PROCTER CDS USD SR 5Y D14 Corp</t>
        </is>
      </c>
      <c r="E228" t="inlineStr">
        <is>
          <t>US742718GL74</t>
        </is>
      </c>
      <c r="F228" s="2" t="n">
        <v>45659</v>
      </c>
      <c r="G228" s="2" t="n">
        <v>46225</v>
      </c>
      <c r="H228" s="2" t="n">
        <v>49298</v>
      </c>
      <c r="I228" s="3" t="n">
        <v>31.8192</v>
      </c>
      <c r="J228" s="3" t="n">
        <v>19.5328</v>
      </c>
      <c r="K228" s="3" t="n">
        <v>17.304</v>
      </c>
      <c r="L228" s="3" t="n">
        <v>11.679</v>
      </c>
      <c r="M228" s="3" t="n">
        <v>14.5152</v>
      </c>
      <c r="N228" s="3" t="n">
        <v>-12.8244</v>
      </c>
      <c r="O228" s="3" t="n">
        <v>19.1105</v>
      </c>
      <c r="P228" s="4" t="n">
        <v>85.61041368534111</v>
      </c>
      <c r="Q228" s="3" t="n">
        <v>2.228800000000003</v>
      </c>
      <c r="R228" s="3" t="n">
        <v>-25.3295</v>
      </c>
      <c r="S228" s="3" t="n">
        <v>7.226800000000001</v>
      </c>
      <c r="T228" s="4" t="n">
        <v>84.648132619493</v>
      </c>
      <c r="U228" s="5">
        <f>IFERROR(BDP(E228&amp;" Corp","LAST_PRICE"),"--")</f>
        <v/>
      </c>
      <c r="V228" s="6">
        <f>IFERROR(BDP(E228&amp;" Corp","YAS_BENCHMARK_BOND_ISIN"),"--")</f>
        <v/>
      </c>
      <c r="W228" s="5">
        <f>IFERROR(BDP(V228&amp;" CORP","LAST_PRICE"),"--")</f>
        <v/>
      </c>
      <c r="X228" s="7">
        <f>IFERROR(BDP(E228&amp;" Corp","YAS_YLD_SPREAD","YAS_BOND_PX="&amp;U228,"YAS_BNCHMRK_BOND_PX="&amp;W228),"--")</f>
        <v/>
      </c>
      <c r="Y228" s="7">
        <f>IFERROR(BDP(E228&amp;" Corp","BLOOMBERG_MID_G_SPREAD","YAS_BOND_PX="&amp;U228,"YAS_BNCHMRK_BOND_PX="&amp;W228),"--")</f>
        <v/>
      </c>
      <c r="Z228" s="7">
        <f>IFERROR(BDP(D228,"LAST_PRICE"),"--")</f>
        <v/>
      </c>
      <c r="AA228" s="7">
        <f>IFERROR(Z228-Y228,"--")</f>
        <v/>
      </c>
      <c r="AB228" s="8">
        <f>IFERROR((AA228-R228)/(S228-R228)*100,"--")</f>
        <v/>
      </c>
    </row>
    <row r="229">
      <c r="A229" t="inlineStr">
        <is>
          <t>PHM</t>
        </is>
      </c>
      <c r="B229" t="inlineStr">
        <is>
          <t>IG</t>
        </is>
      </c>
      <c r="C229" t="inlineStr">
        <is>
          <t>PHM 7 7/8 06/15/32</t>
        </is>
      </c>
      <c r="D229" t="inlineStr">
        <is>
          <t>PULTE CDS USD SR 5Y D14 Corp</t>
        </is>
      </c>
      <c r="E229" t="inlineStr">
        <is>
          <t>US745867AM30</t>
        </is>
      </c>
      <c r="F229" s="2" t="n">
        <v>45659</v>
      </c>
      <c r="G229" s="2" t="n">
        <v>46225</v>
      </c>
      <c r="H229" s="2" t="n">
        <v>48385</v>
      </c>
      <c r="I229" s="3" t="n">
        <v>73.45529999999999</v>
      </c>
      <c r="J229" s="3" t="n">
        <v>61.1956</v>
      </c>
      <c r="K229" s="3" t="n">
        <v>73.831</v>
      </c>
      <c r="L229" s="3" t="n">
        <v>79.902</v>
      </c>
      <c r="M229" s="3" t="n">
        <v>-0.375700000000009</v>
      </c>
      <c r="N229" s="3" t="n">
        <v>-35.03370000000001</v>
      </c>
      <c r="O229" s="3" t="n">
        <v>19.9922</v>
      </c>
      <c r="P229" s="4" t="n">
        <v>62.98488529946806</v>
      </c>
      <c r="Q229" s="3" t="n">
        <v>-12.6354</v>
      </c>
      <c r="R229" s="3" t="n">
        <v>-43.42530000000001</v>
      </c>
      <c r="S229" s="3" t="n">
        <v>11.7123</v>
      </c>
      <c r="T229" s="4" t="n">
        <v>55.84193000783494</v>
      </c>
      <c r="U229" s="5">
        <f>IFERROR(BDP(E229&amp;" Corp","LAST_PRICE"),"--")</f>
        <v/>
      </c>
      <c r="V229" s="6">
        <f>IFERROR(BDP(E229&amp;" Corp","YAS_BENCHMARK_BOND_ISIN"),"--")</f>
        <v/>
      </c>
      <c r="W229" s="5">
        <f>IFERROR(BDP(V229&amp;" CORP","LAST_PRICE"),"--")</f>
        <v/>
      </c>
      <c r="X229" s="7">
        <f>IFERROR(BDP(E229&amp;" Corp","YAS_YLD_SPREAD","YAS_BOND_PX="&amp;U229,"YAS_BNCHMRK_BOND_PX="&amp;W229),"--")</f>
        <v/>
      </c>
      <c r="Y229" s="7">
        <f>IFERROR(BDP(E229&amp;" Corp","BLOOMBERG_MID_G_SPREAD","YAS_BOND_PX="&amp;U229,"YAS_BNCHMRK_BOND_PX="&amp;W229),"--")</f>
        <v/>
      </c>
      <c r="Z229" s="7">
        <f>IFERROR(BDP(D229,"LAST_PRICE"),"--")</f>
        <v/>
      </c>
      <c r="AA229" s="7">
        <f>IFERROR(Z229-Y229,"--")</f>
        <v/>
      </c>
      <c r="AB229" s="8">
        <f>IFERROR((AA229-R229)/(S229-R229)*100,"--")</f>
        <v/>
      </c>
    </row>
    <row r="230">
      <c r="A230" t="inlineStr">
        <is>
          <t>PNC</t>
        </is>
      </c>
      <c r="B230" t="inlineStr">
        <is>
          <t>IG</t>
        </is>
      </c>
      <c r="C230" t="inlineStr">
        <is>
          <t>PNC 5.222 01/29/31</t>
        </is>
      </c>
      <c r="D230" t="inlineStr">
        <is>
          <t>PNC CDS USD SR 5Y D14 Corp</t>
        </is>
      </c>
      <c r="E230" t="inlineStr">
        <is>
          <t>US693475CB94</t>
        </is>
      </c>
      <c r="F230" s="2" t="n">
        <v>46044</v>
      </c>
      <c r="G230" s="2" t="n">
        <v>46225</v>
      </c>
      <c r="H230" s="2" t="n">
        <v>48019</v>
      </c>
      <c r="I230" s="3" t="n">
        <v>47.5201</v>
      </c>
      <c r="J230" s="3" t="n">
        <v>47.5201</v>
      </c>
      <c r="K230" s="3" t="n">
        <v>59.411</v>
      </c>
      <c r="L230" s="3" t="n">
        <v>54.794</v>
      </c>
      <c r="M230" s="3" t="n">
        <v>-11.8909</v>
      </c>
      <c r="N230" s="3" t="n">
        <v>-24.95759999999999</v>
      </c>
      <c r="O230" s="3" t="n">
        <v>-1.440800000000003</v>
      </c>
      <c r="P230" s="4" t="n">
        <v>55.56325690570144</v>
      </c>
      <c r="Q230" s="3" t="n">
        <v>-11.8909</v>
      </c>
      <c r="R230" s="3" t="n">
        <v>-24.95759999999999</v>
      </c>
      <c r="S230" s="3" t="n">
        <v>-1.440800000000003</v>
      </c>
      <c r="T230" s="4" t="n">
        <v>55.56325690570144</v>
      </c>
      <c r="U230" s="5">
        <f>IFERROR(BDP(E230&amp;" Corp","LAST_PRICE"),"--")</f>
        <v/>
      </c>
      <c r="V230" s="6">
        <f>IFERROR(BDP(E230&amp;" Corp","YAS_BENCHMARK_BOND_ISIN"),"--")</f>
        <v/>
      </c>
      <c r="W230" s="5">
        <f>IFERROR(BDP(V230&amp;" CORP","LAST_PRICE"),"--")</f>
        <v/>
      </c>
      <c r="X230" s="7">
        <f>IFERROR(BDP(E230&amp;" Corp","YAS_YLD_SPREAD","YAS_BOND_PX="&amp;U230,"YAS_BNCHMRK_BOND_PX="&amp;W230),"--")</f>
        <v/>
      </c>
      <c r="Y230" s="7">
        <f>IFERROR(BDP(E230&amp;" Corp","BLOOMBERG_MID_G_SPREAD","YAS_BOND_PX="&amp;U230,"YAS_BNCHMRK_BOND_PX="&amp;W230),"--")</f>
        <v/>
      </c>
      <c r="Z230" s="7">
        <f>IFERROR(BDP(D230,"LAST_PRICE"),"--")</f>
        <v/>
      </c>
      <c r="AA230" s="7">
        <f>IFERROR(Z230-Y230,"--")</f>
        <v/>
      </c>
      <c r="AB230" s="8">
        <f>IFERROR((AA230-R230)/(S230-R230)*100,"--")</f>
        <v/>
      </c>
    </row>
    <row r="231">
      <c r="A231" t="inlineStr">
        <is>
          <t>PRU</t>
        </is>
      </c>
      <c r="B231" t="inlineStr">
        <is>
          <t>IG</t>
        </is>
      </c>
      <c r="C231" t="inlineStr">
        <is>
          <t>PRU 5.2 03/14/35</t>
        </is>
      </c>
      <c r="D231" t="inlineStr">
        <is>
          <t>PRU CDS USD SR 5Y D14 Corp</t>
        </is>
      </c>
      <c r="E231" t="inlineStr">
        <is>
          <t>US74432QCK94</t>
        </is>
      </c>
      <c r="F231" s="2" t="n">
        <v>45736</v>
      </c>
      <c r="G231" s="2" t="n">
        <v>46225</v>
      </c>
      <c r="H231" s="2" t="n">
        <v>49480</v>
      </c>
      <c r="I231" s="3" t="n">
        <v>112.6668</v>
      </c>
      <c r="J231" s="3" t="n">
        <v>80.404</v>
      </c>
      <c r="K231" s="3" t="n">
        <v>74.318</v>
      </c>
      <c r="L231" s="3" t="n">
        <v>71.611</v>
      </c>
      <c r="M231" s="3" t="n">
        <v>38.3488</v>
      </c>
      <c r="N231" s="3" t="n">
        <v>-0.9920999999999935</v>
      </c>
      <c r="O231" s="3" t="n">
        <v>53.16369999999999</v>
      </c>
      <c r="P231" s="4" t="n">
        <v>72.64392733557625</v>
      </c>
      <c r="Q231" s="3" t="n">
        <v>6.085999999999999</v>
      </c>
      <c r="R231" s="3" t="n">
        <v>-24.5274</v>
      </c>
      <c r="S231" s="3" t="n">
        <v>20.92179999999999</v>
      </c>
      <c r="T231" s="4" t="n">
        <v>67.35740123038471</v>
      </c>
      <c r="U231" s="5">
        <f>IFERROR(BDP(E231&amp;" Corp","LAST_PRICE"),"--")</f>
        <v/>
      </c>
      <c r="V231" s="6">
        <f>IFERROR(BDP(E231&amp;" Corp","YAS_BENCHMARK_BOND_ISIN"),"--")</f>
        <v/>
      </c>
      <c r="W231" s="5">
        <f>IFERROR(BDP(V231&amp;" CORP","LAST_PRICE"),"--")</f>
        <v/>
      </c>
      <c r="X231" s="7">
        <f>IFERROR(BDP(E231&amp;" Corp","YAS_YLD_SPREAD","YAS_BOND_PX="&amp;U231,"YAS_BNCHMRK_BOND_PX="&amp;W231),"--")</f>
        <v/>
      </c>
      <c r="Y231" s="7">
        <f>IFERROR(BDP(E231&amp;" Corp","BLOOMBERG_MID_G_SPREAD","YAS_BOND_PX="&amp;U231,"YAS_BNCHMRK_BOND_PX="&amp;W231),"--")</f>
        <v/>
      </c>
      <c r="Z231" s="7">
        <f>IFERROR(BDP(D231,"LAST_PRICE"),"--")</f>
        <v/>
      </c>
      <c r="AA231" s="7">
        <f>IFERROR(Z231-Y231,"--")</f>
        <v/>
      </c>
      <c r="AB231" s="8">
        <f>IFERROR((AA231-R231)/(S231-R231)*100,"--")</f>
        <v/>
      </c>
    </row>
    <row r="232">
      <c r="A232" t="inlineStr">
        <is>
          <t>R</t>
        </is>
      </c>
      <c r="B232" t="inlineStr">
        <is>
          <t>IG</t>
        </is>
      </c>
      <c r="C232" t="inlineStr">
        <is>
          <t>R 6.6 12/01/33</t>
        </is>
      </c>
      <c r="D232" t="inlineStr">
        <is>
          <t>R CDS USD SR 5Y D14 Corp</t>
        </is>
      </c>
      <c r="E232" t="inlineStr">
        <is>
          <t>US78355HKY44</t>
        </is>
      </c>
      <c r="F232" s="2" t="n">
        <v>45659</v>
      </c>
      <c r="G232" s="2" t="n">
        <v>46225</v>
      </c>
      <c r="H232" s="2" t="n">
        <v>48933</v>
      </c>
      <c r="I232" s="3" t="n">
        <v>77.2214</v>
      </c>
      <c r="J232" s="3" t="n">
        <v>50.2197</v>
      </c>
      <c r="K232" s="3" t="n">
        <v>77.282</v>
      </c>
      <c r="L232" s="3" t="n">
        <v>64.995</v>
      </c>
      <c r="M232" s="3" t="n">
        <v>-0.06059999999999377</v>
      </c>
      <c r="N232" s="3" t="n">
        <v>-7.380200000000002</v>
      </c>
      <c r="O232" s="3" t="n">
        <v>21.98110000000001</v>
      </c>
      <c r="P232" s="4" t="n">
        <v>24.92941388834965</v>
      </c>
      <c r="Q232" s="3" t="n">
        <v>-27.06229999999999</v>
      </c>
      <c r="R232" s="3" t="n">
        <v>-30.15220000000001</v>
      </c>
      <c r="S232" s="3" t="n">
        <v>-2.712000000000003</v>
      </c>
      <c r="T232" s="4" t="n">
        <v>11.26048643960326</v>
      </c>
      <c r="U232" s="5">
        <f>IFERROR(BDP(E232&amp;" Corp","LAST_PRICE"),"--")</f>
        <v/>
      </c>
      <c r="V232" s="6">
        <f>IFERROR(BDP(E232&amp;" Corp","YAS_BENCHMARK_BOND_ISIN"),"--")</f>
        <v/>
      </c>
      <c r="W232" s="5">
        <f>IFERROR(BDP(V232&amp;" CORP","LAST_PRICE"),"--")</f>
        <v/>
      </c>
      <c r="X232" s="7">
        <f>IFERROR(BDP(E232&amp;" Corp","YAS_YLD_SPREAD","YAS_BOND_PX="&amp;U232,"YAS_BNCHMRK_BOND_PX="&amp;W232),"--")</f>
        <v/>
      </c>
      <c r="Y232" s="7">
        <f>IFERROR(BDP(E232&amp;" Corp","BLOOMBERG_MID_G_SPREAD","YAS_BOND_PX="&amp;U232,"YAS_BNCHMRK_BOND_PX="&amp;W232),"--")</f>
        <v/>
      </c>
      <c r="Z232" s="7">
        <f>IFERROR(BDP(D232,"LAST_PRICE"),"--")</f>
        <v/>
      </c>
      <c r="AA232" s="7">
        <f>IFERROR(Z232-Y232,"--")</f>
        <v/>
      </c>
      <c r="AB232" s="8">
        <f>IFERROR((AA232-R232)/(S232-R232)*100,"--")</f>
        <v/>
      </c>
    </row>
    <row r="233">
      <c r="A233" t="inlineStr">
        <is>
          <t>RCL</t>
        </is>
      </c>
      <c r="B233" t="inlineStr">
        <is>
          <t>IG</t>
        </is>
      </c>
      <c r="C233" t="inlineStr">
        <is>
          <t>RCL 5 5/8 09/30/31</t>
        </is>
      </c>
      <c r="D233" t="inlineStr">
        <is>
          <t>RCL CDS USD SR 5Y D14 Corp</t>
        </is>
      </c>
      <c r="E233" t="inlineStr">
        <is>
          <t>USV7780TAQ68</t>
        </is>
      </c>
      <c r="F233" s="2" t="n">
        <v>45659</v>
      </c>
      <c r="G233" s="2" t="n">
        <v>46225</v>
      </c>
      <c r="H233" s="2" t="n">
        <v>48202</v>
      </c>
      <c r="I233" s="3" t="n">
        <v>84.4787</v>
      </c>
      <c r="J233" s="3" t="n">
        <v>74.5706</v>
      </c>
      <c r="K233" s="3" t="n">
        <v>112.79</v>
      </c>
      <c r="L233" s="3" t="n">
        <v>114.395</v>
      </c>
      <c r="M233" s="3" t="n">
        <v>-28.3113</v>
      </c>
      <c r="N233" s="3" t="n">
        <v>-58.38120000000001</v>
      </c>
      <c r="O233" s="3" t="n">
        <v>16.6883</v>
      </c>
      <c r="P233" s="4" t="n">
        <v>40.05608136460214</v>
      </c>
      <c r="Q233" s="3" t="n">
        <v>-38.21940000000001</v>
      </c>
      <c r="R233" s="3" t="n">
        <v>-65.1163</v>
      </c>
      <c r="S233" s="3" t="n">
        <v>7.695599999999985</v>
      </c>
      <c r="T233" s="4" t="n">
        <v>36.9402528982213</v>
      </c>
      <c r="U233" s="5">
        <f>IFERROR(BDP(E233&amp;" Corp","LAST_PRICE"),"--")</f>
        <v/>
      </c>
      <c r="V233" s="6">
        <f>IFERROR(BDP(E233&amp;" Corp","YAS_BENCHMARK_BOND_ISIN"),"--")</f>
        <v/>
      </c>
      <c r="W233" s="5">
        <f>IFERROR(BDP(V233&amp;" CORP","LAST_PRICE"),"--")</f>
        <v/>
      </c>
      <c r="X233" s="7">
        <f>IFERROR(BDP(E233&amp;" Corp","YAS_YLD_SPREAD","YAS_BOND_PX="&amp;U233,"YAS_BNCHMRK_BOND_PX="&amp;W233),"--")</f>
        <v/>
      </c>
      <c r="Y233" s="7">
        <f>IFERROR(BDP(E233&amp;" Corp","BLOOMBERG_MID_G_SPREAD","YAS_BOND_PX="&amp;U233,"YAS_BNCHMRK_BOND_PX="&amp;W233),"--")</f>
        <v/>
      </c>
      <c r="Z233" s="7">
        <f>IFERROR(BDP(D233,"LAST_PRICE"),"--")</f>
        <v/>
      </c>
      <c r="AA233" s="7">
        <f>IFERROR(Z233-Y233,"--")</f>
        <v/>
      </c>
      <c r="AB233" s="8">
        <f>IFERROR((AA233-R233)/(S233-R233)*100,"--")</f>
        <v/>
      </c>
    </row>
    <row r="234">
      <c r="A234" t="inlineStr">
        <is>
          <t>RDN</t>
        </is>
      </c>
      <c r="B234" t="inlineStr">
        <is>
          <t>IG</t>
        </is>
      </c>
      <c r="C234" t="inlineStr">
        <is>
          <t>RDN 6.2 05/15/29</t>
        </is>
      </c>
      <c r="D234" t="inlineStr">
        <is>
          <t>RDN CDS USD SR 5Y D14 Corp</t>
        </is>
      </c>
      <c r="E234" t="inlineStr">
        <is>
          <t>US750236AY71</t>
        </is>
      </c>
      <c r="F234" s="2" t="n">
        <v>45659</v>
      </c>
      <c r="G234" s="2" t="n">
        <v>46225</v>
      </c>
      <c r="H234" s="2" t="n">
        <v>47289</v>
      </c>
      <c r="I234" s="3" t="n">
        <v>54.3989</v>
      </c>
      <c r="J234" s="3" t="n">
        <v>86.0562</v>
      </c>
      <c r="K234" s="3" t="n">
        <v>72.55800000000001</v>
      </c>
      <c r="L234" s="3" t="n">
        <v>73.14400000000001</v>
      </c>
      <c r="M234" s="3" t="n">
        <v>-18.15910000000001</v>
      </c>
      <c r="N234" s="3" t="n">
        <v>-80.96750000000002</v>
      </c>
      <c r="O234" s="3" t="n">
        <v>-18.15910000000001</v>
      </c>
      <c r="P234" s="4" t="n">
        <v>100</v>
      </c>
      <c r="Q234" s="3" t="n">
        <v>13.4982</v>
      </c>
      <c r="R234" s="3" t="n">
        <v>-44.76019999999998</v>
      </c>
      <c r="S234" s="3" t="n">
        <v>13.4982</v>
      </c>
      <c r="T234" s="4" t="n">
        <v>100</v>
      </c>
      <c r="U234" s="5">
        <f>IFERROR(BDP(E234&amp;" Corp","LAST_PRICE"),"--")</f>
        <v/>
      </c>
      <c r="V234" s="6">
        <f>IFERROR(BDP(E234&amp;" Corp","YAS_BENCHMARK_BOND_ISIN"),"--")</f>
        <v/>
      </c>
      <c r="W234" s="5">
        <f>IFERROR(BDP(V234&amp;" CORP","LAST_PRICE"),"--")</f>
        <v/>
      </c>
      <c r="X234" s="7">
        <f>IFERROR(BDP(E234&amp;" Corp","YAS_YLD_SPREAD","YAS_BOND_PX="&amp;U234,"YAS_BNCHMRK_BOND_PX="&amp;W234),"--")</f>
        <v/>
      </c>
      <c r="Y234" s="7">
        <f>IFERROR(BDP(E234&amp;" Corp","BLOOMBERG_MID_G_SPREAD","YAS_BOND_PX="&amp;U234,"YAS_BNCHMRK_BOND_PX="&amp;W234),"--")</f>
        <v/>
      </c>
      <c r="Z234" s="7">
        <f>IFERROR(BDP(D234,"LAST_PRICE"),"--")</f>
        <v/>
      </c>
      <c r="AA234" s="7">
        <f>IFERROR(Z234-Y234,"--")</f>
        <v/>
      </c>
      <c r="AB234" s="8">
        <f>IFERROR((AA234-R234)/(S234-R234)*100,"--")</f>
        <v/>
      </c>
    </row>
    <row r="235">
      <c r="A235" t="inlineStr">
        <is>
          <t>RTX</t>
        </is>
      </c>
      <c r="B235" t="inlineStr">
        <is>
          <t>IG</t>
        </is>
      </c>
      <c r="C235" t="inlineStr">
        <is>
          <t>RTX 5.15 02/27/33</t>
        </is>
      </c>
      <c r="D235" t="inlineStr">
        <is>
          <t>UTX CDS USD SR 5Y D14 Corp</t>
        </is>
      </c>
      <c r="E235" t="inlineStr">
        <is>
          <t>US75513ECR09</t>
        </is>
      </c>
      <c r="F235" s="2" t="n">
        <v>45659</v>
      </c>
      <c r="G235" s="2" t="n">
        <v>46225</v>
      </c>
      <c r="H235" s="2" t="n">
        <v>48750</v>
      </c>
      <c r="I235" s="3" t="n">
        <v>41.3311</v>
      </c>
      <c r="J235" s="3" t="n">
        <v>29.6902</v>
      </c>
      <c r="K235" s="3" t="n">
        <v>55.61</v>
      </c>
      <c r="L235" s="3" t="n">
        <v>39.249</v>
      </c>
      <c r="M235" s="3" t="n">
        <v>-14.2789</v>
      </c>
      <c r="N235" s="3" t="n">
        <v>-43.4016</v>
      </c>
      <c r="O235" s="3" t="n">
        <v>-4.166499999999999</v>
      </c>
      <c r="P235" s="4" t="n">
        <v>74.22613934971493</v>
      </c>
      <c r="Q235" s="3" t="n">
        <v>-25.9198</v>
      </c>
      <c r="R235" s="3" t="n">
        <v>-52.37560000000001</v>
      </c>
      <c r="S235" s="3" t="n">
        <v>-13.919</v>
      </c>
      <c r="T235" s="4" t="n">
        <v>68.793913138447</v>
      </c>
      <c r="U235" s="5">
        <f>IFERROR(BDP(E235&amp;" Corp","LAST_PRICE"),"--")</f>
        <v/>
      </c>
      <c r="V235" s="6">
        <f>IFERROR(BDP(E235&amp;" Corp","YAS_BENCHMARK_BOND_ISIN"),"--")</f>
        <v/>
      </c>
      <c r="W235" s="5">
        <f>IFERROR(BDP(V235&amp;" CORP","LAST_PRICE"),"--")</f>
        <v/>
      </c>
      <c r="X235" s="7">
        <f>IFERROR(BDP(E235&amp;" Corp","YAS_YLD_SPREAD","YAS_BOND_PX="&amp;U235,"YAS_BNCHMRK_BOND_PX="&amp;W235),"--")</f>
        <v/>
      </c>
      <c r="Y235" s="7">
        <f>IFERROR(BDP(E235&amp;" Corp","BLOOMBERG_MID_G_SPREAD","YAS_BOND_PX="&amp;U235,"YAS_BNCHMRK_BOND_PX="&amp;W235),"--")</f>
        <v/>
      </c>
      <c r="Z235" s="7">
        <f>IFERROR(BDP(D235,"LAST_PRICE"),"--")</f>
        <v/>
      </c>
      <c r="AA235" s="7">
        <f>IFERROR(Z235-Y235,"--")</f>
        <v/>
      </c>
      <c r="AB235" s="8">
        <f>IFERROR((AA235-R235)/(S235-R235)*100,"--")</f>
        <v/>
      </c>
    </row>
    <row r="236">
      <c r="A236" t="inlineStr">
        <is>
          <t>SBC</t>
        </is>
      </c>
      <c r="B236" t="inlineStr">
        <is>
          <t>IG</t>
        </is>
      </c>
      <c r="C236" t="inlineStr">
        <is>
          <t>T 4.55 11/01/32</t>
        </is>
      </c>
      <c r="D236" t="inlineStr">
        <is>
          <t>SBC CDS USD SR 5Y D14 Corp</t>
        </is>
      </c>
      <c r="E236" t="inlineStr">
        <is>
          <t>US00206RNB41</t>
        </is>
      </c>
      <c r="F236" s="2" t="n">
        <v>45918</v>
      </c>
      <c r="G236" s="2" t="n">
        <v>46225</v>
      </c>
      <c r="H236" s="2" t="n">
        <v>48568</v>
      </c>
      <c r="I236" s="3" t="n">
        <v>82.096</v>
      </c>
      <c r="J236" s="3" t="n">
        <v>67.7607</v>
      </c>
      <c r="K236" s="3" t="n">
        <v>74.285</v>
      </c>
      <c r="L236" s="3" t="n">
        <v>83.111</v>
      </c>
      <c r="M236" s="3" t="n">
        <v>7.811000000000007</v>
      </c>
      <c r="N236" s="3" t="n">
        <v>-6.048099999999991</v>
      </c>
      <c r="O236" s="3" t="n">
        <v>12.43559999999999</v>
      </c>
      <c r="P236" s="4" t="n">
        <v>74.9801176171438</v>
      </c>
      <c r="Q236" s="3" t="n">
        <v>-6.524299999999997</v>
      </c>
      <c r="R236" s="3" t="n">
        <v>-17.2764</v>
      </c>
      <c r="S236" s="3" t="n">
        <v>0.8913999999999973</v>
      </c>
      <c r="T236" s="4" t="n">
        <v>59.18217946036396</v>
      </c>
      <c r="U236" s="5">
        <f>IFERROR(BDP(E236&amp;" Corp","LAST_PRICE"),"--")</f>
        <v/>
      </c>
      <c r="V236" s="6">
        <f>IFERROR(BDP(E236&amp;" Corp","YAS_BENCHMARK_BOND_ISIN"),"--")</f>
        <v/>
      </c>
      <c r="W236" s="5">
        <f>IFERROR(BDP(V236&amp;" CORP","LAST_PRICE"),"--")</f>
        <v/>
      </c>
      <c r="X236" s="7">
        <f>IFERROR(BDP(E236&amp;" Corp","YAS_YLD_SPREAD","YAS_BOND_PX="&amp;U236,"YAS_BNCHMRK_BOND_PX="&amp;W236),"--")</f>
        <v/>
      </c>
      <c r="Y236" s="7">
        <f>IFERROR(BDP(E236&amp;" Corp","BLOOMBERG_MID_G_SPREAD","YAS_BOND_PX="&amp;U236,"YAS_BNCHMRK_BOND_PX="&amp;W236),"--")</f>
        <v/>
      </c>
      <c r="Z236" s="7">
        <f>IFERROR(BDP(D236,"LAST_PRICE"),"--")</f>
        <v/>
      </c>
      <c r="AA236" s="7">
        <f>IFERROR(Z236-Y236,"--")</f>
        <v/>
      </c>
      <c r="AB236" s="8">
        <f>IFERROR((AA236-R236)/(S236-R236)*100,"--")</f>
        <v/>
      </c>
    </row>
    <row r="237">
      <c r="A237" t="inlineStr">
        <is>
          <t>SHW</t>
        </is>
      </c>
      <c r="B237" t="inlineStr">
        <is>
          <t>IG</t>
        </is>
      </c>
      <c r="C237" t="inlineStr">
        <is>
          <t>SHW 5.15 08/15/35</t>
        </is>
      </c>
      <c r="D237" t="inlineStr">
        <is>
          <t>SHW CDS USD SR 5Y D14 Corp</t>
        </is>
      </c>
      <c r="E237" t="inlineStr">
        <is>
          <t>US824348BW54</t>
        </is>
      </c>
      <c r="F237" s="2" t="n">
        <v>45922</v>
      </c>
      <c r="G237" s="2" t="n">
        <v>46225</v>
      </c>
      <c r="H237" s="2" t="n">
        <v>49663</v>
      </c>
      <c r="I237" s="3" t="n">
        <v>76.71850000000001</v>
      </c>
      <c r="J237" s="3" t="n">
        <v>43.1438</v>
      </c>
      <c r="K237" s="3" t="n">
        <v>70.056</v>
      </c>
      <c r="L237" s="3" t="n">
        <v>67.634</v>
      </c>
      <c r="M237" s="3" t="n">
        <v>6.662500000000009</v>
      </c>
      <c r="N237" s="3" t="n">
        <v>-7.866199999999992</v>
      </c>
      <c r="O237" s="3" t="n">
        <v>13.4897</v>
      </c>
      <c r="P237" s="4" t="n">
        <v>68.03131687262071</v>
      </c>
      <c r="Q237" s="3" t="n">
        <v>-26.9122</v>
      </c>
      <c r="R237" s="3" t="n">
        <v>-35.4338</v>
      </c>
      <c r="S237" s="3" t="n">
        <v>-19.9521</v>
      </c>
      <c r="T237" s="4" t="n">
        <v>55.04305082775149</v>
      </c>
      <c r="U237" s="5">
        <f>IFERROR(BDP(E237&amp;" Corp","LAST_PRICE"),"--")</f>
        <v/>
      </c>
      <c r="V237" s="6">
        <f>IFERROR(BDP(E237&amp;" Corp","YAS_BENCHMARK_BOND_ISIN"),"--")</f>
        <v/>
      </c>
      <c r="W237" s="5">
        <f>IFERROR(BDP(V237&amp;" CORP","LAST_PRICE"),"--")</f>
        <v/>
      </c>
      <c r="X237" s="7">
        <f>IFERROR(BDP(E237&amp;" Corp","YAS_YLD_SPREAD","YAS_BOND_PX="&amp;U237,"YAS_BNCHMRK_BOND_PX="&amp;W237),"--")</f>
        <v/>
      </c>
      <c r="Y237" s="7">
        <f>IFERROR(BDP(E237&amp;" Corp","BLOOMBERG_MID_G_SPREAD","YAS_BOND_PX="&amp;U237,"YAS_BNCHMRK_BOND_PX="&amp;W237),"--")</f>
        <v/>
      </c>
      <c r="Z237" s="7">
        <f>IFERROR(BDP(D237,"LAST_PRICE"),"--")</f>
        <v/>
      </c>
      <c r="AA237" s="7">
        <f>IFERROR(Z237-Y237,"--")</f>
        <v/>
      </c>
      <c r="AB237" s="8">
        <f>IFERROR((AA237-R237)/(S237-R237)*100,"--")</f>
        <v/>
      </c>
    </row>
    <row r="238">
      <c r="A238" t="inlineStr">
        <is>
          <t>SO</t>
        </is>
      </c>
      <c r="B238" t="inlineStr">
        <is>
          <t>IG</t>
        </is>
      </c>
      <c r="C238" t="inlineStr">
        <is>
          <t>SO 5.7 03/15/34</t>
        </is>
      </c>
      <c r="D238" t="inlineStr">
        <is>
          <t>SOCO CDS USD SR 5Y D14 Corp</t>
        </is>
      </c>
      <c r="E238" t="inlineStr">
        <is>
          <t>US842587DT18</t>
        </is>
      </c>
      <c r="F238" s="2" t="n">
        <v>45659</v>
      </c>
      <c r="G238" s="2" t="n">
        <v>46225</v>
      </c>
      <c r="H238" s="2" t="n">
        <v>49115</v>
      </c>
      <c r="I238" s="3" t="n">
        <v>56.8159</v>
      </c>
      <c r="J238" s="3" t="n">
        <v>38.5668</v>
      </c>
      <c r="K238" s="3" t="n">
        <v>77.23399999999999</v>
      </c>
      <c r="L238" s="3" t="n">
        <v>65.86799999999999</v>
      </c>
      <c r="M238" s="3" t="n">
        <v>-20.4181</v>
      </c>
      <c r="N238" s="3" t="n">
        <v>-53.45469999999999</v>
      </c>
      <c r="O238" s="3" t="n">
        <v>-14.8376</v>
      </c>
      <c r="P238" s="4" t="n">
        <v>85.5491479163376</v>
      </c>
      <c r="Q238" s="3" t="n">
        <v>-38.66719999999999</v>
      </c>
      <c r="R238" s="3" t="n">
        <v>-69.35599999999999</v>
      </c>
      <c r="S238" s="3" t="n">
        <v>-32.1053</v>
      </c>
      <c r="T238" s="4" t="n">
        <v>82.3844921035041</v>
      </c>
      <c r="U238" s="5">
        <f>IFERROR(BDP(E238&amp;" Corp","LAST_PRICE"),"--")</f>
        <v/>
      </c>
      <c r="V238" s="6">
        <f>IFERROR(BDP(E238&amp;" Corp","YAS_BENCHMARK_BOND_ISIN"),"--")</f>
        <v/>
      </c>
      <c r="W238" s="5">
        <f>IFERROR(BDP(V238&amp;" CORP","LAST_PRICE"),"--")</f>
        <v/>
      </c>
      <c r="X238" s="7">
        <f>IFERROR(BDP(E238&amp;" Corp","YAS_YLD_SPREAD","YAS_BOND_PX="&amp;U238,"YAS_BNCHMRK_BOND_PX="&amp;W238),"--")</f>
        <v/>
      </c>
      <c r="Y238" s="7">
        <f>IFERROR(BDP(E238&amp;" Corp","BLOOMBERG_MID_G_SPREAD","YAS_BOND_PX="&amp;U238,"YAS_BNCHMRK_BOND_PX="&amp;W238),"--")</f>
        <v/>
      </c>
      <c r="Z238" s="7">
        <f>IFERROR(BDP(D238,"LAST_PRICE"),"--")</f>
        <v/>
      </c>
      <c r="AA238" s="7">
        <f>IFERROR(Z238-Y238,"--")</f>
        <v/>
      </c>
      <c r="AB238" s="8">
        <f>IFERROR((AA238-R238)/(S238-R238)*100,"--")</f>
        <v/>
      </c>
    </row>
    <row r="239">
      <c r="A239" t="inlineStr">
        <is>
          <t>SPG</t>
        </is>
      </c>
      <c r="B239" t="inlineStr">
        <is>
          <t>IG</t>
        </is>
      </c>
      <c r="C239" t="inlineStr">
        <is>
          <t>SPG 5 1/2 03/08/33</t>
        </is>
      </c>
      <c r="D239" t="inlineStr">
        <is>
          <t>SPG CDS USD SR 5Y D14 Corp</t>
        </is>
      </c>
      <c r="E239" t="inlineStr">
        <is>
          <t>US828807DU83</t>
        </is>
      </c>
      <c r="F239" s="2" t="n">
        <v>45659</v>
      </c>
      <c r="G239" s="2" t="n">
        <v>46225</v>
      </c>
      <c r="H239" s="2" t="n">
        <v>48750</v>
      </c>
      <c r="I239" s="3" t="n">
        <v>65.7784</v>
      </c>
      <c r="J239" s="3" t="n">
        <v>43.9326</v>
      </c>
      <c r="K239" s="3" t="n">
        <v>63.576</v>
      </c>
      <c r="L239" s="3" t="n">
        <v>48.64</v>
      </c>
      <c r="M239" s="3" t="n">
        <v>2.202400000000004</v>
      </c>
      <c r="N239" s="3" t="n">
        <v>-13.9735</v>
      </c>
      <c r="O239" s="3" t="n">
        <v>19.5956</v>
      </c>
      <c r="P239" s="4" t="n">
        <v>48.18687423851103</v>
      </c>
      <c r="Q239" s="3" t="n">
        <v>-19.6434</v>
      </c>
      <c r="R239" s="3" t="n">
        <v>-28.8783</v>
      </c>
      <c r="S239" s="3" t="n">
        <v>4.859200000000001</v>
      </c>
      <c r="T239" s="4" t="n">
        <v>27.37280474249722</v>
      </c>
      <c r="U239" s="5">
        <f>IFERROR(BDP(E239&amp;" Corp","LAST_PRICE"),"--")</f>
        <v/>
      </c>
      <c r="V239" s="6">
        <f>IFERROR(BDP(E239&amp;" Corp","YAS_BENCHMARK_BOND_ISIN"),"--")</f>
        <v/>
      </c>
      <c r="W239" s="5">
        <f>IFERROR(BDP(V239&amp;" CORP","LAST_PRICE"),"--")</f>
        <v/>
      </c>
      <c r="X239" s="7">
        <f>IFERROR(BDP(E239&amp;" Corp","YAS_YLD_SPREAD","YAS_BOND_PX="&amp;U239,"YAS_BNCHMRK_BOND_PX="&amp;W239),"--")</f>
        <v/>
      </c>
      <c r="Y239" s="7">
        <f>IFERROR(BDP(E239&amp;" Corp","BLOOMBERG_MID_G_SPREAD","YAS_BOND_PX="&amp;U239,"YAS_BNCHMRK_BOND_PX="&amp;W239),"--")</f>
        <v/>
      </c>
      <c r="Z239" s="7">
        <f>IFERROR(BDP(D239,"LAST_PRICE"),"--")</f>
        <v/>
      </c>
      <c r="AA239" s="7">
        <f>IFERROR(Z239-Y239,"--")</f>
        <v/>
      </c>
      <c r="AB239" s="8">
        <f>IFERROR((AA239-R239)/(S239-R239)*100,"--")</f>
        <v/>
      </c>
    </row>
    <row r="240">
      <c r="A240" t="inlineStr">
        <is>
          <t>SRE</t>
        </is>
      </c>
      <c r="B240" t="inlineStr">
        <is>
          <t>IG</t>
        </is>
      </c>
      <c r="C240" t="inlineStr">
        <is>
          <t>SRE 5 1/2 08/01/33</t>
        </is>
      </c>
      <c r="D240" t="inlineStr">
        <is>
          <t>SRE CDS USD SR 5Y D14 Corp</t>
        </is>
      </c>
      <c r="E240" t="inlineStr">
        <is>
          <t>US816851BR98</t>
        </is>
      </c>
      <c r="F240" s="2" t="n">
        <v>45659</v>
      </c>
      <c r="G240" s="2" t="n">
        <v>46225</v>
      </c>
      <c r="H240" s="2" t="n">
        <v>48933</v>
      </c>
      <c r="I240" s="3" t="n">
        <v>51.7981</v>
      </c>
      <c r="J240" s="3" t="n">
        <v>36.0998</v>
      </c>
      <c r="K240" s="3" t="n">
        <v>76.137</v>
      </c>
      <c r="L240" s="3" t="n">
        <v>62.801</v>
      </c>
      <c r="M240" s="3" t="n">
        <v>-24.3389</v>
      </c>
      <c r="N240" s="3" t="n">
        <v>-75.11610000000002</v>
      </c>
      <c r="O240" s="3" t="n">
        <v>-15.6838</v>
      </c>
      <c r="P240" s="4" t="n">
        <v>85.43704349318469</v>
      </c>
      <c r="Q240" s="3" t="n">
        <v>-40.0372</v>
      </c>
      <c r="R240" s="3" t="n">
        <v>-88.9906</v>
      </c>
      <c r="S240" s="3" t="n">
        <v>-31.7364</v>
      </c>
      <c r="T240" s="4" t="n">
        <v>85.50184964596484</v>
      </c>
      <c r="U240" s="5">
        <f>IFERROR(BDP(E240&amp;" Corp","LAST_PRICE"),"--")</f>
        <v/>
      </c>
      <c r="V240" s="6">
        <f>IFERROR(BDP(E240&amp;" Corp","YAS_BENCHMARK_BOND_ISIN"),"--")</f>
        <v/>
      </c>
      <c r="W240" s="5">
        <f>IFERROR(BDP(V240&amp;" CORP","LAST_PRICE"),"--")</f>
        <v/>
      </c>
      <c r="X240" s="7">
        <f>IFERROR(BDP(E240&amp;" Corp","YAS_YLD_SPREAD","YAS_BOND_PX="&amp;U240,"YAS_BNCHMRK_BOND_PX="&amp;W240),"--")</f>
        <v/>
      </c>
      <c r="Y240" s="7">
        <f>IFERROR(BDP(E240&amp;" Corp","BLOOMBERG_MID_G_SPREAD","YAS_BOND_PX="&amp;U240,"YAS_BNCHMRK_BOND_PX="&amp;W240),"--")</f>
        <v/>
      </c>
      <c r="Z240" s="7">
        <f>IFERROR(BDP(D240,"LAST_PRICE"),"--")</f>
        <v/>
      </c>
      <c r="AA240" s="7">
        <f>IFERROR(Z240-Y240,"--")</f>
        <v/>
      </c>
      <c r="AB240" s="8">
        <f>IFERROR((AA240-R240)/(S240-R240)*100,"--")</f>
        <v/>
      </c>
    </row>
    <row r="241">
      <c r="A241" t="inlineStr">
        <is>
          <t>TGT</t>
        </is>
      </c>
      <c r="B241" t="inlineStr">
        <is>
          <t>IG</t>
        </is>
      </c>
      <c r="C241" t="inlineStr">
        <is>
          <t>TGT 4 1/2 09/15/32</t>
        </is>
      </c>
      <c r="D241" t="inlineStr">
        <is>
          <t>TGT CDS USD SR 5Y D14 Corp</t>
        </is>
      </c>
      <c r="E241" t="inlineStr">
        <is>
          <t>US87612EBP07</t>
        </is>
      </c>
      <c r="F241" s="2" t="n">
        <v>45659</v>
      </c>
      <c r="G241" s="2" t="n">
        <v>46225</v>
      </c>
      <c r="H241" s="2" t="n">
        <v>48568</v>
      </c>
      <c r="I241" s="3" t="n">
        <v>46.7693</v>
      </c>
      <c r="J241" s="3" t="n">
        <v>35</v>
      </c>
      <c r="K241" s="3" t="n">
        <v>28.088</v>
      </c>
      <c r="L241" s="3" t="n">
        <v>36.929</v>
      </c>
      <c r="M241" s="3" t="n">
        <v>18.6813</v>
      </c>
      <c r="N241" s="3" t="n">
        <v>-10.2608</v>
      </c>
      <c r="O241" s="3" t="n">
        <v>33.8359</v>
      </c>
      <c r="P241" s="4" t="n">
        <v>65.63325600328369</v>
      </c>
      <c r="Q241" s="3" t="n">
        <v>6.911999999999999</v>
      </c>
      <c r="R241" s="3" t="n">
        <v>-19.36880000000001</v>
      </c>
      <c r="S241" s="3" t="n">
        <v>23.2461</v>
      </c>
      <c r="T241" s="4" t="n">
        <v>61.67044859896422</v>
      </c>
      <c r="U241" s="5">
        <f>IFERROR(BDP(E241&amp;" Corp","LAST_PRICE"),"--")</f>
        <v/>
      </c>
      <c r="V241" s="6">
        <f>IFERROR(BDP(E241&amp;" Corp","YAS_BENCHMARK_BOND_ISIN"),"--")</f>
        <v/>
      </c>
      <c r="W241" s="5">
        <f>IFERROR(BDP(V241&amp;" CORP","LAST_PRICE"),"--")</f>
        <v/>
      </c>
      <c r="X241" s="7">
        <f>IFERROR(BDP(E241&amp;" Corp","YAS_YLD_SPREAD","YAS_BOND_PX="&amp;U241,"YAS_BNCHMRK_BOND_PX="&amp;W241),"--")</f>
        <v/>
      </c>
      <c r="Y241" s="7">
        <f>IFERROR(BDP(E241&amp;" Corp","BLOOMBERG_MID_G_SPREAD","YAS_BOND_PX="&amp;U241,"YAS_BNCHMRK_BOND_PX="&amp;W241),"--")</f>
        <v/>
      </c>
      <c r="Z241" s="7">
        <f>IFERROR(BDP(D241,"LAST_PRICE"),"--")</f>
        <v/>
      </c>
      <c r="AA241" s="7">
        <f>IFERROR(Z241-Y241,"--")</f>
        <v/>
      </c>
      <c r="AB241" s="8">
        <f>IFERROR((AA241-R241)/(S241-R241)*100,"--")</f>
        <v/>
      </c>
    </row>
    <row r="242">
      <c r="A242" t="inlineStr">
        <is>
          <t>TMUS</t>
        </is>
      </c>
      <c r="B242" t="inlineStr">
        <is>
          <t>IG</t>
        </is>
      </c>
      <c r="C242" t="inlineStr">
        <is>
          <t>TMUS 5 1/8 05/15/32</t>
        </is>
      </c>
      <c r="D242" t="inlineStr">
        <is>
          <t>TMUS A CDS USD SR 5Y D14 Corp</t>
        </is>
      </c>
      <c r="E242" t="inlineStr">
        <is>
          <t>US87264ADS15</t>
        </is>
      </c>
      <c r="F242" s="2" t="n">
        <v>45741</v>
      </c>
      <c r="G242" s="2" t="n">
        <v>46225</v>
      </c>
      <c r="H242" s="2" t="n">
        <v>48385</v>
      </c>
      <c r="I242" s="3" t="n">
        <v>63.9463</v>
      </c>
      <c r="J242" s="3" t="n">
        <v>55.1883</v>
      </c>
      <c r="K242" s="3" t="n">
        <v>67.773</v>
      </c>
      <c r="L242" s="3" t="n">
        <v>76.837</v>
      </c>
      <c r="M242" s="3" t="n">
        <v>-3.826699999999995</v>
      </c>
      <c r="N242" s="3" t="n">
        <v>-46.32039999999999</v>
      </c>
      <c r="O242" s="3" t="n">
        <v>-2.120699999999992</v>
      </c>
      <c r="P242" s="4" t="n">
        <v>96.14024529578255</v>
      </c>
      <c r="Q242" s="3" t="n">
        <v>-12.5847</v>
      </c>
      <c r="R242" s="3" t="n">
        <v>-52.11899999999999</v>
      </c>
      <c r="S242" s="3" t="n">
        <v>-10.8319</v>
      </c>
      <c r="T242" s="4" t="n">
        <v>95.75460616027766</v>
      </c>
      <c r="U242" s="5">
        <f>IFERROR(BDP(E242&amp;" Corp","LAST_PRICE"),"--")</f>
        <v/>
      </c>
      <c r="V242" s="6">
        <f>IFERROR(BDP(E242&amp;" Corp","YAS_BENCHMARK_BOND_ISIN"),"--")</f>
        <v/>
      </c>
      <c r="W242" s="5">
        <f>IFERROR(BDP(V242&amp;" CORP","LAST_PRICE"),"--")</f>
        <v/>
      </c>
      <c r="X242" s="7">
        <f>IFERROR(BDP(E242&amp;" Corp","YAS_YLD_SPREAD","YAS_BOND_PX="&amp;U242,"YAS_BNCHMRK_BOND_PX="&amp;W242),"--")</f>
        <v/>
      </c>
      <c r="Y242" s="7">
        <f>IFERROR(BDP(E242&amp;" Corp","BLOOMBERG_MID_G_SPREAD","YAS_BOND_PX="&amp;U242,"YAS_BNCHMRK_BOND_PX="&amp;W242),"--")</f>
        <v/>
      </c>
      <c r="Z242" s="7">
        <f>IFERROR(BDP(D242,"LAST_PRICE"),"--")</f>
        <v/>
      </c>
      <c r="AA242" s="7">
        <f>IFERROR(Z242-Y242,"--")</f>
        <v/>
      </c>
      <c r="AB242" s="8">
        <f>IFERROR((AA242-R242)/(S242-R242)*100,"--")</f>
        <v/>
      </c>
    </row>
    <row r="243">
      <c r="A243" t="inlineStr">
        <is>
          <t>TOL</t>
        </is>
      </c>
      <c r="B243" t="inlineStr">
        <is>
          <t>IG</t>
        </is>
      </c>
      <c r="C243" t="inlineStr">
        <is>
          <t>TOL 5.6 06/15/35</t>
        </is>
      </c>
      <c r="D243" t="inlineStr">
        <is>
          <t>TOL CDS USD SR 5Y D14 Corp</t>
        </is>
      </c>
      <c r="E243" t="inlineStr">
        <is>
          <t>US88947EAX85</t>
        </is>
      </c>
      <c r="F243" s="2" t="n">
        <v>45814</v>
      </c>
      <c r="G243" s="2" t="n">
        <v>46225</v>
      </c>
      <c r="H243" s="2" t="n">
        <v>49480</v>
      </c>
      <c r="I243" s="3" t="n">
        <v>120.3269</v>
      </c>
      <c r="J243" s="3" t="n">
        <v>74.87130000000001</v>
      </c>
      <c r="K243" s="3" t="n">
        <v>98.108</v>
      </c>
      <c r="L243" s="3" t="n">
        <v>96.437</v>
      </c>
      <c r="M243" s="3" t="n">
        <v>22.21889999999999</v>
      </c>
      <c r="N243" s="3" t="n">
        <v>0.6565999999999974</v>
      </c>
      <c r="O243" s="3" t="n">
        <v>44.5509</v>
      </c>
      <c r="P243" s="4" t="n">
        <v>49.12323467967366</v>
      </c>
      <c r="Q243" s="3" t="n">
        <v>-23.2367</v>
      </c>
      <c r="R243" s="3" t="n">
        <v>-32.69030000000001</v>
      </c>
      <c r="S243" s="3" t="n">
        <v>2.216200000000001</v>
      </c>
      <c r="T243" s="4" t="n">
        <v>27.08263503931934</v>
      </c>
      <c r="U243" s="5">
        <f>IFERROR(BDP(E243&amp;" Corp","LAST_PRICE"),"--")</f>
        <v/>
      </c>
      <c r="V243" s="6">
        <f>IFERROR(BDP(E243&amp;" Corp","YAS_BENCHMARK_BOND_ISIN"),"--")</f>
        <v/>
      </c>
      <c r="W243" s="5">
        <f>IFERROR(BDP(V243&amp;" CORP","LAST_PRICE"),"--")</f>
        <v/>
      </c>
      <c r="X243" s="7">
        <f>IFERROR(BDP(E243&amp;" Corp","YAS_YLD_SPREAD","YAS_BOND_PX="&amp;U243,"YAS_BNCHMRK_BOND_PX="&amp;W243),"--")</f>
        <v/>
      </c>
      <c r="Y243" s="7">
        <f>IFERROR(BDP(E243&amp;" Corp","BLOOMBERG_MID_G_SPREAD","YAS_BOND_PX="&amp;U243,"YAS_BNCHMRK_BOND_PX="&amp;W243),"--")</f>
        <v/>
      </c>
      <c r="Z243" s="7">
        <f>IFERROR(BDP(D243,"LAST_PRICE"),"--")</f>
        <v/>
      </c>
      <c r="AA243" s="7">
        <f>IFERROR(Z243-Y243,"--")</f>
        <v/>
      </c>
      <c r="AB243" s="8">
        <f>IFERROR((AA243-R243)/(S243-R243)*100,"--")</f>
        <v/>
      </c>
    </row>
    <row r="244">
      <c r="A244" t="inlineStr">
        <is>
          <t>TRP</t>
        </is>
      </c>
      <c r="B244" t="inlineStr">
        <is>
          <t>IG</t>
        </is>
      </c>
      <c r="C244" t="inlineStr">
        <is>
          <t>TRPCN 4 5/8 03/01/34</t>
        </is>
      </c>
      <c r="D244" t="inlineStr">
        <is>
          <t>TRPCN CDS USD SR 5Y D14 Corp</t>
        </is>
      </c>
      <c r="E244" t="inlineStr">
        <is>
          <t>US89352HAM16</t>
        </is>
      </c>
      <c r="F244" s="2" t="n">
        <v>45659</v>
      </c>
      <c r="G244" s="2" t="n">
        <v>46225</v>
      </c>
      <c r="H244" s="2" t="n">
        <v>49115</v>
      </c>
      <c r="I244" s="3" t="n">
        <v>67.9461</v>
      </c>
      <c r="J244" s="3" t="n">
        <v>42.5</v>
      </c>
      <c r="K244" s="3" t="n">
        <v>79.97799999999999</v>
      </c>
      <c r="L244" s="3" t="n">
        <v>71.476</v>
      </c>
      <c r="M244" s="3" t="n">
        <v>-12.03189999999999</v>
      </c>
      <c r="N244" s="3" t="n">
        <v>-65.24739999999998</v>
      </c>
      <c r="O244" s="3" t="n">
        <v>-5.075800000000001</v>
      </c>
      <c r="P244" s="4" t="n">
        <v>88.43956285024829</v>
      </c>
      <c r="Q244" s="3" t="n">
        <v>-37.47799999999999</v>
      </c>
      <c r="R244" s="3" t="n">
        <v>-86.20029999999998</v>
      </c>
      <c r="S244" s="3" t="n">
        <v>-28.6983</v>
      </c>
      <c r="T244" s="4" t="n">
        <v>84.73148760043129</v>
      </c>
      <c r="U244" s="5">
        <f>IFERROR(BDP(E244&amp;" Corp","LAST_PRICE"),"--")</f>
        <v/>
      </c>
      <c r="V244" s="6">
        <f>IFERROR(BDP(E244&amp;" Corp","YAS_BENCHMARK_BOND_ISIN"),"--")</f>
        <v/>
      </c>
      <c r="W244" s="5">
        <f>IFERROR(BDP(V244&amp;" CORP","LAST_PRICE"),"--")</f>
        <v/>
      </c>
      <c r="X244" s="7">
        <f>IFERROR(BDP(E244&amp;" Corp","YAS_YLD_SPREAD","YAS_BOND_PX="&amp;U244,"YAS_BNCHMRK_BOND_PX="&amp;W244),"--")</f>
        <v/>
      </c>
      <c r="Y244" s="7">
        <f>IFERROR(BDP(E244&amp;" Corp","BLOOMBERG_MID_G_SPREAD","YAS_BOND_PX="&amp;U244,"YAS_BNCHMRK_BOND_PX="&amp;W244),"--")</f>
        <v/>
      </c>
      <c r="Z244" s="7">
        <f>IFERROR(BDP(D244,"LAST_PRICE"),"--")</f>
        <v/>
      </c>
      <c r="AA244" s="7">
        <f>IFERROR(Z244-Y244,"--")</f>
        <v/>
      </c>
      <c r="AB244" s="8">
        <f>IFERROR((AA244-R244)/(S244-R244)*100,"--")</f>
        <v/>
      </c>
    </row>
    <row r="245">
      <c r="A245" t="inlineStr">
        <is>
          <t>TSN</t>
        </is>
      </c>
      <c r="B245" t="inlineStr">
        <is>
          <t>IG</t>
        </is>
      </c>
      <c r="C245" t="inlineStr">
        <is>
          <t>TSN 5.7 03/15/34</t>
        </is>
      </c>
      <c r="D245" t="inlineStr">
        <is>
          <t>TSN CDS USD SR 5Y D14 Corp</t>
        </is>
      </c>
      <c r="E245" t="inlineStr">
        <is>
          <t>US902494BM45</t>
        </is>
      </c>
      <c r="F245" s="2" t="n">
        <v>45659</v>
      </c>
      <c r="G245" s="2" t="n">
        <v>46225</v>
      </c>
      <c r="H245" s="2" t="n">
        <v>49115</v>
      </c>
      <c r="I245" s="3" t="n">
        <v>65.19929999999999</v>
      </c>
      <c r="J245" s="3" t="n">
        <v>42.5543</v>
      </c>
      <c r="K245" s="3" t="n">
        <v>85.77800000000001</v>
      </c>
      <c r="L245" s="3" t="n">
        <v>75.73099999999999</v>
      </c>
      <c r="M245" s="3" t="n">
        <v>-20.57870000000001</v>
      </c>
      <c r="N245" s="3" t="n">
        <v>-53.9529</v>
      </c>
      <c r="O245" s="3" t="n">
        <v>-12.374</v>
      </c>
      <c r="P245" s="4" t="n">
        <v>80.2671547347332</v>
      </c>
      <c r="Q245" s="3" t="n">
        <v>-43.22370000000001</v>
      </c>
      <c r="R245" s="3" t="n">
        <v>-74.23999999999999</v>
      </c>
      <c r="S245" s="3" t="n">
        <v>-33.0575</v>
      </c>
      <c r="T245" s="4" t="n">
        <v>75.31427183876646</v>
      </c>
      <c r="U245" s="5">
        <f>IFERROR(BDP(E245&amp;" Corp","LAST_PRICE"),"--")</f>
        <v/>
      </c>
      <c r="V245" s="6">
        <f>IFERROR(BDP(E245&amp;" Corp","YAS_BENCHMARK_BOND_ISIN"),"--")</f>
        <v/>
      </c>
      <c r="W245" s="5">
        <f>IFERROR(BDP(V245&amp;" CORP","LAST_PRICE"),"--")</f>
        <v/>
      </c>
      <c r="X245" s="7">
        <f>IFERROR(BDP(E245&amp;" Corp","YAS_YLD_SPREAD","YAS_BOND_PX="&amp;U245,"YAS_BNCHMRK_BOND_PX="&amp;W245),"--")</f>
        <v/>
      </c>
      <c r="Y245" s="7">
        <f>IFERROR(BDP(E245&amp;" Corp","BLOOMBERG_MID_G_SPREAD","YAS_BOND_PX="&amp;U245,"YAS_BNCHMRK_BOND_PX="&amp;W245),"--")</f>
        <v/>
      </c>
      <c r="Z245" s="7">
        <f>IFERROR(BDP(D245,"LAST_PRICE"),"--")</f>
        <v/>
      </c>
      <c r="AA245" s="7">
        <f>IFERROR(Z245-Y245,"--")</f>
        <v/>
      </c>
      <c r="AB245" s="8">
        <f>IFERROR((AA245-R245)/(S245-R245)*100,"--")</f>
        <v/>
      </c>
    </row>
    <row r="246">
      <c r="A246" t="inlineStr">
        <is>
          <t>UNH</t>
        </is>
      </c>
      <c r="B246" t="inlineStr">
        <is>
          <t>IG</t>
        </is>
      </c>
      <c r="C246" t="inlineStr">
        <is>
          <t>UNH 5.15 07/15/34</t>
        </is>
      </c>
      <c r="D246" t="inlineStr">
        <is>
          <t>UNH CDS USD SR 5Y D14 Corp</t>
        </is>
      </c>
      <c r="E246" t="inlineStr">
        <is>
          <t>US91324PFJ66</t>
        </is>
      </c>
      <c r="F246" s="2" t="n">
        <v>45659</v>
      </c>
      <c r="G246" s="2" t="n">
        <v>46225</v>
      </c>
      <c r="H246" s="2" t="n">
        <v>49298</v>
      </c>
      <c r="I246" s="3" t="n">
        <v>67.83150000000001</v>
      </c>
      <c r="J246" s="3" t="n">
        <v>48.3329</v>
      </c>
      <c r="K246" s="3" t="n">
        <v>67.55200000000001</v>
      </c>
      <c r="L246" s="3" t="n">
        <v>59.478</v>
      </c>
      <c r="M246" s="3" t="n">
        <v>0.2794999999999987</v>
      </c>
      <c r="N246" s="3" t="n">
        <v>-26.6417</v>
      </c>
      <c r="O246" s="3" t="n">
        <v>10.5596</v>
      </c>
      <c r="P246" s="4" t="n">
        <v>72.36628827487212</v>
      </c>
      <c r="Q246" s="3" t="n">
        <v>-19.2191</v>
      </c>
      <c r="R246" s="3" t="n">
        <v>-40.5095</v>
      </c>
      <c r="S246" s="3" t="n">
        <v>-10.07109999999999</v>
      </c>
      <c r="T246" s="4" t="n">
        <v>69.94585786375102</v>
      </c>
      <c r="U246" s="5">
        <f>IFERROR(BDP(E246&amp;" Corp","LAST_PRICE"),"--")</f>
        <v/>
      </c>
      <c r="V246" s="6">
        <f>IFERROR(BDP(E246&amp;" Corp","YAS_BENCHMARK_BOND_ISIN"),"--")</f>
        <v/>
      </c>
      <c r="W246" s="5">
        <f>IFERROR(BDP(V246&amp;" CORP","LAST_PRICE"),"--")</f>
        <v/>
      </c>
      <c r="X246" s="7">
        <f>IFERROR(BDP(E246&amp;" Corp","YAS_YLD_SPREAD","YAS_BOND_PX="&amp;U246,"YAS_BNCHMRK_BOND_PX="&amp;W246),"--")</f>
        <v/>
      </c>
      <c r="Y246" s="7">
        <f>IFERROR(BDP(E246&amp;" Corp","BLOOMBERG_MID_G_SPREAD","YAS_BOND_PX="&amp;U246,"YAS_BNCHMRK_BOND_PX="&amp;W246),"--")</f>
        <v/>
      </c>
      <c r="Z246" s="7">
        <f>IFERROR(BDP(D246,"LAST_PRICE"),"--")</f>
        <v/>
      </c>
      <c r="AA246" s="7">
        <f>IFERROR(Z246-Y246,"--")</f>
        <v/>
      </c>
      <c r="AB246" s="8">
        <f>IFERROR((AA246-R246)/(S246-R246)*100,"--")</f>
        <v/>
      </c>
    </row>
    <row r="247">
      <c r="A247" t="inlineStr">
        <is>
          <t>UNP</t>
        </is>
      </c>
      <c r="B247" t="inlineStr">
        <is>
          <t>IG</t>
        </is>
      </c>
      <c r="C247" t="inlineStr">
        <is>
          <t>UNP 5.1 02/20/35</t>
        </is>
      </c>
      <c r="D247" t="inlineStr">
        <is>
          <t>UNP CDS USD SR 5Y D14 Corp</t>
        </is>
      </c>
      <c r="E247" t="inlineStr">
        <is>
          <t>US907818GG79</t>
        </is>
      </c>
      <c r="F247" s="2" t="n">
        <v>45736</v>
      </c>
      <c r="G247" s="2" t="n">
        <v>46225</v>
      </c>
      <c r="H247" s="2" t="n">
        <v>49480</v>
      </c>
      <c r="I247" s="3" t="n">
        <v>34.7974</v>
      </c>
      <c r="J247" s="3" t="n">
        <v>18.8426</v>
      </c>
      <c r="K247" s="3" t="n">
        <v>49.746</v>
      </c>
      <c r="L247" s="3" t="n">
        <v>45.956</v>
      </c>
      <c r="M247" s="3" t="n">
        <v>-14.9486</v>
      </c>
      <c r="N247" s="3" t="n">
        <v>-46.3233</v>
      </c>
      <c r="O247" s="3" t="n">
        <v>-9.372</v>
      </c>
      <c r="P247" s="4" t="n">
        <v>84.90824409425379</v>
      </c>
      <c r="Q247" s="3" t="n">
        <v>-30.9034</v>
      </c>
      <c r="R247" s="3" t="n">
        <v>-61.53999999999999</v>
      </c>
      <c r="S247" s="3" t="n">
        <v>-26.3314</v>
      </c>
      <c r="T247" s="4" t="n">
        <v>87.01453622126412</v>
      </c>
      <c r="U247" s="5">
        <f>IFERROR(BDP(E247&amp;" Corp","LAST_PRICE"),"--")</f>
        <v/>
      </c>
      <c r="V247" s="6">
        <f>IFERROR(BDP(E247&amp;" Corp","YAS_BENCHMARK_BOND_ISIN"),"--")</f>
        <v/>
      </c>
      <c r="W247" s="5">
        <f>IFERROR(BDP(V247&amp;" CORP","LAST_PRICE"),"--")</f>
        <v/>
      </c>
      <c r="X247" s="7">
        <f>IFERROR(BDP(E247&amp;" Corp","YAS_YLD_SPREAD","YAS_BOND_PX="&amp;U247,"YAS_BNCHMRK_BOND_PX="&amp;W247),"--")</f>
        <v/>
      </c>
      <c r="Y247" s="7">
        <f>IFERROR(BDP(E247&amp;" Corp","BLOOMBERG_MID_G_SPREAD","YAS_BOND_PX="&amp;U247,"YAS_BNCHMRK_BOND_PX="&amp;W247),"--")</f>
        <v/>
      </c>
      <c r="Z247" s="7">
        <f>IFERROR(BDP(D247,"LAST_PRICE"),"--")</f>
        <v/>
      </c>
      <c r="AA247" s="7">
        <f>IFERROR(Z247-Y247,"--")</f>
        <v/>
      </c>
      <c r="AB247" s="8">
        <f>IFERROR((AA247-R247)/(S247-R247)*100,"--")</f>
        <v/>
      </c>
    </row>
    <row r="248">
      <c r="A248" t="inlineStr">
        <is>
          <t>UPS</t>
        </is>
      </c>
      <c r="B248" t="inlineStr">
        <is>
          <t>IG</t>
        </is>
      </c>
      <c r="C248" t="inlineStr">
        <is>
          <t>UPS 5.15 05/22/34</t>
        </is>
      </c>
      <c r="D248" t="inlineStr">
        <is>
          <t>UPS CDS USD SR 5Y D14 Corp</t>
        </is>
      </c>
      <c r="E248" t="inlineStr">
        <is>
          <t>US911312CD61</t>
        </is>
      </c>
      <c r="F248" s="2" t="n">
        <v>45659</v>
      </c>
      <c r="G248" s="2" t="n">
        <v>46225</v>
      </c>
      <c r="H248" s="2" t="n">
        <v>49115</v>
      </c>
      <c r="I248" s="3" t="n">
        <v>39.9708</v>
      </c>
      <c r="J248" s="3" t="n">
        <v>24.0809</v>
      </c>
      <c r="K248" s="3" t="n">
        <v>47.53</v>
      </c>
      <c r="L248" s="3" t="n">
        <v>38.804</v>
      </c>
      <c r="M248" s="3" t="n">
        <v>-7.559200000000004</v>
      </c>
      <c r="N248" s="3" t="n">
        <v>-25.16510000000001</v>
      </c>
      <c r="O248" s="3" t="n">
        <v>7.309600000000003</v>
      </c>
      <c r="P248" s="4" t="n">
        <v>54.21420367239728</v>
      </c>
      <c r="Q248" s="3" t="n">
        <v>-23.4491</v>
      </c>
      <c r="R248" s="3" t="n">
        <v>-39.2116</v>
      </c>
      <c r="S248" s="3" t="n">
        <v>-7.8446</v>
      </c>
      <c r="T248" s="4" t="n">
        <v>50.25185704721523</v>
      </c>
      <c r="U248" s="5">
        <f>IFERROR(BDP(E248&amp;" Corp","LAST_PRICE"),"--")</f>
        <v/>
      </c>
      <c r="V248" s="6">
        <f>IFERROR(BDP(E248&amp;" Corp","YAS_BENCHMARK_BOND_ISIN"),"--")</f>
        <v/>
      </c>
      <c r="W248" s="5">
        <f>IFERROR(BDP(V248&amp;" CORP","LAST_PRICE"),"--")</f>
        <v/>
      </c>
      <c r="X248" s="7">
        <f>IFERROR(BDP(E248&amp;" Corp","YAS_YLD_SPREAD","YAS_BOND_PX="&amp;U248,"YAS_BNCHMRK_BOND_PX="&amp;W248),"--")</f>
        <v/>
      </c>
      <c r="Y248" s="7">
        <f>IFERROR(BDP(E248&amp;" Corp","BLOOMBERG_MID_G_SPREAD","YAS_BOND_PX="&amp;U248,"YAS_BNCHMRK_BOND_PX="&amp;W248),"--")</f>
        <v/>
      </c>
      <c r="Z248" s="7">
        <f>IFERROR(BDP(D248,"LAST_PRICE"),"--")</f>
        <v/>
      </c>
      <c r="AA248" s="7">
        <f>IFERROR(Z248-Y248,"--")</f>
        <v/>
      </c>
      <c r="AB248" s="8">
        <f>IFERROR((AA248-R248)/(S248-R248)*100,"--")</f>
        <v/>
      </c>
    </row>
    <row r="249">
      <c r="A249" t="inlineStr">
        <is>
          <t>VLO</t>
        </is>
      </c>
      <c r="B249" t="inlineStr">
        <is>
          <t>IG</t>
        </is>
      </c>
      <c r="C249" t="inlineStr">
        <is>
          <t>VLO 5.15 02/15/30</t>
        </is>
      </c>
      <c r="D249" t="inlineStr">
        <is>
          <t>VLO CDS USD SR 5Y D14 Corp</t>
        </is>
      </c>
      <c r="E249" t="inlineStr">
        <is>
          <t>US91913YBF60</t>
        </is>
      </c>
      <c r="F249" s="2" t="n">
        <v>45693</v>
      </c>
      <c r="G249" s="2" t="n">
        <v>46225</v>
      </c>
      <c r="H249" s="2" t="n">
        <v>47654</v>
      </c>
      <c r="I249" s="3" t="n">
        <v>34.1667</v>
      </c>
      <c r="J249" s="3" t="n">
        <v>43.3333</v>
      </c>
      <c r="K249" s="3" t="n">
        <v>52.729</v>
      </c>
      <c r="L249" s="3" t="n">
        <v>48.488</v>
      </c>
      <c r="M249" s="3" t="n">
        <v>-18.5623</v>
      </c>
      <c r="N249" s="3" t="n">
        <v>-54.33339999999998</v>
      </c>
      <c r="O249" s="3" t="n">
        <v>-12.4775</v>
      </c>
      <c r="P249" s="4" t="n">
        <v>85.46250349413104</v>
      </c>
      <c r="Q249" s="3" t="n">
        <v>-9.395699999999998</v>
      </c>
      <c r="R249" s="3" t="n">
        <v>-40.43769999999999</v>
      </c>
      <c r="S249" s="3" t="n">
        <v>1.707900000000009</v>
      </c>
      <c r="T249" s="4" t="n">
        <v>73.65418928666337</v>
      </c>
      <c r="U249" s="5">
        <f>IFERROR(BDP(E249&amp;" Corp","LAST_PRICE"),"--")</f>
        <v/>
      </c>
      <c r="V249" s="6">
        <f>IFERROR(BDP(E249&amp;" Corp","YAS_BENCHMARK_BOND_ISIN"),"--")</f>
        <v/>
      </c>
      <c r="W249" s="5">
        <f>IFERROR(BDP(V249&amp;" CORP","LAST_PRICE"),"--")</f>
        <v/>
      </c>
      <c r="X249" s="7">
        <f>IFERROR(BDP(E249&amp;" Corp","YAS_YLD_SPREAD","YAS_BOND_PX="&amp;U249,"YAS_BNCHMRK_BOND_PX="&amp;W249),"--")</f>
        <v/>
      </c>
      <c r="Y249" s="7">
        <f>IFERROR(BDP(E249&amp;" Corp","BLOOMBERG_MID_G_SPREAD","YAS_BOND_PX="&amp;U249,"YAS_BNCHMRK_BOND_PX="&amp;W249),"--")</f>
        <v/>
      </c>
      <c r="Z249" s="7">
        <f>IFERROR(BDP(D249,"LAST_PRICE"),"--")</f>
        <v/>
      </c>
      <c r="AA249" s="7">
        <f>IFERROR(Z249-Y249,"--")</f>
        <v/>
      </c>
      <c r="AB249" s="8">
        <f>IFERROR((AA249-R249)/(S249-R249)*100,"--")</f>
        <v/>
      </c>
    </row>
    <row r="250">
      <c r="A250" t="inlineStr">
        <is>
          <t>VZ</t>
        </is>
      </c>
      <c r="B250" t="inlineStr">
        <is>
          <t>IG</t>
        </is>
      </c>
      <c r="C250" t="inlineStr">
        <is>
          <t>VZ 5.05 05/09/33</t>
        </is>
      </c>
      <c r="D250" t="inlineStr">
        <is>
          <t>VZNEW CDS USD SR 5Y D14 Corp</t>
        </is>
      </c>
      <c r="E250" t="inlineStr">
        <is>
          <t>US92343VGT52</t>
        </is>
      </c>
      <c r="F250" s="2" t="n">
        <v>45659</v>
      </c>
      <c r="G250" s="2" t="n">
        <v>46225</v>
      </c>
      <c r="H250" s="2" t="n">
        <v>48750</v>
      </c>
      <c r="I250" s="3" t="n">
        <v>85.9344</v>
      </c>
      <c r="J250" s="3" t="n">
        <v>67.89870000000001</v>
      </c>
      <c r="K250" s="3" t="n">
        <v>67.515</v>
      </c>
      <c r="L250" s="3" t="n">
        <v>55.416</v>
      </c>
      <c r="M250" s="3" t="n">
        <v>18.4194</v>
      </c>
      <c r="N250" s="3" t="n">
        <v>-2.094099999999997</v>
      </c>
      <c r="O250" s="3" t="n">
        <v>23.73690000000001</v>
      </c>
      <c r="P250" s="4" t="n">
        <v>79.4142696759707</v>
      </c>
      <c r="Q250" s="3" t="n">
        <v>0.3837000000000046</v>
      </c>
      <c r="R250" s="3" t="n">
        <v>-17.06740000000001</v>
      </c>
      <c r="S250" s="3" t="n">
        <v>9.299400000000006</v>
      </c>
      <c r="T250" s="4" t="n">
        <v>66.18588527997331</v>
      </c>
      <c r="U250" s="5">
        <f>IFERROR(BDP(E250&amp;" Corp","LAST_PRICE"),"--")</f>
        <v/>
      </c>
      <c r="V250" s="6">
        <f>IFERROR(BDP(E250&amp;" Corp","YAS_BENCHMARK_BOND_ISIN"),"--")</f>
        <v/>
      </c>
      <c r="W250" s="5">
        <f>IFERROR(BDP(V250&amp;" CORP","LAST_PRICE"),"--")</f>
        <v/>
      </c>
      <c r="X250" s="7">
        <f>IFERROR(BDP(E250&amp;" Corp","YAS_YLD_SPREAD","YAS_BOND_PX="&amp;U250,"YAS_BNCHMRK_BOND_PX="&amp;W250),"--")</f>
        <v/>
      </c>
      <c r="Y250" s="7">
        <f>IFERROR(BDP(E250&amp;" Corp","BLOOMBERG_MID_G_SPREAD","YAS_BOND_PX="&amp;U250,"YAS_BNCHMRK_BOND_PX="&amp;W250),"--")</f>
        <v/>
      </c>
      <c r="Z250" s="7">
        <f>IFERROR(BDP(D250,"LAST_PRICE"),"--")</f>
        <v/>
      </c>
      <c r="AA250" s="7">
        <f>IFERROR(Z250-Y250,"--")</f>
        <v/>
      </c>
      <c r="AB250" s="8">
        <f>IFERROR((AA250-R250)/(S250-R250)*100,"--")</f>
        <v/>
      </c>
    </row>
    <row r="251">
      <c r="A251" t="inlineStr">
        <is>
          <t>WMB</t>
        </is>
      </c>
      <c r="B251" t="inlineStr">
        <is>
          <t>IG</t>
        </is>
      </c>
      <c r="C251" t="inlineStr">
        <is>
          <t>WMB 4.65 08/15/32</t>
        </is>
      </c>
      <c r="D251" t="inlineStr">
        <is>
          <t>WMB CDS USD SR 5Y D14 Corp</t>
        </is>
      </c>
      <c r="E251" t="inlineStr">
        <is>
          <t>US969457BZ28</t>
        </is>
      </c>
      <c r="F251" s="2" t="n">
        <v>45659</v>
      </c>
      <c r="G251" s="2" t="n">
        <v>46225</v>
      </c>
      <c r="H251" s="2" t="n">
        <v>48568</v>
      </c>
      <c r="I251" s="3" t="n">
        <v>68.6983</v>
      </c>
      <c r="J251" s="3" t="n">
        <v>51.0396</v>
      </c>
      <c r="K251" s="3" t="n">
        <v>66.491</v>
      </c>
      <c r="L251" s="3" t="n">
        <v>74.36</v>
      </c>
      <c r="M251" s="3" t="n">
        <v>2.207300000000004</v>
      </c>
      <c r="N251" s="3" t="n">
        <v>-31.706</v>
      </c>
      <c r="O251" s="3" t="n">
        <v>9.080100000000002</v>
      </c>
      <c r="P251" s="4" t="n">
        <v>83.14916111126095</v>
      </c>
      <c r="Q251" s="3" t="n">
        <v>-15.4514</v>
      </c>
      <c r="R251" s="3" t="n">
        <v>-46.15220000000001</v>
      </c>
      <c r="S251" s="3" t="n">
        <v>-8.381399999999999</v>
      </c>
      <c r="T251" s="4" t="n">
        <v>81.28183676279031</v>
      </c>
      <c r="U251" s="5">
        <f>IFERROR(BDP(E251&amp;" Corp","LAST_PRICE"),"--")</f>
        <v/>
      </c>
      <c r="V251" s="6">
        <f>IFERROR(BDP(E251&amp;" Corp","YAS_BENCHMARK_BOND_ISIN"),"--")</f>
        <v/>
      </c>
      <c r="W251" s="5">
        <f>IFERROR(BDP(V251&amp;" CORP","LAST_PRICE"),"--")</f>
        <v/>
      </c>
      <c r="X251" s="7">
        <f>IFERROR(BDP(E251&amp;" Corp","YAS_YLD_SPREAD","YAS_BOND_PX="&amp;U251,"YAS_BNCHMRK_BOND_PX="&amp;W251),"--")</f>
        <v/>
      </c>
      <c r="Y251" s="7">
        <f>IFERROR(BDP(E251&amp;" Corp","BLOOMBERG_MID_G_SPREAD","YAS_BOND_PX="&amp;U251,"YAS_BNCHMRK_BOND_PX="&amp;W251),"--")</f>
        <v/>
      </c>
      <c r="Z251" s="7">
        <f>IFERROR(BDP(D251,"LAST_PRICE"),"--")</f>
        <v/>
      </c>
      <c r="AA251" s="7">
        <f>IFERROR(Z251-Y251,"--")</f>
        <v/>
      </c>
      <c r="AB251" s="8">
        <f>IFERROR((AA251-R251)/(S251-R251)*100,"--")</f>
        <v/>
      </c>
    </row>
    <row r="252">
      <c r="A252" t="inlineStr">
        <is>
          <t>WMT</t>
        </is>
      </c>
      <c r="B252" t="inlineStr">
        <is>
          <t>IG</t>
        </is>
      </c>
      <c r="C252" t="inlineStr">
        <is>
          <t>WMT 4.1 04/15/33</t>
        </is>
      </c>
      <c r="D252" t="inlineStr">
        <is>
          <t>WMT CDS USD SR 5Y D14 Corp</t>
        </is>
      </c>
      <c r="E252" t="inlineStr">
        <is>
          <t>US931142FD05</t>
        </is>
      </c>
      <c r="F252" s="2" t="n">
        <v>45659</v>
      </c>
      <c r="G252" s="2" t="n">
        <v>46225</v>
      </c>
      <c r="H252" s="2" t="n">
        <v>48750</v>
      </c>
      <c r="I252" s="3" t="n">
        <v>30.7316</v>
      </c>
      <c r="J252" s="3" t="n">
        <v>22.0002</v>
      </c>
      <c r="K252" s="3" t="n">
        <v>24.604</v>
      </c>
      <c r="L252" s="3" t="n">
        <v>11.82</v>
      </c>
      <c r="M252" s="3" t="n">
        <v>6.127600000000001</v>
      </c>
      <c r="N252" s="3" t="n">
        <v>-11.1277</v>
      </c>
      <c r="O252" s="3" t="n">
        <v>23.1056</v>
      </c>
      <c r="P252" s="4" t="n">
        <v>50.40501500001462</v>
      </c>
      <c r="Q252" s="3" t="n">
        <v>-2.6038</v>
      </c>
      <c r="R252" s="3" t="n">
        <v>-19.6223</v>
      </c>
      <c r="S252" s="3" t="n">
        <v>14.8828</v>
      </c>
      <c r="T252" s="4" t="n">
        <v>49.32169447415021</v>
      </c>
      <c r="U252" s="5">
        <f>IFERROR(BDP(E252&amp;" Corp","LAST_PRICE"),"--")</f>
        <v/>
      </c>
      <c r="V252" s="6">
        <f>IFERROR(BDP(E252&amp;" Corp","YAS_BENCHMARK_BOND_ISIN"),"--")</f>
        <v/>
      </c>
      <c r="W252" s="5">
        <f>IFERROR(BDP(V252&amp;" CORP","LAST_PRICE"),"--")</f>
        <v/>
      </c>
      <c r="X252" s="7">
        <f>IFERROR(BDP(E252&amp;" Corp","YAS_YLD_SPREAD","YAS_BOND_PX="&amp;U252,"YAS_BNCHMRK_BOND_PX="&amp;W252),"--")</f>
        <v/>
      </c>
      <c r="Y252" s="7">
        <f>IFERROR(BDP(E252&amp;" Corp","BLOOMBERG_MID_G_SPREAD","YAS_BOND_PX="&amp;U252,"YAS_BNCHMRK_BOND_PX="&amp;W252),"--")</f>
        <v/>
      </c>
      <c r="Z252" s="7">
        <f>IFERROR(BDP(D252,"LAST_PRICE"),"--")</f>
        <v/>
      </c>
      <c r="AA252" s="7">
        <f>IFERROR(Z252-Y252,"--")</f>
        <v/>
      </c>
      <c r="AB252" s="8">
        <f>IFERROR((AA252-R252)/(S252-R252)*100,"--")</f>
        <v/>
      </c>
    </row>
    <row r="253">
      <c r="A253" t="inlineStr">
        <is>
          <t>WY</t>
        </is>
      </c>
      <c r="B253" t="inlineStr">
        <is>
          <t>IG</t>
        </is>
      </c>
      <c r="C253" t="inlineStr">
        <is>
          <t>WY 3 3/8 03/09/33</t>
        </is>
      </c>
      <c r="D253" t="inlineStr">
        <is>
          <t>WY CDS USD SR 5Y D14 Corp</t>
        </is>
      </c>
      <c r="E253" t="inlineStr">
        <is>
          <t>US962166CA07</t>
        </is>
      </c>
      <c r="F253" s="2" t="n">
        <v>45659</v>
      </c>
      <c r="G253" s="2" t="n">
        <v>46225</v>
      </c>
      <c r="H253" s="2" t="n">
        <v>48750</v>
      </c>
      <c r="I253" s="3" t="n">
        <v>38.8331</v>
      </c>
      <c r="J253" s="3" t="n">
        <v>26.1665</v>
      </c>
      <c r="K253" s="3" t="n">
        <v>77.081</v>
      </c>
      <c r="L253" s="3" t="n">
        <v>63.859</v>
      </c>
      <c r="M253" s="3" t="n">
        <v>-38.2479</v>
      </c>
      <c r="N253" s="3" t="n">
        <v>-79.01900000000001</v>
      </c>
      <c r="O253" s="3" t="n">
        <v>13.3911</v>
      </c>
      <c r="P253" s="4" t="n">
        <v>44.11974448680394</v>
      </c>
      <c r="Q253" s="3" t="n">
        <v>-50.9145</v>
      </c>
      <c r="R253" s="3" t="n">
        <v>-89.98950000000001</v>
      </c>
      <c r="S253" s="3" t="n">
        <v>1.296099999999999</v>
      </c>
      <c r="T253" s="4" t="n">
        <v>42.80521790950599</v>
      </c>
      <c r="U253" s="5">
        <f>IFERROR(BDP(E253&amp;" Corp","LAST_PRICE"),"--")</f>
        <v/>
      </c>
      <c r="V253" s="6">
        <f>IFERROR(BDP(E253&amp;" Corp","YAS_BENCHMARK_BOND_ISIN"),"--")</f>
        <v/>
      </c>
      <c r="W253" s="5">
        <f>IFERROR(BDP(V253&amp;" CORP","LAST_PRICE"),"--")</f>
        <v/>
      </c>
      <c r="X253" s="7">
        <f>IFERROR(BDP(E253&amp;" Corp","YAS_YLD_SPREAD","YAS_BOND_PX="&amp;U253,"YAS_BNCHMRK_BOND_PX="&amp;W253),"--")</f>
        <v/>
      </c>
      <c r="Y253" s="7">
        <f>IFERROR(BDP(E253&amp;" Corp","BLOOMBERG_MID_G_SPREAD","YAS_BOND_PX="&amp;U253,"YAS_BNCHMRK_BOND_PX="&amp;W253),"--")</f>
        <v/>
      </c>
      <c r="Z253" s="7">
        <f>IFERROR(BDP(D253,"LAST_PRICE"),"--")</f>
        <v/>
      </c>
      <c r="AA253" s="7">
        <f>IFERROR(Z253-Y253,"--")</f>
        <v/>
      </c>
      <c r="AB253" s="8">
        <f>IFERROR((AA253-R253)/(S253-R253)*100,"--")</f>
        <v/>
      </c>
    </row>
    <row r="254">
      <c r="A254" t="inlineStr">
        <is>
          <t>BRK</t>
        </is>
      </c>
      <c r="B254" t="inlineStr">
        <is>
          <t>IG_Legacy</t>
        </is>
      </c>
      <c r="C254" t="inlineStr">
        <is>
          <t>BRK 2 7/8 03/15/32</t>
        </is>
      </c>
      <c r="D254" t="inlineStr">
        <is>
          <t>BERKSHIRE CDS USD SR 5Y D14 Corp</t>
        </is>
      </c>
      <c r="E254" t="inlineStr">
        <is>
          <t>US084664DA63</t>
        </is>
      </c>
      <c r="F254" s="2" t="n">
        <v>45659</v>
      </c>
      <c r="G254" s="2" t="n">
        <v>46225</v>
      </c>
      <c r="H254" s="2" t="n">
        <v>48385</v>
      </c>
      <c r="I254" s="3" t="n">
        <v>21.7792</v>
      </c>
      <c r="J254" s="3" t="n">
        <v>17.0451</v>
      </c>
      <c r="K254" s="3" t="n">
        <v>15.089</v>
      </c>
      <c r="L254" s="3" t="n">
        <v>19.746</v>
      </c>
      <c r="M254" s="3" t="n">
        <v>6.690199999999999</v>
      </c>
      <c r="N254" s="3" t="n">
        <v>-39.5484</v>
      </c>
      <c r="O254" s="3" t="n">
        <v>13.9136</v>
      </c>
      <c r="P254" s="4" t="n">
        <v>86.48872096068234</v>
      </c>
      <c r="Q254" s="3" t="n">
        <v>1.956100000000001</v>
      </c>
      <c r="R254" s="3" t="n">
        <v>-42.1816</v>
      </c>
      <c r="S254" s="3" t="n">
        <v>9.07</v>
      </c>
      <c r="T254" s="4" t="n">
        <v>86.11965284986225</v>
      </c>
      <c r="U254" s="5">
        <f>IFERROR(BDP(E254&amp;" Corp","LAST_PRICE"),"--")</f>
        <v/>
      </c>
      <c r="V254" s="6">
        <f>IFERROR(BDP(E254&amp;" Corp","YAS_BENCHMARK_BOND_ISIN"),"--")</f>
        <v/>
      </c>
      <c r="W254" s="5">
        <f>IFERROR(BDP(V254&amp;" CORP","LAST_PRICE"),"--")</f>
        <v/>
      </c>
      <c r="X254" s="7">
        <f>IFERROR(BDP(E254&amp;" Corp","YAS_YLD_SPREAD","YAS_BOND_PX="&amp;U254,"YAS_BNCHMRK_BOND_PX="&amp;W254),"--")</f>
        <v/>
      </c>
      <c r="Y254" s="7">
        <f>IFERROR(BDP(E254&amp;" Corp","BLOOMBERG_MID_G_SPREAD","YAS_BOND_PX="&amp;U254,"YAS_BNCHMRK_BOND_PX="&amp;W254),"--")</f>
        <v/>
      </c>
      <c r="Z254" s="7">
        <f>IFERROR(BDP(D254,"LAST_PRICE"),"--")</f>
        <v/>
      </c>
      <c r="AA254" s="7">
        <f>IFERROR(Z254-Y254,"--")</f>
        <v/>
      </c>
      <c r="AB254" s="8">
        <f>IFERROR((AA254-R254)/(S254-R254)*100,"--")</f>
        <v/>
      </c>
    </row>
    <row r="255">
      <c r="A255" t="inlineStr">
        <is>
          <t>HES</t>
        </is>
      </c>
      <c r="B255" t="inlineStr">
        <is>
          <t>IG_Legacy</t>
        </is>
      </c>
      <c r="C255" t="inlineStr">
        <is>
          <t>HES 7.3 08/15/31</t>
        </is>
      </c>
      <c r="D255" t="inlineStr">
        <is>
          <t>HES CDS USD SR 5Y D14 Corp</t>
        </is>
      </c>
      <c r="E255" t="inlineStr">
        <is>
          <t>US023551AJ38</t>
        </is>
      </c>
      <c r="F255" s="2" t="n">
        <v>45659</v>
      </c>
      <c r="G255" s="2" t="n">
        <v>46225</v>
      </c>
      <c r="H255" s="2" t="n">
        <v>48202</v>
      </c>
      <c r="I255" s="3" t="n">
        <v>35.9783</v>
      </c>
      <c r="J255" s="3" t="n">
        <v>29.3334</v>
      </c>
      <c r="K255" s="3" t="n">
        <v>55.415</v>
      </c>
      <c r="L255" s="3" t="n">
        <v>58.736</v>
      </c>
      <c r="M255" s="3" t="n">
        <v>-19.4367</v>
      </c>
      <c r="N255" s="3" t="n">
        <v>-50.36840000000001</v>
      </c>
      <c r="O255" s="3" t="n">
        <v>6.184699999999999</v>
      </c>
      <c r="P255" s="4" t="n">
        <v>54.69496809193484</v>
      </c>
      <c r="Q255" s="3" t="n">
        <v>-26.0816</v>
      </c>
      <c r="R255" s="3" t="n">
        <v>-54.13120000000001</v>
      </c>
      <c r="S255" s="3" t="n">
        <v>1.905999999999999</v>
      </c>
      <c r="T255" s="4" t="n">
        <v>50.05532039430951</v>
      </c>
      <c r="U255" s="5">
        <f>IFERROR(BDP(E255&amp;" Corp","LAST_PRICE"),"--")</f>
        <v/>
      </c>
      <c r="V255" s="6">
        <f>IFERROR(BDP(E255&amp;" Corp","YAS_BENCHMARK_BOND_ISIN"),"--")</f>
        <v/>
      </c>
      <c r="W255" s="5">
        <f>IFERROR(BDP(V255&amp;" CORP","LAST_PRICE"),"--")</f>
        <v/>
      </c>
      <c r="X255" s="7">
        <f>IFERROR(BDP(E255&amp;" Corp","YAS_YLD_SPREAD","YAS_BOND_PX="&amp;U255,"YAS_BNCHMRK_BOND_PX="&amp;W255),"--")</f>
        <v/>
      </c>
      <c r="Y255" s="7">
        <f>IFERROR(BDP(E255&amp;" Corp","BLOOMBERG_MID_G_SPREAD","YAS_BOND_PX="&amp;U255,"YAS_BNCHMRK_BOND_PX="&amp;W255),"--")</f>
        <v/>
      </c>
      <c r="Z255" s="7">
        <f>IFERROR(BDP(D255,"LAST_PRICE"),"--")</f>
        <v/>
      </c>
      <c r="AA255" s="7">
        <f>IFERROR(Z255-Y255,"--")</f>
        <v/>
      </c>
      <c r="AB255" s="8">
        <f>IFERROR((AA255-R255)/(S255-R255)*100,"--")</f>
        <v/>
      </c>
    </row>
    <row r="256">
      <c r="A256" t="inlineStr">
        <is>
          <t>LTR</t>
        </is>
      </c>
      <c r="B256" t="inlineStr">
        <is>
          <t>IG_Legacy</t>
        </is>
      </c>
      <c r="C256" t="inlineStr">
        <is>
          <t>L 3.2 05/15/30</t>
        </is>
      </c>
      <c r="D256" t="inlineStr">
        <is>
          <t>L CDS USD SR 5Y D14 Corp</t>
        </is>
      </c>
      <c r="E256" t="inlineStr">
        <is>
          <t>US540424AT59</t>
        </is>
      </c>
      <c r="F256" s="2" t="n">
        <v>45659</v>
      </c>
      <c r="G256" s="2" t="n">
        <v>46225</v>
      </c>
      <c r="H256" s="2" t="n">
        <v>47654</v>
      </c>
      <c r="I256" s="3" t="n">
        <v>23.3592</v>
      </c>
      <c r="J256" s="3" t="n">
        <v>29.8118</v>
      </c>
      <c r="K256" s="3" t="n">
        <v>49.821</v>
      </c>
      <c r="L256" s="3" t="n">
        <v>46.361</v>
      </c>
      <c r="M256" s="3" t="n">
        <v>-26.4618</v>
      </c>
      <c r="N256" s="3" t="n">
        <v>-65.63820000000001</v>
      </c>
      <c r="O256" s="3" t="n">
        <v>-18.7109</v>
      </c>
      <c r="P256" s="4" t="n">
        <v>83.48317503883668</v>
      </c>
      <c r="Q256" s="3" t="n">
        <v>-20.0092</v>
      </c>
      <c r="R256" s="3" t="n">
        <v>-56.79470000000001</v>
      </c>
      <c r="S256" s="3" t="n">
        <v>-10.97989999999999</v>
      </c>
      <c r="T256" s="4" t="n">
        <v>80.29173978714303</v>
      </c>
      <c r="U256" s="5">
        <f>IFERROR(BDP(E256&amp;" Corp","LAST_PRICE"),"--")</f>
        <v/>
      </c>
      <c r="V256" s="6">
        <f>IFERROR(BDP(E256&amp;" Corp","YAS_BENCHMARK_BOND_ISIN"),"--")</f>
        <v/>
      </c>
      <c r="W256" s="5">
        <f>IFERROR(BDP(V256&amp;" CORP","LAST_PRICE"),"--")</f>
        <v/>
      </c>
      <c r="X256" s="7">
        <f>IFERROR(BDP(E256&amp;" Corp","YAS_YLD_SPREAD","YAS_BOND_PX="&amp;U256,"YAS_BNCHMRK_BOND_PX="&amp;W256),"--")</f>
        <v/>
      </c>
      <c r="Y256" s="7">
        <f>IFERROR(BDP(E256&amp;" Corp","BLOOMBERG_MID_G_SPREAD","YAS_BOND_PX="&amp;U256,"YAS_BNCHMRK_BOND_PX="&amp;W256),"--")</f>
        <v/>
      </c>
      <c r="Z256" s="7">
        <f>IFERROR(BDP(D256,"LAST_PRICE"),"--")</f>
        <v/>
      </c>
      <c r="AA256" s="7">
        <f>IFERROR(Z256-Y256,"--")</f>
        <v/>
      </c>
      <c r="AB256" s="8">
        <f>IFERROR((AA256-R256)/(S256-R256)*100,"--")</f>
        <v/>
      </c>
    </row>
    <row r="257">
      <c r="A257" t="inlineStr">
        <is>
          <t>MDC</t>
        </is>
      </c>
      <c r="B257" t="inlineStr">
        <is>
          <t>IG_Legacy</t>
        </is>
      </c>
      <c r="C257" t="inlineStr">
        <is>
          <t>MDC 2 1/2 01/15/31</t>
        </is>
      </c>
      <c r="D257" t="inlineStr">
        <is>
          <t>MDC CDS USD SR 5Y D14 Corp</t>
        </is>
      </c>
      <c r="E257" t="inlineStr">
        <is>
          <t>US552676AU23</t>
        </is>
      </c>
      <c r="F257" s="2" t="n">
        <v>45975</v>
      </c>
      <c r="G257" s="2" t="n">
        <v>46225</v>
      </c>
      <c r="H257" s="2" t="n">
        <v>48019</v>
      </c>
      <c r="I257" s="3" t="n">
        <v>90.0538</v>
      </c>
      <c r="J257" s="3" t="n">
        <v>90.0538</v>
      </c>
      <c r="K257" s="3" t="n">
        <v>127.781</v>
      </c>
      <c r="L257" s="3" t="n">
        <v>126.263</v>
      </c>
      <c r="M257" s="3" t="n">
        <v>-37.72720000000001</v>
      </c>
      <c r="N257" s="3" t="n">
        <v>-62.82989999999999</v>
      </c>
      <c r="O257" s="3" t="n">
        <v>-27.7907</v>
      </c>
      <c r="P257" s="4" t="n">
        <v>71.64176122742525</v>
      </c>
      <c r="Q257" s="3" t="n">
        <v>-37.72720000000001</v>
      </c>
      <c r="R257" s="3" t="n">
        <v>-62.82989999999999</v>
      </c>
      <c r="S257" s="3" t="n">
        <v>-27.7907</v>
      </c>
      <c r="T257" s="4" t="n">
        <v>71.64176122742525</v>
      </c>
      <c r="U257" s="5">
        <f>IFERROR(BDP(E257&amp;" Corp","LAST_PRICE"),"--")</f>
        <v/>
      </c>
      <c r="V257" s="6">
        <f>IFERROR(BDP(E257&amp;" Corp","YAS_BENCHMARK_BOND_ISIN"),"--")</f>
        <v/>
      </c>
      <c r="W257" s="5">
        <f>IFERROR(BDP(V257&amp;" CORP","LAST_PRICE"),"--")</f>
        <v/>
      </c>
      <c r="X257" s="7">
        <f>IFERROR(BDP(E257&amp;" Corp","YAS_YLD_SPREAD","YAS_BOND_PX="&amp;U257,"YAS_BNCHMRK_BOND_PX="&amp;W257),"--")</f>
        <v/>
      </c>
      <c r="Y257" s="7">
        <f>IFERROR(BDP(E257&amp;" Corp","BLOOMBERG_MID_G_SPREAD","YAS_BOND_PX="&amp;U257,"YAS_BNCHMRK_BOND_PX="&amp;W257),"--")</f>
        <v/>
      </c>
      <c r="Z257" s="7">
        <f>IFERROR(BDP(D257,"LAST_PRICE"),"--")</f>
        <v/>
      </c>
      <c r="AA257" s="7">
        <f>IFERROR(Z257-Y257,"--")</f>
        <v/>
      </c>
      <c r="AB257" s="8">
        <f>IFERROR((AA257-R257)/(S257-R257)*100,"--")</f>
        <v/>
      </c>
    </row>
    <row r="258">
      <c r="A258" t="inlineStr">
        <is>
          <t>NRUC</t>
        </is>
      </c>
      <c r="B258" t="inlineStr">
        <is>
          <t>IG_Legacy</t>
        </is>
      </c>
      <c r="C258" t="inlineStr">
        <is>
          <t>NRUC 4.95 02/07/30</t>
        </is>
      </c>
      <c r="D258" t="inlineStr">
        <is>
          <t>NRUC CDS USD SR 5Y D14 Corp</t>
        </is>
      </c>
      <c r="E258" t="inlineStr">
        <is>
          <t>US63743HFX52</t>
        </is>
      </c>
      <c r="F258" s="2" t="n">
        <v>45692</v>
      </c>
      <c r="G258" s="2" t="n">
        <v>46225</v>
      </c>
      <c r="H258" s="2" t="n">
        <v>47654</v>
      </c>
      <c r="I258" s="3" t="n">
        <v>16.2545</v>
      </c>
      <c r="J258" s="3" t="n">
        <v>21.3363</v>
      </c>
      <c r="K258" s="3" t="n">
        <v>46.682</v>
      </c>
      <c r="L258" s="3" t="n">
        <v>42.326</v>
      </c>
      <c r="M258" s="3" t="n">
        <v>-30.4275</v>
      </c>
      <c r="N258" s="3" t="n">
        <v>-60.626</v>
      </c>
      <c r="O258" s="3" t="n">
        <v>-21.7062</v>
      </c>
      <c r="P258" s="4" t="n">
        <v>77.59161146768483</v>
      </c>
      <c r="Q258" s="3" t="n">
        <v>-25.3457</v>
      </c>
      <c r="R258" s="3" t="n">
        <v>-52.2673</v>
      </c>
      <c r="S258" s="3" t="n">
        <v>-13.3449</v>
      </c>
      <c r="T258" s="4" t="n">
        <v>69.16736891866894</v>
      </c>
      <c r="U258" s="5">
        <f>IFERROR(BDP(E258&amp;" Corp","LAST_PRICE"),"--")</f>
        <v/>
      </c>
      <c r="V258" s="6">
        <f>IFERROR(BDP(E258&amp;" Corp","YAS_BENCHMARK_BOND_ISIN"),"--")</f>
        <v/>
      </c>
      <c r="W258" s="5">
        <f>IFERROR(BDP(V258&amp;" CORP","LAST_PRICE"),"--")</f>
        <v/>
      </c>
      <c r="X258" s="7">
        <f>IFERROR(BDP(E258&amp;" Corp","YAS_YLD_SPREAD","YAS_BOND_PX="&amp;U258,"YAS_BNCHMRK_BOND_PX="&amp;W258),"--")</f>
        <v/>
      </c>
      <c r="Y258" s="7">
        <f>IFERROR(BDP(E258&amp;" Corp","BLOOMBERG_MID_G_SPREAD","YAS_BOND_PX="&amp;U258,"YAS_BNCHMRK_BOND_PX="&amp;W258),"--")</f>
        <v/>
      </c>
      <c r="Z258" s="7">
        <f>IFERROR(BDP(D258,"LAST_PRICE"),"--")</f>
        <v/>
      </c>
      <c r="AA258" s="7">
        <f>IFERROR(Z258-Y258,"--")</f>
        <v/>
      </c>
      <c r="AB258" s="8">
        <f>IFERROR((AA258-R258)/(S258-R258)*100,"--")</f>
        <v/>
      </c>
    </row>
    <row r="259">
      <c r="A259" t="inlineStr">
        <is>
          <t>NSC</t>
        </is>
      </c>
      <c r="B259" t="inlineStr">
        <is>
          <t>IG_Legacy</t>
        </is>
      </c>
      <c r="C259" t="inlineStr">
        <is>
          <t>NSC 4.45 03/01/33</t>
        </is>
      </c>
      <c r="D259" t="inlineStr">
        <is>
          <t>NSC CDS USD SR 5Y D14 Corp</t>
        </is>
      </c>
      <c r="E259" t="inlineStr">
        <is>
          <t>US655844CQ90</t>
        </is>
      </c>
      <c r="F259" s="2" t="n">
        <v>45659</v>
      </c>
      <c r="G259" s="2" t="n">
        <v>46225</v>
      </c>
      <c r="H259" s="2" t="n">
        <v>48750</v>
      </c>
      <c r="I259" s="3" t="n">
        <v>27.754</v>
      </c>
      <c r="J259" s="3" t="n">
        <v>17.3418</v>
      </c>
      <c r="K259" s="3" t="n">
        <v>51.229</v>
      </c>
      <c r="L259" s="3" t="n">
        <v>36.828</v>
      </c>
      <c r="M259" s="3" t="n">
        <v>-23.475</v>
      </c>
      <c r="N259" s="3" t="n">
        <v>-64.46020000000001</v>
      </c>
      <c r="O259" s="3" t="n">
        <v>-11.0361</v>
      </c>
      <c r="P259" s="4" t="n">
        <v>76.71668778697257</v>
      </c>
      <c r="Q259" s="3" t="n">
        <v>-33.8872</v>
      </c>
      <c r="R259" s="3" t="n">
        <v>-73.27720000000001</v>
      </c>
      <c r="S259" s="3" t="n">
        <v>-19.9641</v>
      </c>
      <c r="T259" s="4" t="n">
        <v>73.8842798486676</v>
      </c>
      <c r="U259" s="5">
        <f>IFERROR(BDP(E259&amp;" Corp","LAST_PRICE"),"--")</f>
        <v/>
      </c>
      <c r="V259" s="6">
        <f>IFERROR(BDP(E259&amp;" Corp","YAS_BENCHMARK_BOND_ISIN"),"--")</f>
        <v/>
      </c>
      <c r="W259" s="5">
        <f>IFERROR(BDP(V259&amp;" CORP","LAST_PRICE"),"--")</f>
        <v/>
      </c>
      <c r="X259" s="7">
        <f>IFERROR(BDP(E259&amp;" Corp","YAS_YLD_SPREAD","YAS_BOND_PX="&amp;U259,"YAS_BNCHMRK_BOND_PX="&amp;W259),"--")</f>
        <v/>
      </c>
      <c r="Y259" s="7">
        <f>IFERROR(BDP(E259&amp;" Corp","BLOOMBERG_MID_G_SPREAD","YAS_BOND_PX="&amp;U259,"YAS_BNCHMRK_BOND_PX="&amp;W259),"--")</f>
        <v/>
      </c>
      <c r="Z259" s="7">
        <f>IFERROR(BDP(D259,"LAST_PRICE"),"--")</f>
        <v/>
      </c>
      <c r="AA259" s="7">
        <f>IFERROR(Z259-Y259,"--")</f>
        <v/>
      </c>
      <c r="AB259" s="8">
        <f>IFERROR((AA259-R259)/(S259-R259)*100,"--")</f>
        <v/>
      </c>
    </row>
    <row r="260">
      <c r="A260" t="inlineStr">
        <is>
          <t>PKG</t>
        </is>
      </c>
      <c r="B260" t="inlineStr">
        <is>
          <t>IG_Legacy</t>
        </is>
      </c>
      <c r="C260" t="inlineStr">
        <is>
          <t>PKG 5.7 12/01/33</t>
        </is>
      </c>
      <c r="D260" t="inlineStr">
        <is>
          <t>PKG CDS USD SR 5Y D14 Corp</t>
        </is>
      </c>
      <c r="E260" t="inlineStr">
        <is>
          <t>US695156AX75</t>
        </is>
      </c>
      <c r="F260" s="2" t="n">
        <v>45659</v>
      </c>
      <c r="G260" s="2" t="n">
        <v>46225</v>
      </c>
      <c r="H260" s="2" t="n">
        <v>48933</v>
      </c>
      <c r="I260" s="3" t="n">
        <v>46.9553</v>
      </c>
      <c r="J260" s="3" t="n">
        <v>32.2491</v>
      </c>
      <c r="K260" s="3" t="n">
        <v>74.414</v>
      </c>
      <c r="L260" s="3" t="n">
        <v>62.935</v>
      </c>
      <c r="M260" s="3" t="n">
        <v>-27.4587</v>
      </c>
      <c r="N260" s="3" t="n">
        <v>-76.5547</v>
      </c>
      <c r="O260" s="3" t="n">
        <v>-16.2379</v>
      </c>
      <c r="P260" s="4" t="n">
        <v>81.396891081755</v>
      </c>
      <c r="Q260" s="3" t="n">
        <v>-42.1649</v>
      </c>
      <c r="R260" s="3" t="n">
        <v>-87.05330000000001</v>
      </c>
      <c r="S260" s="3" t="n">
        <v>-31.95739999999999</v>
      </c>
      <c r="T260" s="4" t="n">
        <v>81.47321307030104</v>
      </c>
      <c r="U260" s="5">
        <f>IFERROR(BDP(E260&amp;" Corp","LAST_PRICE"),"--")</f>
        <v/>
      </c>
      <c r="V260" s="6">
        <f>IFERROR(BDP(E260&amp;" Corp","YAS_BENCHMARK_BOND_ISIN"),"--")</f>
        <v/>
      </c>
      <c r="W260" s="5">
        <f>IFERROR(BDP(V260&amp;" CORP","LAST_PRICE"),"--")</f>
        <v/>
      </c>
      <c r="X260" s="7">
        <f>IFERROR(BDP(E260&amp;" Corp","YAS_YLD_SPREAD","YAS_BOND_PX="&amp;U260,"YAS_BNCHMRK_BOND_PX="&amp;W260),"--")</f>
        <v/>
      </c>
      <c r="Y260" s="7">
        <f>IFERROR(BDP(E260&amp;" Corp","BLOOMBERG_MID_G_SPREAD","YAS_BOND_PX="&amp;U260,"YAS_BNCHMRK_BOND_PX="&amp;W260),"--")</f>
        <v/>
      </c>
      <c r="Z260" s="7">
        <f>IFERROR(BDP(D260,"LAST_PRICE"),"--")</f>
        <v/>
      </c>
      <c r="AA260" s="7">
        <f>IFERROR(Z260-Y260,"--")</f>
        <v/>
      </c>
      <c r="AB260" s="8">
        <f>IFERROR((AA260-R260)/(S260-R260)*100,"--")</f>
        <v/>
      </c>
    </row>
    <row r="261">
      <c r="A261" t="inlineStr">
        <is>
          <t>TECK</t>
        </is>
      </c>
      <c r="B261" t="inlineStr">
        <is>
          <t>IG_Legacy</t>
        </is>
      </c>
      <c r="C261" t="inlineStr">
        <is>
          <t>TCKBCN 6 1/8 10/01/35</t>
        </is>
      </c>
      <c r="D261" t="inlineStr">
        <is>
          <t>TCKBCN CDS USD SR 5Y D14 Corp</t>
        </is>
      </c>
      <c r="E261" t="inlineStr">
        <is>
          <t>US878742AE55</t>
        </is>
      </c>
      <c r="F261" s="2" t="n">
        <v>45922</v>
      </c>
      <c r="G261" s="2" t="n">
        <v>46225</v>
      </c>
      <c r="H261" s="2" t="n">
        <v>49663</v>
      </c>
      <c r="I261" s="3" t="n">
        <v>85.80329999999999</v>
      </c>
      <c r="J261" s="3" t="n">
        <v>42.9325</v>
      </c>
      <c r="K261" s="3" t="n">
        <v>105.521</v>
      </c>
      <c r="L261" s="3" t="n">
        <v>100.338</v>
      </c>
      <c r="M261" s="3" t="n">
        <v>-19.71770000000001</v>
      </c>
      <c r="N261" s="3" t="n">
        <v>-52.99210000000001</v>
      </c>
      <c r="O261" s="3" t="n">
        <v>-6.948900000000009</v>
      </c>
      <c r="P261" s="4" t="n">
        <v>72.26778329916253</v>
      </c>
      <c r="Q261" s="3" t="n">
        <v>-62.5885</v>
      </c>
      <c r="R261" s="3" t="n">
        <v>-82.14689999999999</v>
      </c>
      <c r="S261" s="3" t="n">
        <v>-19.3811</v>
      </c>
      <c r="T261" s="4" t="n">
        <v>31.16091884433878</v>
      </c>
      <c r="U261" s="5">
        <f>IFERROR(BDP(E261&amp;" Corp","LAST_PRICE"),"--")</f>
        <v/>
      </c>
      <c r="V261" s="6">
        <f>IFERROR(BDP(E261&amp;" Corp","YAS_BENCHMARK_BOND_ISIN"),"--")</f>
        <v/>
      </c>
      <c r="W261" s="5">
        <f>IFERROR(BDP(V261&amp;" CORP","LAST_PRICE"),"--")</f>
        <v/>
      </c>
      <c r="X261" s="7">
        <f>IFERROR(BDP(E261&amp;" Corp","YAS_YLD_SPREAD","YAS_BOND_PX="&amp;U261,"YAS_BNCHMRK_BOND_PX="&amp;W261),"--")</f>
        <v/>
      </c>
      <c r="Y261" s="7">
        <f>IFERROR(BDP(E261&amp;" Corp","BLOOMBERG_MID_G_SPREAD","YAS_BOND_PX="&amp;U261,"YAS_BNCHMRK_BOND_PX="&amp;W261),"--")</f>
        <v/>
      </c>
      <c r="Z261" s="7">
        <f>IFERROR(BDP(D261,"LAST_PRICE"),"--")</f>
        <v/>
      </c>
      <c r="AA261" s="7">
        <f>IFERROR(Z261-Y261,"--")</f>
        <v/>
      </c>
      <c r="AB261" s="8">
        <f>IFERROR((AA261-R261)/(S261-R261)*100,"--")</f>
        <v/>
      </c>
    </row>
    <row r="262">
      <c r="A262" t="inlineStr">
        <is>
          <t>SPCX</t>
        </is>
      </c>
      <c r="B262" t="inlineStr">
        <is>
          <t>IG_NonIndex</t>
        </is>
      </c>
      <c r="C262" t="inlineStr">
        <is>
          <t>SPCX 5.35 07/15/31</t>
        </is>
      </c>
      <c r="D262" t="inlineStr">
        <is>
          <t>SPCX CDS USD SR 5Y D14 Corp</t>
        </is>
      </c>
      <c r="E262" t="inlineStr">
        <is>
          <t>US84615QAA13</t>
        </is>
      </c>
      <c r="F262" s="2" t="inlineStr"/>
      <c r="G262" s="2" t="inlineStr"/>
      <c r="H262" s="2" t="n">
        <v>48202</v>
      </c>
      <c r="I262" s="3" t="inlineStr"/>
      <c r="J262" s="3" t="inlineStr"/>
      <c r="K262" s="3" t="inlineStr"/>
      <c r="L262" s="3" t="n">
        <v>161.189</v>
      </c>
      <c r="M262" s="3" t="inlineStr"/>
      <c r="N262" s="3" t="inlineStr"/>
      <c r="O262" s="3" t="inlineStr"/>
      <c r="P262" s="4" t="inlineStr"/>
      <c r="Q262" s="3" t="inlineStr"/>
      <c r="R262" s="3" t="inlineStr"/>
      <c r="S262" s="3" t="inlineStr"/>
      <c r="T262" s="4" t="inlineStr"/>
      <c r="U262" s="5">
        <f>IFERROR(BDP(E262&amp;" Corp","LAST_PRICE"),"--")</f>
        <v/>
      </c>
      <c r="V262" s="6">
        <f>IFERROR(BDP(E262&amp;" Corp","YAS_BENCHMARK_BOND_ISIN"),"--")</f>
        <v/>
      </c>
      <c r="W262" s="5">
        <f>IFERROR(BDP(V262&amp;" CORP","LAST_PRICE"),"--")</f>
        <v/>
      </c>
      <c r="X262" s="7">
        <f>IFERROR(BDP(E262&amp;" Corp","YAS_YLD_SPREAD","YAS_BOND_PX="&amp;U262,"YAS_BNCHMRK_BOND_PX="&amp;W262),"--")</f>
        <v/>
      </c>
      <c r="Y262" s="7">
        <f>IFERROR(BDP(E262&amp;" Corp","BLOOMBERG_MID_G_SPREAD","YAS_BOND_PX="&amp;U262,"YAS_BNCHMRK_BOND_PX="&amp;W262),"--")</f>
        <v/>
      </c>
      <c r="Z262" s="7">
        <f>IFERROR(BDP(D262,"LAST_PRICE"),"--")</f>
        <v/>
      </c>
      <c r="AA262" s="7">
        <f>IFERROR(Z262-Y262,"--")</f>
        <v/>
      </c>
      <c r="AB262" s="8">
        <f>IFERROR((AA262-R262)/(S262-R262)*100,"--")</f>
        <v/>
      </c>
    </row>
    <row r="263">
      <c r="A263" t="inlineStr">
        <is>
          <t>AALLN</t>
        </is>
      </c>
      <c r="B263" t="inlineStr">
        <is>
          <t>Main</t>
        </is>
      </c>
      <c r="C263" t="inlineStr">
        <is>
          <t>AALLN 4 1/8 03/15/32</t>
        </is>
      </c>
      <c r="D263" t="inlineStr">
        <is>
          <t>AALLN CDS EUR SR 5Y D14 Corp</t>
        </is>
      </c>
      <c r="E263" t="inlineStr">
        <is>
          <t>XS2779901482</t>
        </is>
      </c>
      <c r="F263" s="2" t="n">
        <v>45659</v>
      </c>
      <c r="G263" s="2" t="n">
        <v>46225</v>
      </c>
      <c r="H263" s="2" t="n">
        <v>48385</v>
      </c>
      <c r="I263" s="3" t="n">
        <v>88.1279</v>
      </c>
      <c r="J263" s="3" t="n">
        <v>68.3639</v>
      </c>
      <c r="K263" s="3" t="n">
        <v>95.151</v>
      </c>
      <c r="L263" s="3" t="n">
        <v>96.33</v>
      </c>
      <c r="M263" s="3" t="n">
        <v>-7.023099999999999</v>
      </c>
      <c r="N263" s="3" t="n">
        <v>-13.07759999999999</v>
      </c>
      <c r="O263" s="3" t="n">
        <v>10.83720000000001</v>
      </c>
      <c r="P263" s="4" t="n">
        <v>25.31695853613658</v>
      </c>
      <c r="Q263" s="3" t="n">
        <v>-26.7871</v>
      </c>
      <c r="R263" s="3" t="n">
        <v>-30.88000000000001</v>
      </c>
      <c r="S263" s="3" t="n">
        <v>-2.063599999999994</v>
      </c>
      <c r="T263" s="4" t="n">
        <v>14.20337030302193</v>
      </c>
      <c r="U263" s="5">
        <f>IFERROR(BDP(E263&amp;" Corp","LAST_PRICE"),"--")</f>
        <v/>
      </c>
      <c r="V263" s="6">
        <f>IFERROR(BDP(E263&amp;" Corp","YAS_BENCHMARK_BOND_ISIN"),"--")</f>
        <v/>
      </c>
      <c r="W263" s="5">
        <f>IFERROR(BDP(V263&amp;" CORP","LAST_PRICE"),"--")</f>
        <v/>
      </c>
      <c r="X263" s="7">
        <f>IFERROR(BDP(E263&amp;" Corp","YAS_YLD_SPREAD","YAS_BOND_PX="&amp;U263,"YAS_BNCHMRK_BOND_PX="&amp;W263),"--")</f>
        <v/>
      </c>
      <c r="Y263" s="7">
        <f>IFERROR(BDP(E263&amp;" Corp","BLOOMBERG_MID_G_SPREAD","YAS_BOND_PX="&amp;U263,"YAS_BNCHMRK_BOND_PX="&amp;W263),"--")</f>
        <v/>
      </c>
      <c r="Z263" s="7">
        <f>IFERROR(BDP(D263,"LAST_PRICE"),"--")</f>
        <v/>
      </c>
      <c r="AA263" s="7">
        <f>IFERROR(Z263-Y263,"--")</f>
        <v/>
      </c>
      <c r="AB263" s="8">
        <f>IFERROR((AA263-R263)/(S263-R263)*100,"--")</f>
        <v/>
      </c>
    </row>
    <row r="264">
      <c r="A264" t="inlineStr">
        <is>
          <t>ABIBB</t>
        </is>
      </c>
      <c r="B264" t="inlineStr">
        <is>
          <t>Main</t>
        </is>
      </c>
      <c r="C264" t="inlineStr">
        <is>
          <t>ABIBB 3 3/8 05/19/33</t>
        </is>
      </c>
      <c r="D264" t="inlineStr">
        <is>
          <t>ABIB CDS EUR SR 5Y D14 Corp</t>
        </is>
      </c>
      <c r="E264" t="inlineStr">
        <is>
          <t>BE6364524635</t>
        </is>
      </c>
      <c r="F264" s="2" t="n">
        <v>45790</v>
      </c>
      <c r="G264" s="2" t="n">
        <v>46225</v>
      </c>
      <c r="H264" s="2" t="n">
        <v>48750</v>
      </c>
      <c r="I264" s="3" t="n">
        <v>45.963</v>
      </c>
      <c r="J264" s="3" t="n">
        <v>30.4786</v>
      </c>
      <c r="K264" s="3" t="n">
        <v>65.55200000000001</v>
      </c>
      <c r="L264" s="3" t="n">
        <v>66.593</v>
      </c>
      <c r="M264" s="3" t="n">
        <v>-19.58900000000001</v>
      </c>
      <c r="N264" s="3" t="n">
        <v>-37.4894</v>
      </c>
      <c r="O264" s="3" t="n">
        <v>-15.685</v>
      </c>
      <c r="P264" s="4" t="n">
        <v>82.0953569004421</v>
      </c>
      <c r="Q264" s="3" t="n">
        <v>-35.07340000000001</v>
      </c>
      <c r="R264" s="3" t="n">
        <v>-50.6221</v>
      </c>
      <c r="S264" s="3" t="n">
        <v>-28.995</v>
      </c>
      <c r="T264" s="4" t="n">
        <v>71.8945212256844</v>
      </c>
      <c r="U264" s="5">
        <f>IFERROR(BDP(E264&amp;" Corp","LAST_PRICE"),"--")</f>
        <v/>
      </c>
      <c r="V264" s="6">
        <f>IFERROR(BDP(E264&amp;" Corp","YAS_BENCHMARK_BOND_ISIN"),"--")</f>
        <v/>
      </c>
      <c r="W264" s="5">
        <f>IFERROR(BDP(V264&amp;" CORP","LAST_PRICE"),"--")</f>
        <v/>
      </c>
      <c r="X264" s="7">
        <f>IFERROR(BDP(E264&amp;" Corp","YAS_YLD_SPREAD","YAS_BOND_PX="&amp;U264,"YAS_BNCHMRK_BOND_PX="&amp;W264),"--")</f>
        <v/>
      </c>
      <c r="Y264" s="7">
        <f>IFERROR(BDP(E264&amp;" Corp","BLOOMBERG_MID_G_SPREAD","YAS_BOND_PX="&amp;U264,"YAS_BNCHMRK_BOND_PX="&amp;W264),"--")</f>
        <v/>
      </c>
      <c r="Z264" s="7">
        <f>IFERROR(BDP(D264,"LAST_PRICE"),"--")</f>
        <v/>
      </c>
      <c r="AA264" s="7">
        <f>IFERROR(Z264-Y264,"--")</f>
        <v/>
      </c>
      <c r="AB264" s="8">
        <f>IFERROR((AA264-R264)/(S264-R264)*100,"--")</f>
        <v/>
      </c>
    </row>
    <row r="265">
      <c r="A265" t="inlineStr">
        <is>
          <t>ACAFP</t>
        </is>
      </c>
      <c r="B265" t="inlineStr">
        <is>
          <t>Main</t>
        </is>
      </c>
      <c r="C265" t="inlineStr">
        <is>
          <t>ACAFP 3 1/8 02/26/32</t>
        </is>
      </c>
      <c r="D265" t="inlineStr">
        <is>
          <t>LCL SA CDS EUR SLA 5Y D14 Corp</t>
        </is>
      </c>
      <c r="E265" t="inlineStr">
        <is>
          <t>FR001400XO25</t>
        </is>
      </c>
      <c r="F265" s="2" t="n">
        <v>45708</v>
      </c>
      <c r="G265" s="2" t="n">
        <v>46225</v>
      </c>
      <c r="H265" s="2" t="n">
        <v>48385</v>
      </c>
      <c r="I265" s="3" t="n">
        <v>72.5407</v>
      </c>
      <c r="J265" s="3" t="n">
        <v>59</v>
      </c>
      <c r="K265" s="3" t="n">
        <v>69.041</v>
      </c>
      <c r="L265" s="3" t="n">
        <v>70.64400000000001</v>
      </c>
      <c r="M265" s="3" t="n">
        <v>3.499700000000004</v>
      </c>
      <c r="N265" s="3" t="n">
        <v>-4.186399999999992</v>
      </c>
      <c r="O265" s="3" t="n">
        <v>15.6763</v>
      </c>
      <c r="P265" s="4" t="n">
        <v>38.69614906331969</v>
      </c>
      <c r="Q265" s="3" t="n">
        <v>-10.041</v>
      </c>
      <c r="R265" s="3" t="n">
        <v>-13.71850000000001</v>
      </c>
      <c r="S265" s="3" t="n">
        <v>6.702999999999989</v>
      </c>
      <c r="T265" s="4" t="n">
        <v>18.00798178390427</v>
      </c>
      <c r="U265" s="5">
        <f>IFERROR(BDP(E265&amp;" Corp","LAST_PRICE"),"--")</f>
        <v/>
      </c>
      <c r="V265" s="6">
        <f>IFERROR(BDP(E265&amp;" Corp","YAS_BENCHMARK_BOND_ISIN"),"--")</f>
        <v/>
      </c>
      <c r="W265" s="5">
        <f>IFERROR(BDP(V265&amp;" CORP","LAST_PRICE"),"--")</f>
        <v/>
      </c>
      <c r="X265" s="7">
        <f>IFERROR(BDP(E265&amp;" Corp","YAS_YLD_SPREAD","YAS_BOND_PX="&amp;U265,"YAS_BNCHMRK_BOND_PX="&amp;W265),"--")</f>
        <v/>
      </c>
      <c r="Y265" s="7">
        <f>IFERROR(BDP(E265&amp;" Corp","BLOOMBERG_MID_G_SPREAD","YAS_BOND_PX="&amp;U265,"YAS_BNCHMRK_BOND_PX="&amp;W265),"--")</f>
        <v/>
      </c>
      <c r="Z265" s="7">
        <f>IFERROR(BDP(D265,"LAST_PRICE"),"--")</f>
        <v/>
      </c>
      <c r="AA265" s="7">
        <f>IFERROR(Z265-Y265,"--")</f>
        <v/>
      </c>
      <c r="AB265" s="8">
        <f>IFERROR((AA265-R265)/(S265-R265)*100,"--")</f>
        <v/>
      </c>
    </row>
    <row r="266">
      <c r="A266" t="inlineStr">
        <is>
          <t>ACFP</t>
        </is>
      </c>
      <c r="B266" t="inlineStr">
        <is>
          <t>Main</t>
        </is>
      </c>
      <c r="C266" t="inlineStr">
        <is>
          <t>ACFP 3 5/8 09/03/32</t>
        </is>
      </c>
      <c r="D266" t="inlineStr">
        <is>
          <t>ACFP CDS EUR SR 5Y D14 Corp</t>
        </is>
      </c>
      <c r="E266" t="inlineStr">
        <is>
          <t>FR0014012B88</t>
        </is>
      </c>
      <c r="F266" s="2" t="n">
        <v>45897</v>
      </c>
      <c r="G266" s="2" t="n">
        <v>46225</v>
      </c>
      <c r="H266" s="2" t="n">
        <v>48568</v>
      </c>
      <c r="I266" s="3" t="n">
        <v>89.5621</v>
      </c>
      <c r="J266" s="3" t="n">
        <v>66.6827</v>
      </c>
      <c r="K266" s="3" t="n">
        <v>114.381</v>
      </c>
      <c r="L266" s="3" t="n">
        <v>115.39</v>
      </c>
      <c r="M266" s="3" t="n">
        <v>-24.8189</v>
      </c>
      <c r="N266" s="3" t="n">
        <v>-33.96080000000001</v>
      </c>
      <c r="O266" s="3" t="n">
        <v>-5.89070000000001</v>
      </c>
      <c r="P266" s="4" t="n">
        <v>32.56810627678565</v>
      </c>
      <c r="Q266" s="3" t="n">
        <v>-47.6983</v>
      </c>
      <c r="R266" s="3" t="n">
        <v>-53.852</v>
      </c>
      <c r="S266" s="3" t="n">
        <v>-25.6208</v>
      </c>
      <c r="T266" s="4" t="n">
        <v>21.79751480631358</v>
      </c>
      <c r="U266" s="5">
        <f>IFERROR(BDP(E266&amp;" Corp","LAST_PRICE"),"--")</f>
        <v/>
      </c>
      <c r="V266" s="6">
        <f>IFERROR(BDP(E266&amp;" Corp","YAS_BENCHMARK_BOND_ISIN"),"--")</f>
        <v/>
      </c>
      <c r="W266" s="5">
        <f>IFERROR(BDP(V266&amp;" CORP","LAST_PRICE"),"--")</f>
        <v/>
      </c>
      <c r="X266" s="7">
        <f>IFERROR(BDP(E266&amp;" Corp","YAS_YLD_SPREAD","YAS_BOND_PX="&amp;U266,"YAS_BNCHMRK_BOND_PX="&amp;W266),"--")</f>
        <v/>
      </c>
      <c r="Y266" s="7">
        <f>IFERROR(BDP(E266&amp;" Corp","BLOOMBERG_MID_G_SPREAD","YAS_BOND_PX="&amp;U266,"YAS_BNCHMRK_BOND_PX="&amp;W266),"--")</f>
        <v/>
      </c>
      <c r="Z266" s="7">
        <f>IFERROR(BDP(D266,"LAST_PRICE"),"--")</f>
        <v/>
      </c>
      <c r="AA266" s="7">
        <f>IFERROR(Z266-Y266,"--")</f>
        <v/>
      </c>
      <c r="AB266" s="8">
        <f>IFERROR((AA266-R266)/(S266-R266)*100,"--")</f>
        <v/>
      </c>
    </row>
    <row r="267">
      <c r="A267" t="inlineStr">
        <is>
          <t>ADENVX</t>
        </is>
      </c>
      <c r="B267" t="inlineStr">
        <is>
          <t>Main</t>
        </is>
      </c>
      <c r="C267" t="inlineStr">
        <is>
          <t>ADENVX 3.4 10/08/32</t>
        </is>
      </c>
      <c r="D267" t="inlineStr">
        <is>
          <t>CADO1E5 Curncy</t>
        </is>
      </c>
      <c r="E267" t="inlineStr">
        <is>
          <t>XS2911666795</t>
        </is>
      </c>
      <c r="F267" s="2" t="n">
        <v>46099</v>
      </c>
      <c r="G267" s="2" t="n">
        <v>46225</v>
      </c>
      <c r="H267" s="2" t="n">
        <v>48568</v>
      </c>
      <c r="I267" s="3" t="n">
        <v>103.8627</v>
      </c>
      <c r="J267" s="3" t="n">
        <v>80.5719</v>
      </c>
      <c r="K267" s="3" t="n">
        <v>105.397</v>
      </c>
      <c r="L267" s="3" t="n">
        <v>106.858</v>
      </c>
      <c r="M267" s="3" t="n">
        <v>-1.534300000000002</v>
      </c>
      <c r="N267" s="3" t="n">
        <v>-1.6203</v>
      </c>
      <c r="O267" s="3" t="n">
        <v>19.93049999999999</v>
      </c>
      <c r="P267" s="4" t="n">
        <v>0.3990571115689373</v>
      </c>
      <c r="Q267" s="3" t="n">
        <v>-24.82510000000001</v>
      </c>
      <c r="R267" s="3" t="n">
        <v>-24.82510000000001</v>
      </c>
      <c r="S267" s="3" t="n">
        <v>-4.70150000000001</v>
      </c>
      <c r="T267" s="4" t="n">
        <v>0</v>
      </c>
      <c r="U267" s="5">
        <f>IFERROR(BDP(E267&amp;" Corp","LAST_PRICE"),"--")</f>
        <v/>
      </c>
      <c r="V267" s="6">
        <f>IFERROR(BDP(E267&amp;" Corp","YAS_BENCHMARK_BOND_ISIN"),"--")</f>
        <v/>
      </c>
      <c r="W267" s="5">
        <f>IFERROR(BDP(V267&amp;" CORP","LAST_PRICE"),"--")</f>
        <v/>
      </c>
      <c r="X267" s="7">
        <f>IFERROR(BDP(E267&amp;" Corp","YAS_YLD_SPREAD","YAS_BOND_PX="&amp;U267,"YAS_BNCHMRK_BOND_PX="&amp;W267),"--")</f>
        <v/>
      </c>
      <c r="Y267" s="7">
        <f>IFERROR(BDP(E267&amp;" Corp","BLOOMBERG_MID_G_SPREAD","YAS_BOND_PX="&amp;U267,"YAS_BNCHMRK_BOND_PX="&amp;W267),"--")</f>
        <v/>
      </c>
      <c r="Z267" s="7">
        <f>IFERROR(BDP(D267,"LAST_PRICE"),"--")</f>
        <v/>
      </c>
      <c r="AA267" s="7">
        <f>IFERROR(Z267-Y267,"--")</f>
        <v/>
      </c>
      <c r="AB267" s="8">
        <f>IFERROR((AA267-R267)/(S267-R267)*100,"--")</f>
        <v/>
      </c>
    </row>
    <row r="268">
      <c r="A268" t="inlineStr">
        <is>
          <t>ADNA</t>
        </is>
      </c>
      <c r="B268" t="inlineStr">
        <is>
          <t>Main</t>
        </is>
      </c>
      <c r="C268" t="inlineStr">
        <is>
          <t>ADNA 3 1/4 03/10/33</t>
        </is>
      </c>
      <c r="D268" t="inlineStr">
        <is>
          <t>KONINKLIJKE AHOLD CDS EUR SR 5 Corp</t>
        </is>
      </c>
      <c r="E268" t="inlineStr">
        <is>
          <t>XS3016387287</t>
        </is>
      </c>
      <c r="F268" s="2" t="n">
        <v>45720</v>
      </c>
      <c r="G268" s="2" t="n">
        <v>46225</v>
      </c>
      <c r="H268" s="2" t="n">
        <v>48750</v>
      </c>
      <c r="I268" s="3" t="n">
        <v>40.1065</v>
      </c>
      <c r="J268" s="3" t="n">
        <v>27.8858</v>
      </c>
      <c r="K268" s="3" t="n">
        <v>76.12</v>
      </c>
      <c r="L268" s="3" t="n">
        <v>76.256</v>
      </c>
      <c r="M268" s="3" t="n">
        <v>-36.01350000000001</v>
      </c>
      <c r="N268" s="3" t="n">
        <v>-63.6499</v>
      </c>
      <c r="O268" s="3" t="n">
        <v>-30.0879</v>
      </c>
      <c r="P268" s="4" t="n">
        <v>82.34431797866633</v>
      </c>
      <c r="Q268" s="3" t="n">
        <v>-48.2342</v>
      </c>
      <c r="R268" s="3" t="n">
        <v>-72.91630000000001</v>
      </c>
      <c r="S268" s="3" t="n">
        <v>-40.70779999999999</v>
      </c>
      <c r="T268" s="4" t="n">
        <v>76.63225546051507</v>
      </c>
      <c r="U268" s="5">
        <f>IFERROR(BDP(E268&amp;" Corp","LAST_PRICE"),"--")</f>
        <v/>
      </c>
      <c r="V268" s="6">
        <f>IFERROR(BDP(E268&amp;" Corp","YAS_BENCHMARK_BOND_ISIN"),"--")</f>
        <v/>
      </c>
      <c r="W268" s="5">
        <f>IFERROR(BDP(V268&amp;" CORP","LAST_PRICE"),"--")</f>
        <v/>
      </c>
      <c r="X268" s="7">
        <f>IFERROR(BDP(E268&amp;" Corp","YAS_YLD_SPREAD","YAS_BOND_PX="&amp;U268,"YAS_BNCHMRK_BOND_PX="&amp;W268),"--")</f>
        <v/>
      </c>
      <c r="Y268" s="7">
        <f>IFERROR(BDP(E268&amp;" Corp","BLOOMBERG_MID_G_SPREAD","YAS_BOND_PX="&amp;U268,"YAS_BNCHMRK_BOND_PX="&amp;W268),"--")</f>
        <v/>
      </c>
      <c r="Z268" s="7">
        <f>IFERROR(BDP(D268,"LAST_PRICE"),"--")</f>
        <v/>
      </c>
      <c r="AA268" s="7">
        <f>IFERROR(Z268-Y268,"--")</f>
        <v/>
      </c>
      <c r="AB268" s="8">
        <f>IFERROR((AA268-R268)/(S268-R268)*100,"--")</f>
        <v/>
      </c>
    </row>
    <row r="269">
      <c r="A269" t="inlineStr">
        <is>
          <t>AIFP</t>
        </is>
      </c>
      <c r="B269" t="inlineStr">
        <is>
          <t>Main</t>
        </is>
      </c>
      <c r="C269" t="inlineStr">
        <is>
          <t>AIFP 3 05/05/33</t>
        </is>
      </c>
      <c r="D269" t="inlineStr">
        <is>
          <t>AIFP CDS EUR SR 5Y D14 Corp</t>
        </is>
      </c>
      <c r="E269" t="inlineStr">
        <is>
          <t>FR0014013VX5</t>
        </is>
      </c>
      <c r="F269" s="2" t="n">
        <v>45960</v>
      </c>
      <c r="G269" s="2" t="n">
        <v>46225</v>
      </c>
      <c r="H269" s="2" t="n">
        <v>48750</v>
      </c>
      <c r="I269" s="3" t="n">
        <v>35.8298</v>
      </c>
      <c r="J269" s="3" t="n">
        <v>25.8645</v>
      </c>
      <c r="K269" s="3" t="n">
        <v>66.251</v>
      </c>
      <c r="L269" s="3" t="n">
        <v>66.212</v>
      </c>
      <c r="M269" s="3" t="n">
        <v>-30.42120000000001</v>
      </c>
      <c r="N269" s="3" t="n">
        <v>-42.2849</v>
      </c>
      <c r="O269" s="3" t="n">
        <v>-25.0163</v>
      </c>
      <c r="P269" s="4" t="n">
        <v>68.70099486930032</v>
      </c>
      <c r="Q269" s="3" t="n">
        <v>-40.38650000000001</v>
      </c>
      <c r="R269" s="3" t="n">
        <v>-53.0189</v>
      </c>
      <c r="S269" s="3" t="n">
        <v>-34.87430000000001</v>
      </c>
      <c r="T269" s="4" t="n">
        <v>69.62071360074071</v>
      </c>
      <c r="U269" s="5">
        <f>IFERROR(BDP(E269&amp;" Corp","LAST_PRICE"),"--")</f>
        <v/>
      </c>
      <c r="V269" s="6">
        <f>IFERROR(BDP(E269&amp;" Corp","YAS_BENCHMARK_BOND_ISIN"),"--")</f>
        <v/>
      </c>
      <c r="W269" s="5">
        <f>IFERROR(BDP(V269&amp;" CORP","LAST_PRICE"),"--")</f>
        <v/>
      </c>
      <c r="X269" s="7">
        <f>IFERROR(BDP(E269&amp;" Corp","YAS_YLD_SPREAD","YAS_BOND_PX="&amp;U269,"YAS_BNCHMRK_BOND_PX="&amp;W269),"--")</f>
        <v/>
      </c>
      <c r="Y269" s="7">
        <f>IFERROR(BDP(E269&amp;" Corp","BLOOMBERG_MID_G_SPREAD","YAS_BOND_PX="&amp;U269,"YAS_BNCHMRK_BOND_PX="&amp;W269),"--")</f>
        <v/>
      </c>
      <c r="Z269" s="7">
        <f>IFERROR(BDP(D269,"LAST_PRICE"),"--")</f>
        <v/>
      </c>
      <c r="AA269" s="7">
        <f>IFERROR(Z269-Y269,"--")</f>
        <v/>
      </c>
      <c r="AB269" s="8">
        <f>IFERROR((AA269-R269)/(S269-R269)*100,"--")</f>
        <v/>
      </c>
    </row>
    <row r="270">
      <c r="A270" t="inlineStr">
        <is>
          <t>AIRFP</t>
        </is>
      </c>
      <c r="B270" t="inlineStr">
        <is>
          <t>Main</t>
        </is>
      </c>
      <c r="C270" t="inlineStr">
        <is>
          <t>AIRFP 2 3/8 04/07/32</t>
        </is>
      </c>
      <c r="D270" t="inlineStr">
        <is>
          <t>AIRFP CDS EUR SR 5Y D14 Corp</t>
        </is>
      </c>
      <c r="E270" t="inlineStr">
        <is>
          <t>XS2152796426</t>
        </is>
      </c>
      <c r="F270" s="2" t="n">
        <v>45659</v>
      </c>
      <c r="G270" s="2" t="n">
        <v>46225</v>
      </c>
      <c r="H270" s="2" t="n">
        <v>48385</v>
      </c>
      <c r="I270" s="3" t="n">
        <v>39.4419</v>
      </c>
      <c r="J270" s="3" t="n">
        <v>32.1961</v>
      </c>
      <c r="K270" s="3" t="n">
        <v>51.859</v>
      </c>
      <c r="L270" s="3" t="n">
        <v>62.042</v>
      </c>
      <c r="M270" s="3" t="n">
        <v>-12.4171</v>
      </c>
      <c r="N270" s="3" t="n">
        <v>-27.78119999999999</v>
      </c>
      <c r="O270" s="3" t="n">
        <v>9.736500000000007</v>
      </c>
      <c r="P270" s="4" t="n">
        <v>40.95160417616215</v>
      </c>
      <c r="Q270" s="3" t="n">
        <v>-19.6629</v>
      </c>
      <c r="R270" s="3" t="n">
        <v>-34.14859999999999</v>
      </c>
      <c r="S270" s="3" t="n">
        <v>2.742400000000004</v>
      </c>
      <c r="T270" s="4" t="n">
        <v>39.26621669241819</v>
      </c>
      <c r="U270" s="5">
        <f>IFERROR(BDP(E270&amp;" Corp","LAST_PRICE"),"--")</f>
        <v/>
      </c>
      <c r="V270" s="6">
        <f>IFERROR(BDP(E270&amp;" Corp","YAS_BENCHMARK_BOND_ISIN"),"--")</f>
        <v/>
      </c>
      <c r="W270" s="5">
        <f>IFERROR(BDP(V270&amp;" CORP","LAST_PRICE"),"--")</f>
        <v/>
      </c>
      <c r="X270" s="7">
        <f>IFERROR(BDP(E270&amp;" Corp","YAS_YLD_SPREAD","YAS_BOND_PX="&amp;U270,"YAS_BNCHMRK_BOND_PX="&amp;W270),"--")</f>
        <v/>
      </c>
      <c r="Y270" s="7">
        <f>IFERROR(BDP(E270&amp;" Corp","BLOOMBERG_MID_G_SPREAD","YAS_BOND_PX="&amp;U270,"YAS_BNCHMRK_BOND_PX="&amp;W270),"--")</f>
        <v/>
      </c>
      <c r="Z270" s="7">
        <f>IFERROR(BDP(D270,"LAST_PRICE"),"--")</f>
        <v/>
      </c>
      <c r="AA270" s="7">
        <f>IFERROR(Z270-Y270,"--")</f>
        <v/>
      </c>
      <c r="AB270" s="8">
        <f>IFERROR((AA270-R270)/(S270-R270)*100,"--")</f>
        <v/>
      </c>
    </row>
    <row r="271">
      <c r="A271" t="inlineStr">
        <is>
          <t>AKZANA</t>
        </is>
      </c>
      <c r="B271" t="inlineStr">
        <is>
          <t>Main</t>
        </is>
      </c>
      <c r="C271" t="inlineStr">
        <is>
          <t>AKZANA 4 05/24/33</t>
        </is>
      </c>
      <c r="D271" t="inlineStr">
        <is>
          <t>AKZANANV CDS EUR SR 5Y D14 Corp</t>
        </is>
      </c>
      <c r="E271" t="inlineStr">
        <is>
          <t>XS2625136531</t>
        </is>
      </c>
      <c r="F271" s="2" t="n">
        <v>45659</v>
      </c>
      <c r="G271" s="2" t="n">
        <v>46225</v>
      </c>
      <c r="H271" s="2" t="n">
        <v>48750</v>
      </c>
      <c r="I271" s="3" t="n">
        <v>93.765</v>
      </c>
      <c r="J271" s="3" t="n">
        <v>69.95010000000001</v>
      </c>
      <c r="K271" s="3" t="n">
        <v>116.642</v>
      </c>
      <c r="L271" s="3" t="n">
        <v>118.156</v>
      </c>
      <c r="M271" s="3" t="n">
        <v>-22.877</v>
      </c>
      <c r="N271" s="3" t="n">
        <v>-33.2129</v>
      </c>
      <c r="O271" s="3" t="n">
        <v>-5.216700000000003</v>
      </c>
      <c r="P271" s="4" t="n">
        <v>36.91893899886416</v>
      </c>
      <c r="Q271" s="3" t="n">
        <v>-46.69189999999999</v>
      </c>
      <c r="R271" s="3" t="n">
        <v>-46.69189999999999</v>
      </c>
      <c r="S271" s="3" t="n">
        <v>-22.5667</v>
      </c>
      <c r="T271" s="4" t="n">
        <v>0</v>
      </c>
      <c r="U271" s="5">
        <f>IFERROR(BDP(E271&amp;" Corp","LAST_PRICE"),"--")</f>
        <v/>
      </c>
      <c r="V271" s="6">
        <f>IFERROR(BDP(E271&amp;" Corp","YAS_BENCHMARK_BOND_ISIN"),"--")</f>
        <v/>
      </c>
      <c r="W271" s="5">
        <f>IFERROR(BDP(V271&amp;" CORP","LAST_PRICE"),"--")</f>
        <v/>
      </c>
      <c r="X271" s="7">
        <f>IFERROR(BDP(E271&amp;" Corp","YAS_YLD_SPREAD","YAS_BOND_PX="&amp;U271,"YAS_BNCHMRK_BOND_PX="&amp;W271),"--")</f>
        <v/>
      </c>
      <c r="Y271" s="7">
        <f>IFERROR(BDP(E271&amp;" Corp","BLOOMBERG_MID_G_SPREAD","YAS_BOND_PX="&amp;U271,"YAS_BNCHMRK_BOND_PX="&amp;W271),"--")</f>
        <v/>
      </c>
      <c r="Z271" s="7">
        <f>IFERROR(BDP(D271,"LAST_PRICE"),"--")</f>
        <v/>
      </c>
      <c r="AA271" s="7">
        <f>IFERROR(Z271-Y271,"--")</f>
        <v/>
      </c>
      <c r="AB271" s="8">
        <f>IFERROR((AA271-R271)/(S271-R271)*100,"--")</f>
        <v/>
      </c>
    </row>
    <row r="272">
      <c r="A272" t="inlineStr">
        <is>
          <t>ALOFP</t>
        </is>
      </c>
      <c r="B272" t="inlineStr">
        <is>
          <t>Main</t>
        </is>
      </c>
      <c r="C272" t="inlineStr">
        <is>
          <t>ALOFP 0 1/2 07/27/30</t>
        </is>
      </c>
      <c r="D272" t="inlineStr">
        <is>
          <t>ALSTOM CDS EUR SR 5Y D14 Corp</t>
        </is>
      </c>
      <c r="E272" t="inlineStr">
        <is>
          <t>FR0014004R72</t>
        </is>
      </c>
      <c r="F272" s="2" t="n">
        <v>45659</v>
      </c>
      <c r="G272" s="2" t="n">
        <v>46225</v>
      </c>
      <c r="H272" s="2" t="n">
        <v>47837</v>
      </c>
      <c r="I272" s="3" t="n">
        <v>75.8519</v>
      </c>
      <c r="J272" s="3" t="n">
        <v>84.3143</v>
      </c>
      <c r="K272" s="3" t="n">
        <v>78.745</v>
      </c>
      <c r="L272" s="3" t="n">
        <v>82.045</v>
      </c>
      <c r="M272" s="3" t="n">
        <v>-2.893100000000004</v>
      </c>
      <c r="N272" s="3" t="n">
        <v>-20.6794</v>
      </c>
      <c r="O272" s="3" t="n">
        <v>48.32809999999999</v>
      </c>
      <c r="P272" s="4" t="n">
        <v>25.77444480672391</v>
      </c>
      <c r="Q272" s="3" t="n">
        <v>5.569299999999998</v>
      </c>
      <c r="R272" s="3" t="n">
        <v>-11.318</v>
      </c>
      <c r="S272" s="3" t="n">
        <v>58.56959999999999</v>
      </c>
      <c r="T272" s="4" t="n">
        <v>24.16351398531356</v>
      </c>
      <c r="U272" s="5">
        <f>IFERROR(BDP(E272&amp;" Corp","LAST_PRICE"),"--")</f>
        <v/>
      </c>
      <c r="V272" s="6">
        <f>IFERROR(BDP(E272&amp;" Corp","YAS_BENCHMARK_BOND_ISIN"),"--")</f>
        <v/>
      </c>
      <c r="W272" s="5">
        <f>IFERROR(BDP(V272&amp;" CORP","LAST_PRICE"),"--")</f>
        <v/>
      </c>
      <c r="X272" s="7">
        <f>IFERROR(BDP(E272&amp;" Corp","YAS_YLD_SPREAD","YAS_BOND_PX="&amp;U272,"YAS_BNCHMRK_BOND_PX="&amp;W272),"--")</f>
        <v/>
      </c>
      <c r="Y272" s="7">
        <f>IFERROR(BDP(E272&amp;" Corp","BLOOMBERG_MID_G_SPREAD","YAS_BOND_PX="&amp;U272,"YAS_BNCHMRK_BOND_PX="&amp;W272),"--")</f>
        <v/>
      </c>
      <c r="Z272" s="7">
        <f>IFERROR(BDP(D272,"LAST_PRICE"),"--")</f>
        <v/>
      </c>
      <c r="AA272" s="7">
        <f>IFERROR(Z272-Y272,"--")</f>
        <v/>
      </c>
      <c r="AB272" s="8">
        <f>IFERROR((AA272-R272)/(S272-R272)*100,"--")</f>
        <v/>
      </c>
    </row>
    <row r="273">
      <c r="A273" t="inlineStr">
        <is>
          <t>ALVGR</t>
        </is>
      </c>
      <c r="B273" t="inlineStr">
        <is>
          <t>Main</t>
        </is>
      </c>
      <c r="C273" t="inlineStr">
        <is>
          <t>ALVGR 1.729 12/17/31</t>
        </is>
      </c>
      <c r="D273" t="inlineStr">
        <is>
          <t>ALVGR CDS EUR SR 5Y D14 Corp</t>
        </is>
      </c>
      <c r="E273" t="inlineStr">
        <is>
          <t>XS1921452790</t>
        </is>
      </c>
      <c r="F273" s="2" t="n">
        <v>45659</v>
      </c>
      <c r="G273" s="2" t="n">
        <v>46225</v>
      </c>
      <c r="H273" s="2" t="n">
        <v>48202</v>
      </c>
      <c r="I273" s="3" t="n">
        <v>44.189</v>
      </c>
      <c r="J273" s="3" t="n">
        <v>39.4095</v>
      </c>
      <c r="K273" s="3" t="n">
        <v>36.612</v>
      </c>
      <c r="L273" s="3" t="n">
        <v>37.366</v>
      </c>
      <c r="M273" s="3" t="n">
        <v>7.576999999999998</v>
      </c>
      <c r="N273" s="3" t="n">
        <v>-29.23539999999999</v>
      </c>
      <c r="O273" s="3" t="n">
        <v>13.955</v>
      </c>
      <c r="P273" s="4" t="n">
        <v>85.2328295176706</v>
      </c>
      <c r="Q273" s="3" t="n">
        <v>2.797499999999999</v>
      </c>
      <c r="R273" s="3" t="n">
        <v>-31.8212</v>
      </c>
      <c r="S273" s="3" t="n">
        <v>10.3124</v>
      </c>
      <c r="T273" s="4" t="n">
        <v>82.16411604989841</v>
      </c>
      <c r="U273" s="5">
        <f>IFERROR(BDP(E273&amp;" Corp","LAST_PRICE"),"--")</f>
        <v/>
      </c>
      <c r="V273" s="6">
        <f>IFERROR(BDP(E273&amp;" Corp","YAS_BENCHMARK_BOND_ISIN"),"--")</f>
        <v/>
      </c>
      <c r="W273" s="5">
        <f>IFERROR(BDP(V273&amp;" CORP","LAST_PRICE"),"--")</f>
        <v/>
      </c>
      <c r="X273" s="7">
        <f>IFERROR(BDP(E273&amp;" Corp","YAS_YLD_SPREAD","YAS_BOND_PX="&amp;U273,"YAS_BNCHMRK_BOND_PX="&amp;W273),"--")</f>
        <v/>
      </c>
      <c r="Y273" s="7">
        <f>IFERROR(BDP(E273&amp;" Corp","BLOOMBERG_MID_G_SPREAD","YAS_BOND_PX="&amp;U273,"YAS_BNCHMRK_BOND_PX="&amp;W273),"--")</f>
        <v/>
      </c>
      <c r="Z273" s="7">
        <f>IFERROR(BDP(D273,"LAST_PRICE"),"--")</f>
        <v/>
      </c>
      <c r="AA273" s="7">
        <f>IFERROR(Z273-Y273,"--")</f>
        <v/>
      </c>
      <c r="AB273" s="8">
        <f>IFERROR((AA273-R273)/(S273-R273)*100,"--")</f>
        <v/>
      </c>
    </row>
    <row r="274">
      <c r="A274" t="inlineStr">
        <is>
          <t>ASSGEN</t>
        </is>
      </c>
      <c r="B274" t="inlineStr">
        <is>
          <t>Main</t>
        </is>
      </c>
      <c r="C274" t="inlineStr">
        <is>
          <t>GIM 3.547 01/15/34</t>
        </is>
      </c>
      <c r="D274" t="inlineStr">
        <is>
          <t>ASSGEN CDS EUR SR 5Y D14 Corp</t>
        </is>
      </c>
      <c r="E274" t="inlineStr">
        <is>
          <t>XS2747596315</t>
        </is>
      </c>
      <c r="F274" s="2" t="n">
        <v>45659</v>
      </c>
      <c r="G274" s="2" t="n">
        <v>46225</v>
      </c>
      <c r="H274" s="2" t="n">
        <v>49115</v>
      </c>
      <c r="I274" s="3" t="n">
        <v>76.87949999999999</v>
      </c>
      <c r="J274" s="3" t="n">
        <v>53.3105</v>
      </c>
      <c r="K274" s="3" t="n">
        <v>76.325</v>
      </c>
      <c r="L274" s="3" t="n">
        <v>79.05</v>
      </c>
      <c r="M274" s="3" t="n">
        <v>0.5544999999999902</v>
      </c>
      <c r="N274" s="3" t="n">
        <v>-23.11139999999999</v>
      </c>
      <c r="O274" s="3" t="n">
        <v>15.35109999999999</v>
      </c>
      <c r="P274" s="4" t="n">
        <v>61.5298017549561</v>
      </c>
      <c r="Q274" s="3" t="n">
        <v>-23.01450000000001</v>
      </c>
      <c r="R274" s="3" t="n">
        <v>-41.95999999999999</v>
      </c>
      <c r="S274" s="3" t="n">
        <v>-7.872700000000009</v>
      </c>
      <c r="T274" s="4" t="n">
        <v>55.5793506672573</v>
      </c>
      <c r="U274" s="5">
        <f>IFERROR(BDP(E274&amp;" Corp","LAST_PRICE"),"--")</f>
        <v/>
      </c>
      <c r="V274" s="6">
        <f>IFERROR(BDP(E274&amp;" Corp","YAS_BENCHMARK_BOND_ISIN"),"--")</f>
        <v/>
      </c>
      <c r="W274" s="5">
        <f>IFERROR(BDP(V274&amp;" CORP","LAST_PRICE"),"--")</f>
        <v/>
      </c>
      <c r="X274" s="7">
        <f>IFERROR(BDP(E274&amp;" Corp","YAS_YLD_SPREAD","YAS_BOND_PX="&amp;U274,"YAS_BNCHMRK_BOND_PX="&amp;W274),"--")</f>
        <v/>
      </c>
      <c r="Y274" s="7">
        <f>IFERROR(BDP(E274&amp;" Corp","BLOOMBERG_MID_G_SPREAD","YAS_BOND_PX="&amp;U274,"YAS_BNCHMRK_BOND_PX="&amp;W274),"--")</f>
        <v/>
      </c>
      <c r="Z274" s="7">
        <f>IFERROR(BDP(D274,"LAST_PRICE"),"--")</f>
        <v/>
      </c>
      <c r="AA274" s="7">
        <f>IFERROR(Z274-Y274,"--")</f>
        <v/>
      </c>
      <c r="AB274" s="8">
        <f>IFERROR((AA274-R274)/(S274-R274)*100,"--")</f>
        <v/>
      </c>
    </row>
    <row r="275">
      <c r="A275" t="inlineStr">
        <is>
          <t>GSK</t>
        </is>
      </c>
      <c r="B275" t="inlineStr">
        <is>
          <t>Main</t>
        </is>
      </c>
      <c r="C275" t="inlineStr">
        <is>
          <t>GSK 4 7/8 04/15/35</t>
        </is>
      </c>
      <c r="D275" t="inlineStr">
        <is>
          <t>CGSK1E5 Curncy</t>
        </is>
      </c>
      <c r="E275" t="inlineStr">
        <is>
          <t>US377372AQ02</t>
        </is>
      </c>
      <c r="F275" s="2" t="n">
        <v>45736</v>
      </c>
      <c r="G275" s="2" t="n">
        <v>46225</v>
      </c>
      <c r="H275" s="2" t="n">
        <v>49480</v>
      </c>
      <c r="I275" s="3" t="n">
        <v>50.3625</v>
      </c>
      <c r="J275" s="3" t="n">
        <v>31.3611</v>
      </c>
      <c r="K275" s="3" t="n">
        <v>61.999</v>
      </c>
      <c r="L275" s="3" t="n">
        <v>57.746</v>
      </c>
      <c r="M275" s="3" t="n">
        <v>-11.63650000000001</v>
      </c>
      <c r="N275" s="3" t="n">
        <v>-37.06080000000001</v>
      </c>
      <c r="O275" s="3" t="n">
        <v>-4.991</v>
      </c>
      <c r="P275" s="4" t="n">
        <v>79.27801233559298</v>
      </c>
      <c r="Q275" s="3" t="n">
        <v>-30.6379</v>
      </c>
      <c r="R275" s="3" t="n">
        <v>-49.2488</v>
      </c>
      <c r="S275" s="3" t="n">
        <v>-20.9849</v>
      </c>
      <c r="T275" s="4" t="n">
        <v>65.84689303316243</v>
      </c>
      <c r="U275" s="5">
        <f>IFERROR(BDP(E275&amp;" Corp","LAST_PRICE"),"--")</f>
        <v/>
      </c>
      <c r="V275" s="6">
        <f>IFERROR(BDP(E275&amp;" Corp","YAS_BENCHMARK_BOND_ISIN"),"--")</f>
        <v/>
      </c>
      <c r="W275" s="5">
        <f>IFERROR(BDP(V275&amp;" CORP","LAST_PRICE"),"--")</f>
        <v/>
      </c>
      <c r="X275" s="7">
        <f>IFERROR(BDP(E275&amp;" Corp","YAS_YLD_SPREAD","YAS_BOND_PX="&amp;U275,"YAS_BNCHMRK_BOND_PX="&amp;W275),"--")</f>
        <v/>
      </c>
      <c r="Y275" s="7">
        <f>IFERROR(BDP(E275&amp;" Corp","BLOOMBERG_MID_G_SPREAD","YAS_BOND_PX="&amp;U275,"YAS_BNCHMRK_BOND_PX="&amp;W275),"--")</f>
        <v/>
      </c>
      <c r="Z275" s="7">
        <f>IFERROR(BDP(D275,"LAST_PRICE"),"--")</f>
        <v/>
      </c>
      <c r="AA275" s="7">
        <f>IFERROR(Z275-Y275,"--")</f>
        <v/>
      </c>
      <c r="AB275" s="8">
        <f>IFERROR((AA275-R275)/(S275-R275)*100,"--")</f>
        <v/>
      </c>
    </row>
    <row r="276">
      <c r="A276" t="inlineStr">
        <is>
          <t>IAGLN</t>
        </is>
      </c>
      <c r="B276" t="inlineStr">
        <is>
          <t>Main</t>
        </is>
      </c>
      <c r="C276" t="inlineStr">
        <is>
          <t>IAGLN 3.352 09/11/30</t>
        </is>
      </c>
      <c r="D276" t="inlineStr">
        <is>
          <t>BRIT AIR CDS EUR SR 5Y D14 Corp</t>
        </is>
      </c>
      <c r="E276" t="inlineStr">
        <is>
          <t>XS3170907060</t>
        </is>
      </c>
      <c r="F276" s="2" t="n">
        <v>46044</v>
      </c>
      <c r="G276" s="2" t="n">
        <v>46225</v>
      </c>
      <c r="H276" s="2" t="n">
        <v>47837</v>
      </c>
      <c r="I276" s="3" t="n">
        <v>81.8369</v>
      </c>
      <c r="J276" s="3" t="n">
        <v>90.75660000000001</v>
      </c>
      <c r="K276" s="3" t="n">
        <v>91.67</v>
      </c>
      <c r="L276" s="3" t="n">
        <v>95.548</v>
      </c>
      <c r="M276" s="3" t="n">
        <v>-9.833100000000002</v>
      </c>
      <c r="N276" s="3" t="n">
        <v>-27.8113</v>
      </c>
      <c r="O276" s="3" t="n">
        <v>18.78149999999999</v>
      </c>
      <c r="P276" s="4" t="n">
        <v>38.58579007915387</v>
      </c>
      <c r="Q276" s="3" t="n">
        <v>-0.9133999999999958</v>
      </c>
      <c r="R276" s="3" t="n">
        <v>-20.3052</v>
      </c>
      <c r="S276" s="3" t="n">
        <v>32.54060000000001</v>
      </c>
      <c r="T276" s="4" t="n">
        <v>36.69506375151857</v>
      </c>
      <c r="U276" s="5">
        <f>IFERROR(BDP(E276&amp;" Corp","LAST_PRICE"),"--")</f>
        <v/>
      </c>
      <c r="V276" s="6">
        <f>IFERROR(BDP(E276&amp;" Corp","YAS_BENCHMARK_BOND_ISIN"),"--")</f>
        <v/>
      </c>
      <c r="W276" s="5">
        <f>IFERROR(BDP(V276&amp;" CORP","LAST_PRICE"),"--")</f>
        <v/>
      </c>
      <c r="X276" s="7">
        <f>IFERROR(BDP(E276&amp;" Corp","YAS_YLD_SPREAD","YAS_BOND_PX="&amp;U276,"YAS_BNCHMRK_BOND_PX="&amp;W276),"--")</f>
        <v/>
      </c>
      <c r="Y276" s="7">
        <f>IFERROR(BDP(E276&amp;" Corp","BLOOMBERG_MID_G_SPREAD","YAS_BOND_PX="&amp;U276,"YAS_BNCHMRK_BOND_PX="&amp;W276),"--")</f>
        <v/>
      </c>
      <c r="Z276" s="7">
        <f>IFERROR(BDP(D276,"LAST_PRICE"),"--")</f>
        <v/>
      </c>
      <c r="AA276" s="7">
        <f>IFERROR(Z276-Y276,"--")</f>
        <v/>
      </c>
      <c r="AB276" s="8">
        <f>IFERROR((AA276-R276)/(S276-R276)*100,"--")</f>
        <v/>
      </c>
    </row>
    <row r="277">
      <c r="A277" t="inlineStr">
        <is>
          <t>MARSPE</t>
        </is>
      </c>
      <c r="B277" t="inlineStr">
        <is>
          <t>Main</t>
        </is>
      </c>
      <c r="C277" t="inlineStr">
        <is>
          <t>MARSPE 7 1/8 12/01/37</t>
        </is>
      </c>
      <c r="D277" t="inlineStr">
        <is>
          <t>MARSPE CDS EUR SR 5Y D14 Corp</t>
        </is>
      </c>
      <c r="E277" t="inlineStr">
        <is>
          <t>US57069PAA03</t>
        </is>
      </c>
      <c r="F277" s="2" t="inlineStr"/>
      <c r="G277" s="2" t="inlineStr"/>
      <c r="H277" s="2" t="n">
        <v>50394</v>
      </c>
      <c r="I277" s="3" t="inlineStr"/>
      <c r="J277" s="3" t="n">
        <v>72.8107</v>
      </c>
      <c r="K277" s="3" t="inlineStr"/>
      <c r="L277" s="3" t="n">
        <v>156.234</v>
      </c>
      <c r="M277" s="3" t="inlineStr"/>
      <c r="N277" s="3" t="inlineStr"/>
      <c r="O277" s="3" t="inlineStr"/>
      <c r="P277" s="4" t="inlineStr"/>
      <c r="Q277" s="3" t="n">
        <v>-74.39230000000001</v>
      </c>
      <c r="R277" s="3" t="n">
        <v>-126.644</v>
      </c>
      <c r="S277" s="3" t="n">
        <v>-51.71090000000001</v>
      </c>
      <c r="T277" s="4" t="n">
        <v>69.73113350441928</v>
      </c>
      <c r="U277" s="5">
        <f>IFERROR(BDP(E277&amp;" Corp","LAST_PRICE"),"--")</f>
        <v/>
      </c>
      <c r="V277" s="6">
        <f>IFERROR(BDP(E277&amp;" Corp","YAS_BENCHMARK_BOND_ISIN"),"--")</f>
        <v/>
      </c>
      <c r="W277" s="5">
        <f>IFERROR(BDP(V277&amp;" CORP","LAST_PRICE"),"--")</f>
        <v/>
      </c>
      <c r="X277" s="7">
        <f>IFERROR(BDP(E277&amp;" Corp","YAS_YLD_SPREAD","YAS_BOND_PX="&amp;U277,"YAS_BNCHMRK_BOND_PX="&amp;W277),"--")</f>
        <v/>
      </c>
      <c r="Y277" s="7">
        <f>IFERROR(BDP(E277&amp;" Corp","BLOOMBERG_MID_G_SPREAD","YAS_BOND_PX="&amp;U277,"YAS_BNCHMRK_BOND_PX="&amp;W277),"--")</f>
        <v/>
      </c>
      <c r="Z277" s="7">
        <f>IFERROR(BDP(D277,"LAST_PRICE"),"--")</f>
        <v/>
      </c>
      <c r="AA277" s="7">
        <f>IFERROR(Z277-Y277,"--")</f>
        <v/>
      </c>
      <c r="AB277" s="8">
        <f>IFERROR((AA277-R277)/(S277-R277)*100,"--")</f>
        <v/>
      </c>
    </row>
    <row r="278">
      <c r="A278" t="inlineStr">
        <is>
          <t>SMURFIT KAPPA</t>
        </is>
      </c>
      <c r="B278" t="inlineStr">
        <is>
          <t>Main</t>
        </is>
      </c>
      <c r="C278" t="inlineStr">
        <is>
          <t>SW 3.489 11/24/31</t>
        </is>
      </c>
      <c r="D278" t="inlineStr">
        <is>
          <t>CY101284 Curncy</t>
        </is>
      </c>
      <c r="E278" t="inlineStr">
        <is>
          <t>XS3237109965</t>
        </is>
      </c>
      <c r="F278" s="2" t="n">
        <v>45980</v>
      </c>
      <c r="G278" s="2" t="n">
        <v>46225</v>
      </c>
      <c r="H278" s="2" t="n">
        <v>48202</v>
      </c>
      <c r="I278" s="3" t="n">
        <v>64.2501</v>
      </c>
      <c r="J278" s="3" t="n">
        <v>57.1037</v>
      </c>
      <c r="K278" s="3" t="n">
        <v>86.693</v>
      </c>
      <c r="L278" s="3" t="n">
        <v>91.236</v>
      </c>
      <c r="M278" s="3" t="n">
        <v>-22.44289999999999</v>
      </c>
      <c r="N278" s="3" t="n">
        <v>-29.1229</v>
      </c>
      <c r="O278" s="3" t="n">
        <v>-9.376899999999992</v>
      </c>
      <c r="P278" s="4" t="n">
        <v>33.82963638205208</v>
      </c>
      <c r="Q278" s="3" t="n">
        <v>-29.58929999999999</v>
      </c>
      <c r="R278" s="3" t="n">
        <v>-36.54660000000001</v>
      </c>
      <c r="S278" s="3" t="n">
        <v>-14.87139999999999</v>
      </c>
      <c r="T278" s="4" t="n">
        <v>32.09797372111912</v>
      </c>
      <c r="U278" s="5">
        <f>IFERROR(BDP(E278&amp;" Corp","LAST_PRICE"),"--")</f>
        <v/>
      </c>
      <c r="V278" s="6">
        <f>IFERROR(BDP(E278&amp;" Corp","YAS_BENCHMARK_BOND_ISIN"),"--")</f>
        <v/>
      </c>
      <c r="W278" s="5">
        <f>IFERROR(BDP(V278&amp;" CORP","LAST_PRICE"),"--")</f>
        <v/>
      </c>
      <c r="X278" s="7">
        <f>IFERROR(BDP(E278&amp;" Corp","YAS_YLD_SPREAD","YAS_BOND_PX="&amp;U278,"YAS_BNCHMRK_BOND_PX="&amp;W278),"--")</f>
        <v/>
      </c>
      <c r="Y278" s="7">
        <f>IFERROR(BDP(E278&amp;" Corp","BLOOMBERG_MID_G_SPREAD","YAS_BOND_PX="&amp;U278,"YAS_BNCHMRK_BOND_PX="&amp;W278),"--")</f>
        <v/>
      </c>
      <c r="Z278" s="7">
        <f>IFERROR(BDP(D278,"LAST_PRICE"),"--")</f>
        <v/>
      </c>
      <c r="AA278" s="7">
        <f>IFERROR(Z278-Y278,"--")</f>
        <v/>
      </c>
      <c r="AB278" s="8">
        <f>IFERROR((AA278-R278)/(S278-R278)*100,"--")</f>
        <v/>
      </c>
    </row>
    <row r="279">
      <c r="A279" t="inlineStr">
        <is>
          <t>SSELN</t>
        </is>
      </c>
      <c r="B279" t="inlineStr">
        <is>
          <t>Main</t>
        </is>
      </c>
      <c r="C279" t="inlineStr">
        <is>
          <t>SSELN 4 09/05/31</t>
        </is>
      </c>
      <c r="D279" t="inlineStr">
        <is>
          <t>CT373240 Curncy</t>
        </is>
      </c>
      <c r="E279" t="inlineStr">
        <is>
          <t>XS2675685700</t>
        </is>
      </c>
      <c r="F279" s="2" t="n">
        <v>45659</v>
      </c>
      <c r="G279" s="2" t="n">
        <v>46225</v>
      </c>
      <c r="H279" s="2" t="n">
        <v>48202</v>
      </c>
      <c r="I279" s="3" t="n">
        <v>38.9262</v>
      </c>
      <c r="J279" s="3" t="n">
        <v>34.6667</v>
      </c>
      <c r="K279" s="3" t="n">
        <v>71.526</v>
      </c>
      <c r="L279" s="3" t="n">
        <v>73.21299999999999</v>
      </c>
      <c r="M279" s="3" t="n">
        <v>-32.59979999999999</v>
      </c>
      <c r="N279" s="3" t="n">
        <v>-55.6991</v>
      </c>
      <c r="O279" s="3" t="n">
        <v>-24.3959</v>
      </c>
      <c r="P279" s="4" t="n">
        <v>73.79213626721871</v>
      </c>
      <c r="Q279" s="3" t="n">
        <v>-36.8593</v>
      </c>
      <c r="R279" s="3" t="n">
        <v>-60.5583</v>
      </c>
      <c r="S279" s="3" t="n">
        <v>-29.16650000000001</v>
      </c>
      <c r="T279" s="4" t="n">
        <v>75.49423734860699</v>
      </c>
      <c r="U279" s="5">
        <f>IFERROR(BDP(E279&amp;" Corp","LAST_PRICE"),"--")</f>
        <v/>
      </c>
      <c r="V279" s="6">
        <f>IFERROR(BDP(E279&amp;" Corp","YAS_BENCHMARK_BOND_ISIN"),"--")</f>
        <v/>
      </c>
      <c r="W279" s="5">
        <f>IFERROR(BDP(V279&amp;" CORP","LAST_PRICE"),"--")</f>
        <v/>
      </c>
      <c r="X279" s="7">
        <f>IFERROR(BDP(E279&amp;" Corp","YAS_YLD_SPREAD","YAS_BOND_PX="&amp;U279,"YAS_BNCHMRK_BOND_PX="&amp;W279),"--")</f>
        <v/>
      </c>
      <c r="Y279" s="7">
        <f>IFERROR(BDP(E279&amp;" Corp","BLOOMBERG_MID_G_SPREAD","YAS_BOND_PX="&amp;U279,"YAS_BNCHMRK_BOND_PX="&amp;W279),"--")</f>
        <v/>
      </c>
      <c r="Z279" s="7">
        <f>IFERROR(BDP(D279,"LAST_PRICE"),"--")</f>
        <v/>
      </c>
      <c r="AA279" s="7">
        <f>IFERROR(Z279-Y279,"--")</f>
        <v/>
      </c>
      <c r="AB279" s="8">
        <f>IFERROR((AA279-R279)/(S279-R279)*100,"--")</f>
        <v/>
      </c>
    </row>
    <row r="280">
      <c r="A280" t="inlineStr">
        <is>
          <t>UU PLC</t>
        </is>
      </c>
      <c r="B280" t="inlineStr">
        <is>
          <t>Main</t>
        </is>
      </c>
      <c r="C280" t="inlineStr">
        <is>
          <t>UU 4.95 10/03/35</t>
        </is>
      </c>
      <c r="D280" t="inlineStr">
        <is>
          <t>CUU1E5  Curncy</t>
        </is>
      </c>
      <c r="E280" t="inlineStr">
        <is>
          <t>XS2912502387</t>
        </is>
      </c>
      <c r="F280" s="2" t="n">
        <v>45922</v>
      </c>
      <c r="G280" s="2" t="n">
        <v>46225</v>
      </c>
      <c r="H280" s="2" t="n">
        <v>49663</v>
      </c>
      <c r="I280" s="3" t="n">
        <v>75.9362</v>
      </c>
      <c r="J280" s="3" t="n">
        <v>43.9444</v>
      </c>
      <c r="K280" s="3" t="n">
        <v>79.45</v>
      </c>
      <c r="L280" s="3" t="n">
        <v>78.95099999999999</v>
      </c>
      <c r="M280" s="3" t="n">
        <v>-3.513800000000003</v>
      </c>
      <c r="N280" s="3" t="n">
        <v>-24.7196</v>
      </c>
      <c r="O280" s="3" t="n">
        <v>-0.7826000000000022</v>
      </c>
      <c r="P280" s="4" t="n">
        <v>88.59004887830555</v>
      </c>
      <c r="Q280" s="3" t="n">
        <v>-35.5056</v>
      </c>
      <c r="R280" s="3" t="n">
        <v>-70.1691</v>
      </c>
      <c r="S280" s="3" t="n">
        <v>-25.66079999999999</v>
      </c>
      <c r="T280" s="4" t="n">
        <v>77.88097950269949</v>
      </c>
      <c r="U280" s="5">
        <f>IFERROR(BDP(E280&amp;" Corp","LAST_PRICE"),"--")</f>
        <v/>
      </c>
      <c r="V280" s="6">
        <f>IFERROR(BDP(E280&amp;" Corp","YAS_BENCHMARK_BOND_ISIN"),"--")</f>
        <v/>
      </c>
      <c r="W280" s="5">
        <f>IFERROR(BDP(V280&amp;" CORP","LAST_PRICE"),"--")</f>
        <v/>
      </c>
      <c r="X280" s="7">
        <f>IFERROR(BDP(E280&amp;" Corp","YAS_YLD_SPREAD","YAS_BOND_PX="&amp;U280,"YAS_BNCHMRK_BOND_PX="&amp;W280),"--")</f>
        <v/>
      </c>
      <c r="Y280" s="7">
        <f>IFERROR(BDP(E280&amp;" Corp","BLOOMBERG_MID_G_SPREAD","YAS_BOND_PX="&amp;U280,"YAS_BNCHMRK_BOND_PX="&amp;W280),"--")</f>
        <v/>
      </c>
      <c r="Z280" s="7">
        <f>IFERROR(BDP(D280,"LAST_PRICE"),"--")</f>
        <v/>
      </c>
      <c r="AA280" s="7">
        <f>IFERROR(Z280-Y280,"--")</f>
        <v/>
      </c>
      <c r="AB280" s="8">
        <f>IFERROR((AA280-R280)/(S280-R280)*100,"--")</f>
        <v/>
      </c>
    </row>
    <row r="281">
      <c r="A281" t="inlineStr">
        <is>
          <t>ACCINV</t>
        </is>
      </c>
      <c r="B281" t="inlineStr">
        <is>
          <t>XO</t>
        </is>
      </c>
      <c r="C281" t="inlineStr">
        <is>
          <t>ACCINV 5 5/8 05/15/32</t>
        </is>
      </c>
      <c r="D281" t="inlineStr">
        <is>
          <t>ACCINV CDS EUR SR 5Y D14 Corp</t>
        </is>
      </c>
      <c r="E281" t="inlineStr">
        <is>
          <t>XS3049460242</t>
        </is>
      </c>
      <c r="F281" s="2" t="n">
        <v>46044</v>
      </c>
      <c r="G281" s="2" t="n">
        <v>46225</v>
      </c>
      <c r="H281" s="2" t="n">
        <v>48385</v>
      </c>
      <c r="I281" s="3" t="n">
        <v>291.6667</v>
      </c>
      <c r="J281" s="3" t="n">
        <v>272.6629</v>
      </c>
      <c r="K281" s="3" t="n">
        <v>237.772</v>
      </c>
      <c r="L281" s="3" t="n">
        <v>236.437</v>
      </c>
      <c r="M281" s="3" t="n">
        <v>53.8947</v>
      </c>
      <c r="N281" s="3" t="n">
        <v>31.28410000000002</v>
      </c>
      <c r="O281" s="3" t="n">
        <v>93.75569999999999</v>
      </c>
      <c r="P281" s="4" t="n">
        <v>36.19340628381535</v>
      </c>
      <c r="Q281" s="3" t="n">
        <v>34.89089999999999</v>
      </c>
      <c r="R281" s="3" t="n">
        <v>11.19869999999997</v>
      </c>
      <c r="S281" s="3" t="n">
        <v>66.0138</v>
      </c>
      <c r="T281" s="4" t="n">
        <v>43.22203188537465</v>
      </c>
      <c r="U281" s="5">
        <f>IFERROR(BDP(E281&amp;" Corp","LAST_PRICE"),"--")</f>
        <v/>
      </c>
      <c r="V281" s="6">
        <f>IFERROR(BDP(E281&amp;" Corp","YAS_BENCHMARK_BOND_ISIN"),"--")</f>
        <v/>
      </c>
      <c r="W281" s="5">
        <f>IFERROR(BDP(V281&amp;" CORP","LAST_PRICE"),"--")</f>
        <v/>
      </c>
      <c r="X281" s="7">
        <f>IFERROR(BDP(E281&amp;" Corp","YAS_YLD_SPREAD","YAS_BOND_PX="&amp;U281,"YAS_BNCHMRK_BOND_PX="&amp;W281),"--")</f>
        <v/>
      </c>
      <c r="Y281" s="7">
        <f>IFERROR(BDP(E281&amp;" Corp","BLOOMBERG_MID_G_SPREAD","YAS_BOND_PX="&amp;U281,"YAS_BNCHMRK_BOND_PX="&amp;W281),"--")</f>
        <v/>
      </c>
      <c r="Z281" s="7">
        <f>IFERROR(BDP(D281,"LAST_PRICE"),"--")</f>
        <v/>
      </c>
      <c r="AA281" s="7">
        <f>IFERROR(Z281-Y281,"--")</f>
        <v/>
      </c>
      <c r="AB281" s="8">
        <f>IFERROR((AA281-R281)/(S281-R281)*100,"--")</f>
        <v/>
      </c>
    </row>
    <row r="282">
      <c r="A282" t="inlineStr">
        <is>
          <t>ADRBID</t>
        </is>
      </c>
      <c r="B282" t="inlineStr">
        <is>
          <t>XO</t>
        </is>
      </c>
      <c r="C282" t="inlineStr">
        <is>
          <t>ADRBID 6 1/2 10/31/31</t>
        </is>
      </c>
      <c r="D282" t="inlineStr">
        <is>
          <t>ADRBID CDS EUR SR 5Y D14 Corp</t>
        </is>
      </c>
      <c r="E282" t="inlineStr">
        <is>
          <t>XS2919880679</t>
        </is>
      </c>
      <c r="F282" s="2" t="n">
        <v>45659</v>
      </c>
      <c r="G282" s="2" t="n">
        <v>46225</v>
      </c>
      <c r="H282" s="2" t="n">
        <v>48202</v>
      </c>
      <c r="I282" s="3" t="n">
        <v>308.9736</v>
      </c>
      <c r="J282" s="3" t="n">
        <v>272.5918</v>
      </c>
      <c r="K282" s="3" t="n">
        <v>262.076</v>
      </c>
      <c r="L282" s="3" t="n">
        <v>257.906</v>
      </c>
      <c r="M282" s="3" t="n">
        <v>46.89759999999995</v>
      </c>
      <c r="N282" s="3" t="n">
        <v>-8.418800000000033</v>
      </c>
      <c r="O282" s="3" t="n">
        <v>68.37669999999997</v>
      </c>
      <c r="P282" s="4" t="n">
        <v>72.03078305369453</v>
      </c>
      <c r="Q282" s="3" t="n">
        <v>10.51579999999996</v>
      </c>
      <c r="R282" s="3" t="n">
        <v>-39.41540000000003</v>
      </c>
      <c r="S282" s="3" t="n">
        <v>52.09820000000002</v>
      </c>
      <c r="T282" s="4" t="n">
        <v>54.56150779774806</v>
      </c>
      <c r="U282" s="5">
        <f>IFERROR(BDP(E282&amp;" Corp","LAST_PRICE"),"--")</f>
        <v/>
      </c>
      <c r="V282" s="6">
        <f>IFERROR(BDP(E282&amp;" Corp","YAS_BENCHMARK_BOND_ISIN"),"--")</f>
        <v/>
      </c>
      <c r="W282" s="5">
        <f>IFERROR(BDP(V282&amp;" CORP","LAST_PRICE"),"--")</f>
        <v/>
      </c>
      <c r="X282" s="7">
        <f>IFERROR(BDP(E282&amp;" Corp","YAS_YLD_SPREAD","YAS_BOND_PX="&amp;U282,"YAS_BNCHMRK_BOND_PX="&amp;W282),"--")</f>
        <v/>
      </c>
      <c r="Y282" s="7">
        <f>IFERROR(BDP(E282&amp;" Corp","BLOOMBERG_MID_G_SPREAD","YAS_BOND_PX="&amp;U282,"YAS_BNCHMRK_BOND_PX="&amp;W282),"--")</f>
        <v/>
      </c>
      <c r="Z282" s="7">
        <f>IFERROR(BDP(D282,"LAST_PRICE"),"--")</f>
        <v/>
      </c>
      <c r="AA282" s="7">
        <f>IFERROR(Z282-Y282,"--")</f>
        <v/>
      </c>
      <c r="AB282" s="8">
        <f>IFERROR((AA282-R282)/(S282-R282)*100,"--")</f>
        <v/>
      </c>
    </row>
    <row r="283">
      <c r="A283" t="inlineStr">
        <is>
          <t>AFFP</t>
        </is>
      </c>
      <c r="B283" t="inlineStr">
        <is>
          <t>XO</t>
        </is>
      </c>
      <c r="C283" t="inlineStr">
        <is>
          <t>AFFP 3 7/8 01/14/31</t>
        </is>
      </c>
      <c r="D283" t="inlineStr">
        <is>
          <t>AFKLM CDS EUR SR 5Y D14 Corp</t>
        </is>
      </c>
      <c r="E283" t="inlineStr">
        <is>
          <t>FR0014015H97</t>
        </is>
      </c>
      <c r="F283" s="2" t="n">
        <v>46034</v>
      </c>
      <c r="G283" s="2" t="n">
        <v>46225</v>
      </c>
      <c r="H283" s="2" t="n">
        <v>48019</v>
      </c>
      <c r="I283" s="3" t="n">
        <v>154.8674</v>
      </c>
      <c r="J283" s="3" t="n">
        <v>154.8674</v>
      </c>
      <c r="K283" s="3" t="n">
        <v>148.222</v>
      </c>
      <c r="L283" s="3" t="n">
        <v>158.445</v>
      </c>
      <c r="M283" s="3" t="n">
        <v>6.645399999999995</v>
      </c>
      <c r="N283" s="3" t="n">
        <v>-19.52160000000001</v>
      </c>
      <c r="O283" s="3" t="n">
        <v>30.93119999999999</v>
      </c>
      <c r="P283" s="4" t="n">
        <v>51.86431674753433</v>
      </c>
      <c r="Q283" s="3" t="n">
        <v>6.645399999999995</v>
      </c>
      <c r="R283" s="3" t="n">
        <v>-19.52160000000001</v>
      </c>
      <c r="S283" s="3" t="n">
        <v>30.93119999999999</v>
      </c>
      <c r="T283" s="4" t="n">
        <v>51.86431674753433</v>
      </c>
      <c r="U283" s="5">
        <f>IFERROR(BDP(E283&amp;" Corp","LAST_PRICE"),"--")</f>
        <v/>
      </c>
      <c r="V283" s="6">
        <f>IFERROR(BDP(E283&amp;" Corp","YAS_BENCHMARK_BOND_ISIN"),"--")</f>
        <v/>
      </c>
      <c r="W283" s="5">
        <f>IFERROR(BDP(V283&amp;" CORP","LAST_PRICE"),"--")</f>
        <v/>
      </c>
      <c r="X283" s="7">
        <f>IFERROR(BDP(E283&amp;" Corp","YAS_YLD_SPREAD","YAS_BOND_PX="&amp;U283,"YAS_BNCHMRK_BOND_PX="&amp;W283),"--")</f>
        <v/>
      </c>
      <c r="Y283" s="7">
        <f>IFERROR(BDP(E283&amp;" Corp","BLOOMBERG_MID_G_SPREAD","YAS_BOND_PX="&amp;U283,"YAS_BNCHMRK_BOND_PX="&amp;W283),"--")</f>
        <v/>
      </c>
      <c r="Z283" s="7">
        <f>IFERROR(BDP(D283,"LAST_PRICE"),"--")</f>
        <v/>
      </c>
      <c r="AA283" s="7">
        <f>IFERROR(Z283-Y283,"--")</f>
        <v/>
      </c>
      <c r="AB283" s="8">
        <f>IFERROR((AA283-R283)/(S283-R283)*100,"--")</f>
        <v/>
      </c>
    </row>
    <row r="284">
      <c r="A284" t="inlineStr">
        <is>
          <t>AGKLN</t>
        </is>
      </c>
      <c r="B284" t="inlineStr">
        <is>
          <t>XO</t>
        </is>
      </c>
      <c r="C284" t="inlineStr">
        <is>
          <t>AGKLN 7 05/21/30</t>
        </is>
      </c>
      <c r="D284" t="inlineStr">
        <is>
          <t>CZ037560 Curncy</t>
        </is>
      </c>
      <c r="E284" t="inlineStr">
        <is>
          <t>US01330AAA43</t>
        </is>
      </c>
      <c r="F284" s="2" t="n">
        <v>46044</v>
      </c>
      <c r="G284" s="2" t="n">
        <v>46225</v>
      </c>
      <c r="H284" s="2" t="n">
        <v>47654</v>
      </c>
      <c r="I284" s="3" t="n">
        <v>164.5664</v>
      </c>
      <c r="J284" s="3" t="n">
        <v>205.3332</v>
      </c>
      <c r="K284" s="3" t="n">
        <v>176.373</v>
      </c>
      <c r="L284" s="3" t="n">
        <v>177.045</v>
      </c>
      <c r="M284" s="3" t="n">
        <v>-11.8066</v>
      </c>
      <c r="N284" s="3" t="n">
        <v>-14.45479999999998</v>
      </c>
      <c r="O284" s="3" t="n">
        <v>61.07090000000002</v>
      </c>
      <c r="P284" s="4" t="n">
        <v>3.506356114541109</v>
      </c>
      <c r="Q284" s="3" t="n">
        <v>28.96020000000001</v>
      </c>
      <c r="R284" s="3" t="n">
        <v>25.74370000000002</v>
      </c>
      <c r="S284" s="3" t="n">
        <v>116.1222</v>
      </c>
      <c r="T284" s="4" t="n">
        <v>3.558921646187973</v>
      </c>
      <c r="U284" s="5">
        <f>IFERROR(BDP(E284&amp;" Corp","LAST_PRICE"),"--")</f>
        <v/>
      </c>
      <c r="V284" s="6">
        <f>IFERROR(BDP(E284&amp;" Corp","YAS_BENCHMARK_BOND_ISIN"),"--")</f>
        <v/>
      </c>
      <c r="W284" s="5">
        <f>IFERROR(BDP(V284&amp;" CORP","LAST_PRICE"),"--")</f>
        <v/>
      </c>
      <c r="X284" s="7">
        <f>IFERROR(BDP(E284&amp;" Corp","YAS_YLD_SPREAD","YAS_BOND_PX="&amp;U284,"YAS_BNCHMRK_BOND_PX="&amp;W284),"--")</f>
        <v/>
      </c>
      <c r="Y284" s="7">
        <f>IFERROR(BDP(E284&amp;" Corp","BLOOMBERG_MID_G_SPREAD","YAS_BOND_PX="&amp;U284,"YAS_BNCHMRK_BOND_PX="&amp;W284),"--")</f>
        <v/>
      </c>
      <c r="Z284" s="7">
        <f>IFERROR(BDP(D284,"LAST_PRICE"),"--")</f>
        <v/>
      </c>
      <c r="AA284" s="7">
        <f>IFERROR(Z284-Y284,"--")</f>
        <v/>
      </c>
      <c r="AB284" s="8">
        <f>IFERROR((AA284-R284)/(S284-R284)*100,"--")</f>
        <v/>
      </c>
    </row>
    <row r="285">
      <c r="A285" t="inlineStr">
        <is>
          <t>ARWLN</t>
        </is>
      </c>
      <c r="B285" t="inlineStr">
        <is>
          <t>XO</t>
        </is>
      </c>
      <c r="C285" t="inlineStr">
        <is>
          <t>ARWLN 7 5/8 12/15/29</t>
        </is>
      </c>
      <c r="D285" t="inlineStr">
        <is>
          <t>ARWLN CDS EUR SR 5Y D14 Corp</t>
        </is>
      </c>
      <c r="E285" t="inlineStr">
        <is>
          <t>XS2953568479</t>
        </is>
      </c>
      <c r="F285" s="2" t="n">
        <v>45735</v>
      </c>
      <c r="G285" s="2" t="n">
        <v>46225</v>
      </c>
      <c r="H285" s="2" t="n">
        <v>47472</v>
      </c>
      <c r="I285" s="3" t="n">
        <v>384.2726</v>
      </c>
      <c r="J285" s="3" t="n">
        <v>471.9222</v>
      </c>
      <c r="K285" s="3" t="n">
        <v>388.997</v>
      </c>
      <c r="L285" s="3" t="n">
        <v>387.084</v>
      </c>
      <c r="M285" s="3" t="n">
        <v>-4.724400000000003</v>
      </c>
      <c r="N285" s="3" t="n">
        <v>-199.0563</v>
      </c>
      <c r="O285" s="3" t="n">
        <v>9.50630000000001</v>
      </c>
      <c r="P285" s="4" t="n">
        <v>93.1767728250415</v>
      </c>
      <c r="Q285" s="3" t="n">
        <v>82.92519999999996</v>
      </c>
      <c r="R285" s="3" t="n">
        <v>-98.70159999999998</v>
      </c>
      <c r="S285" s="3" t="n">
        <v>121.9962</v>
      </c>
      <c r="T285" s="4" t="n">
        <v>82.29660649086668</v>
      </c>
      <c r="U285" s="5">
        <f>IFERROR(BDP(E285&amp;" Corp","LAST_PRICE"),"--")</f>
        <v/>
      </c>
      <c r="V285" s="6">
        <f>IFERROR(BDP(E285&amp;" Corp","YAS_BENCHMARK_BOND_ISIN"),"--")</f>
        <v/>
      </c>
      <c r="W285" s="5">
        <f>IFERROR(BDP(V285&amp;" CORP","LAST_PRICE"),"--")</f>
        <v/>
      </c>
      <c r="X285" s="7">
        <f>IFERROR(BDP(E285&amp;" Corp","YAS_YLD_SPREAD","YAS_BOND_PX="&amp;U285,"YAS_BNCHMRK_BOND_PX="&amp;W285),"--")</f>
        <v/>
      </c>
      <c r="Y285" s="7">
        <f>IFERROR(BDP(E285&amp;" Corp","BLOOMBERG_MID_G_SPREAD","YAS_BOND_PX="&amp;U285,"YAS_BNCHMRK_BOND_PX="&amp;W285),"--")</f>
        <v/>
      </c>
      <c r="Z285" s="7">
        <f>IFERROR(BDP(D285,"LAST_PRICE"),"--")</f>
        <v/>
      </c>
      <c r="AA285" s="7">
        <f>IFERROR(Z285-Y285,"--")</f>
        <v/>
      </c>
      <c r="AB285" s="8">
        <f>IFERROR((AA285-R285)/(S285-R285)*100,"--")</f>
        <v/>
      </c>
    </row>
    <row r="286">
      <c r="A286" t="inlineStr">
        <is>
          <t>ASSDLN</t>
        </is>
      </c>
      <c r="B286" t="inlineStr">
        <is>
          <t>XO</t>
        </is>
      </c>
      <c r="C286" t="inlineStr">
        <is>
          <t>ASSDLN 8 07/01/31</t>
        </is>
      </c>
      <c r="D286" t="inlineStr">
        <is>
          <t>ASSDLN CDS EUR SR 5Y D14 Corp</t>
        </is>
      </c>
      <c r="E286" t="inlineStr">
        <is>
          <t>XS3099155932</t>
        </is>
      </c>
      <c r="F286" s="2" t="n">
        <v>45828</v>
      </c>
      <c r="G286" s="2" t="n">
        <v>46225</v>
      </c>
      <c r="H286" s="2" t="n">
        <v>48202</v>
      </c>
      <c r="I286" s="3" t="n">
        <v>657.3952</v>
      </c>
      <c r="J286" s="3" t="n">
        <v>630.6263</v>
      </c>
      <c r="K286" s="3" t="n">
        <v>605.568</v>
      </c>
      <c r="L286" s="3" t="n">
        <v>608.202</v>
      </c>
      <c r="M286" s="3" t="n">
        <v>51.82720000000006</v>
      </c>
      <c r="N286" s="3" t="n">
        <v>-73.29020000000003</v>
      </c>
      <c r="O286" s="3" t="n">
        <v>103.6968999999999</v>
      </c>
      <c r="P286" s="4" t="n">
        <v>70.69294880813355</v>
      </c>
      <c r="Q286" s="3" t="n">
        <v>25.05830000000003</v>
      </c>
      <c r="R286" s="3" t="n">
        <v>-89.09450000000004</v>
      </c>
      <c r="S286" s="3" t="n">
        <v>88.5702</v>
      </c>
      <c r="T286" s="4" t="n">
        <v>64.25181817209611</v>
      </c>
      <c r="U286" s="5">
        <f>IFERROR(BDP(E286&amp;" Corp","LAST_PRICE"),"--")</f>
        <v/>
      </c>
      <c r="V286" s="6">
        <f>IFERROR(BDP(E286&amp;" Corp","YAS_BENCHMARK_BOND_ISIN"),"--")</f>
        <v/>
      </c>
      <c r="W286" s="5">
        <f>IFERROR(BDP(V286&amp;" CORP","LAST_PRICE"),"--")</f>
        <v/>
      </c>
      <c r="X286" s="7">
        <f>IFERROR(BDP(E286&amp;" Corp","YAS_YLD_SPREAD","YAS_BOND_PX="&amp;U286,"YAS_BNCHMRK_BOND_PX="&amp;W286),"--")</f>
        <v/>
      </c>
      <c r="Y286" s="7">
        <f>IFERROR(BDP(E286&amp;" Corp","BLOOMBERG_MID_G_SPREAD","YAS_BOND_PX="&amp;U286,"YAS_BNCHMRK_BOND_PX="&amp;W286),"--")</f>
        <v/>
      </c>
      <c r="Z286" s="7">
        <f>IFERROR(BDP(D286,"LAST_PRICE"),"--")</f>
        <v/>
      </c>
      <c r="AA286" s="7">
        <f>IFERROR(Z286-Y286,"--")</f>
        <v/>
      </c>
      <c r="AB286" s="8">
        <f>IFERROR((AA286-R286)/(S286-R286)*100,"--")</f>
        <v/>
      </c>
    </row>
    <row r="287">
      <c r="A287" t="inlineStr">
        <is>
          <t>ATLIM</t>
        </is>
      </c>
      <c r="B287" t="inlineStr">
        <is>
          <t>XO</t>
        </is>
      </c>
      <c r="C287" t="inlineStr">
        <is>
          <t>MUNDYS 3.7 09/29/31</t>
        </is>
      </c>
      <c r="D287" t="inlineStr">
        <is>
          <t>MUNDYS CDS EUR SR 5Y D14 Corp</t>
        </is>
      </c>
      <c r="E287" t="inlineStr">
        <is>
          <t>XS3192254632</t>
        </is>
      </c>
      <c r="F287" s="2" t="n">
        <v>45924</v>
      </c>
      <c r="G287" s="2" t="n">
        <v>46225</v>
      </c>
      <c r="H287" s="2" t="n">
        <v>48202</v>
      </c>
      <c r="I287" s="3" t="n">
        <v>85.4051</v>
      </c>
      <c r="J287" s="3" t="n">
        <v>78.55070000000001</v>
      </c>
      <c r="K287" s="3" t="n">
        <v>120.29</v>
      </c>
      <c r="L287" s="3" t="n">
        <v>123.75</v>
      </c>
      <c r="M287" s="3" t="n">
        <v>-34.8849</v>
      </c>
      <c r="N287" s="3" t="n">
        <v>-56.84269999999999</v>
      </c>
      <c r="O287" s="3" t="n">
        <v>-14.93089999999999</v>
      </c>
      <c r="P287" s="4" t="n">
        <v>52.39049623256455</v>
      </c>
      <c r="Q287" s="3" t="n">
        <v>-41.7393</v>
      </c>
      <c r="R287" s="3" t="n">
        <v>-64.48919999999998</v>
      </c>
      <c r="S287" s="3" t="n">
        <v>-22.2957</v>
      </c>
      <c r="T287" s="4" t="n">
        <v>53.91802054818869</v>
      </c>
      <c r="U287" s="5">
        <f>IFERROR(BDP(E287&amp;" Corp","LAST_PRICE"),"--")</f>
        <v/>
      </c>
      <c r="V287" s="6">
        <f>IFERROR(BDP(E287&amp;" Corp","YAS_BENCHMARK_BOND_ISIN"),"--")</f>
        <v/>
      </c>
      <c r="W287" s="5">
        <f>IFERROR(BDP(V287&amp;" CORP","LAST_PRICE"),"--")</f>
        <v/>
      </c>
      <c r="X287" s="7">
        <f>IFERROR(BDP(E287&amp;" Corp","YAS_YLD_SPREAD","YAS_BOND_PX="&amp;U287,"YAS_BNCHMRK_BOND_PX="&amp;W287),"--")</f>
        <v/>
      </c>
      <c r="Y287" s="7">
        <f>IFERROR(BDP(E287&amp;" Corp","BLOOMBERG_MID_G_SPREAD","YAS_BOND_PX="&amp;U287,"YAS_BNCHMRK_BOND_PX="&amp;W287),"--")</f>
        <v/>
      </c>
      <c r="Z287" s="7">
        <f>IFERROR(BDP(D287,"LAST_PRICE"),"--")</f>
        <v/>
      </c>
      <c r="AA287" s="7">
        <f>IFERROR(Z287-Y287,"--")</f>
        <v/>
      </c>
      <c r="AB287" s="8">
        <f>IFERROR((AA287-R287)/(S287-R287)*100,"--")</f>
        <v/>
      </c>
    </row>
    <row r="288">
      <c r="A288" t="inlineStr">
        <is>
          <t>BOPRLN</t>
        </is>
      </c>
      <c r="B288" t="inlineStr">
        <is>
          <t>XO</t>
        </is>
      </c>
      <c r="C288" t="inlineStr">
        <is>
          <t>BOPRLN 9 3/8 11/07/29</t>
        </is>
      </c>
      <c r="D288" t="inlineStr">
        <is>
          <t>BOPRLN CDS EUR SR 5Y D14 Corp</t>
        </is>
      </c>
      <c r="E288" t="inlineStr">
        <is>
          <t>XS2928674840</t>
        </is>
      </c>
      <c r="F288" s="2" t="n">
        <v>45659</v>
      </c>
      <c r="G288" s="2" t="n">
        <v>46225</v>
      </c>
      <c r="H288" s="2" t="n">
        <v>47472</v>
      </c>
      <c r="I288" s="3" t="n">
        <v>126.3966</v>
      </c>
      <c r="J288" s="3" t="n">
        <v>175.3131</v>
      </c>
      <c r="K288" s="3" t="n">
        <v>192.461</v>
      </c>
      <c r="L288" s="3" t="n">
        <v>287.869</v>
      </c>
      <c r="M288" s="3" t="n">
        <v>-66.06440000000001</v>
      </c>
      <c r="N288" s="3" t="n">
        <v>-160.5826</v>
      </c>
      <c r="O288" s="3" t="n">
        <v>62.94200000000001</v>
      </c>
      <c r="P288" s="4" t="n">
        <v>42.28536814292475</v>
      </c>
      <c r="Q288" s="3" t="n">
        <v>-17.14790000000002</v>
      </c>
      <c r="R288" s="3" t="n">
        <v>-107.1725</v>
      </c>
      <c r="S288" s="3" t="n">
        <v>103.6271</v>
      </c>
      <c r="T288" s="4" t="n">
        <v>42.70624801944594</v>
      </c>
      <c r="U288" s="5">
        <f>IFERROR(BDP(E288&amp;" Corp","LAST_PRICE"),"--")</f>
        <v/>
      </c>
      <c r="V288" s="6">
        <f>IFERROR(BDP(E288&amp;" Corp","YAS_BENCHMARK_BOND_ISIN"),"--")</f>
        <v/>
      </c>
      <c r="W288" s="5">
        <f>IFERROR(BDP(V288&amp;" CORP","LAST_PRICE"),"--")</f>
        <v/>
      </c>
      <c r="X288" s="7">
        <f>IFERROR(BDP(E288&amp;" Corp","YAS_YLD_SPREAD","YAS_BOND_PX="&amp;U288,"YAS_BNCHMRK_BOND_PX="&amp;W288),"--")</f>
        <v/>
      </c>
      <c r="Y288" s="7">
        <f>IFERROR(BDP(E288&amp;" Corp","BLOOMBERG_MID_G_SPREAD","YAS_BOND_PX="&amp;U288,"YAS_BNCHMRK_BOND_PX="&amp;W288),"--")</f>
        <v/>
      </c>
      <c r="Z288" s="7">
        <f>IFERROR(BDP(D288,"LAST_PRICE"),"--")</f>
        <v/>
      </c>
      <c r="AA288" s="7">
        <f>IFERROR(Z288-Y288,"--")</f>
        <v/>
      </c>
      <c r="AB288" s="8">
        <f>IFERROR((AA288-R288)/(S288-R288)*100,"--")</f>
        <v/>
      </c>
    </row>
    <row r="289">
      <c r="A289" t="inlineStr">
        <is>
          <t>BRSL</t>
        </is>
      </c>
      <c r="B289" t="inlineStr">
        <is>
          <t>XO</t>
        </is>
      </c>
      <c r="C289" t="inlineStr">
        <is>
          <t>BRSL 5 3/4 01/15/33</t>
        </is>
      </c>
      <c r="D289" t="inlineStr">
        <is>
          <t>IGTPLC CDS EUR SR 5Y D14 Corp</t>
        </is>
      </c>
      <c r="E289" t="inlineStr">
        <is>
          <t>USG15914AA52</t>
        </is>
      </c>
      <c r="F289" s="2" t="n">
        <v>45994</v>
      </c>
      <c r="G289" s="2" t="n">
        <v>46225</v>
      </c>
      <c r="H289" s="2" t="n">
        <v>48750</v>
      </c>
      <c r="I289" s="3" t="n">
        <v>211.7966</v>
      </c>
      <c r="J289" s="3" t="n">
        <v>169.0135</v>
      </c>
      <c r="K289" s="3" t="n">
        <v>174.824</v>
      </c>
      <c r="L289" s="3" t="n">
        <v>175.099</v>
      </c>
      <c r="M289" s="3" t="n">
        <v>36.9726</v>
      </c>
      <c r="N289" s="3" t="n">
        <v>-11.56719999999999</v>
      </c>
      <c r="O289" s="3" t="n">
        <v>82.56420000000003</v>
      </c>
      <c r="P289" s="4" t="n">
        <v>51.56600241789666</v>
      </c>
      <c r="Q289" s="3" t="n">
        <v>-5.810500000000019</v>
      </c>
      <c r="R289" s="3" t="n">
        <v>-43.72669999999999</v>
      </c>
      <c r="S289" s="3" t="n">
        <v>37.56309999999999</v>
      </c>
      <c r="T289" s="4" t="n">
        <v>46.64324429387203</v>
      </c>
      <c r="U289" s="5">
        <f>IFERROR(BDP(E289&amp;" Corp","LAST_PRICE"),"--")</f>
        <v/>
      </c>
      <c r="V289" s="6">
        <f>IFERROR(BDP(E289&amp;" Corp","YAS_BENCHMARK_BOND_ISIN"),"--")</f>
        <v/>
      </c>
      <c r="W289" s="5">
        <f>IFERROR(BDP(V289&amp;" CORP","LAST_PRICE"),"--")</f>
        <v/>
      </c>
      <c r="X289" s="7">
        <f>IFERROR(BDP(E289&amp;" Corp","YAS_YLD_SPREAD","YAS_BOND_PX="&amp;U289,"YAS_BNCHMRK_BOND_PX="&amp;W289),"--")</f>
        <v/>
      </c>
      <c r="Y289" s="7">
        <f>IFERROR(BDP(E289&amp;" Corp","BLOOMBERG_MID_G_SPREAD","YAS_BOND_PX="&amp;U289,"YAS_BNCHMRK_BOND_PX="&amp;W289),"--")</f>
        <v/>
      </c>
      <c r="Z289" s="7">
        <f>IFERROR(BDP(D289,"LAST_PRICE"),"--")</f>
        <v/>
      </c>
      <c r="AA289" s="7">
        <f>IFERROR(Z289-Y289,"--")</f>
        <v/>
      </c>
      <c r="AB289" s="8">
        <f>IFERROR((AA289-R289)/(S289-R289)*100,"--")</f>
        <v/>
      </c>
    </row>
    <row r="290">
      <c r="A290" t="inlineStr">
        <is>
          <t>CABBCO</t>
        </is>
      </c>
      <c r="B290" t="inlineStr">
        <is>
          <t>XO</t>
        </is>
      </c>
      <c r="C290" t="inlineStr">
        <is>
          <t>CABBCO 8 07/15/31</t>
        </is>
      </c>
      <c r="D290" t="inlineStr">
        <is>
          <t>CABBCO CDS EUR SR 5Y D14 Corp</t>
        </is>
      </c>
      <c r="E290" t="inlineStr">
        <is>
          <t>XS3420263629</t>
        </is>
      </c>
      <c r="F290" s="2" t="n">
        <v>46192</v>
      </c>
      <c r="G290" s="2" t="n">
        <v>46225</v>
      </c>
      <c r="H290" s="2" t="n">
        <v>48202</v>
      </c>
      <c r="I290" s="3" t="n">
        <v>543.3477</v>
      </c>
      <c r="J290" s="3" t="n">
        <v>531.0521</v>
      </c>
      <c r="K290" s="3" t="n">
        <v>553.058</v>
      </c>
      <c r="L290" s="3" t="n">
        <v>555.7430000000001</v>
      </c>
      <c r="M290" s="3" t="n">
        <v>-9.710299999999961</v>
      </c>
      <c r="N290" s="3" t="n">
        <v>-100.309</v>
      </c>
      <c r="O290" s="3" t="n">
        <v>-9.710299999999961</v>
      </c>
      <c r="P290" s="4" t="n">
        <v>100</v>
      </c>
      <c r="Q290" s="3" t="n">
        <v>-22.0059</v>
      </c>
      <c r="R290" s="3" t="n">
        <v>-111.2112</v>
      </c>
      <c r="S290" s="3" t="n">
        <v>-22.0059</v>
      </c>
      <c r="T290" s="4" t="n">
        <v>100</v>
      </c>
      <c r="U290" s="5">
        <f>IFERROR(BDP(E290&amp;" Corp","LAST_PRICE"),"--")</f>
        <v/>
      </c>
      <c r="V290" s="6">
        <f>IFERROR(BDP(E290&amp;" Corp","YAS_BENCHMARK_BOND_ISIN"),"--")</f>
        <v/>
      </c>
      <c r="W290" s="5">
        <f>IFERROR(BDP(V290&amp;" CORP","LAST_PRICE"),"--")</f>
        <v/>
      </c>
      <c r="X290" s="7">
        <f>IFERROR(BDP(E290&amp;" Corp","YAS_YLD_SPREAD","YAS_BOND_PX="&amp;U290,"YAS_BNCHMRK_BOND_PX="&amp;W290),"--")</f>
        <v/>
      </c>
      <c r="Y290" s="7">
        <f>IFERROR(BDP(E290&amp;" Corp","BLOOMBERG_MID_G_SPREAD","YAS_BOND_PX="&amp;U290,"YAS_BNCHMRK_BOND_PX="&amp;W290),"--")</f>
        <v/>
      </c>
      <c r="Z290" s="7">
        <f>IFERROR(BDP(D290,"LAST_PRICE"),"--")</f>
        <v/>
      </c>
      <c r="AA290" s="7">
        <f>IFERROR(Z290-Y290,"--")</f>
        <v/>
      </c>
      <c r="AB290" s="8">
        <f>IFERROR((AA290-R290)/(S290-R290)*100,"--")</f>
        <v/>
      </c>
    </row>
    <row r="291">
      <c r="A291" t="inlineStr">
        <is>
          <t>CCK</t>
        </is>
      </c>
      <c r="B291" t="inlineStr">
        <is>
          <t>XO</t>
        </is>
      </c>
      <c r="C291" t="inlineStr">
        <is>
          <t>CCK 3 3/4 09/30/31</t>
        </is>
      </c>
      <c r="D291" t="inlineStr">
        <is>
          <t>CCK A CDS EUR SR 5Y D14 Corp</t>
        </is>
      </c>
      <c r="E291" t="inlineStr">
        <is>
          <t>XS3188831658</t>
        </is>
      </c>
      <c r="F291" s="2" t="n">
        <v>45924</v>
      </c>
      <c r="G291" s="2" t="n">
        <v>46225</v>
      </c>
      <c r="H291" s="2" t="n">
        <v>48202</v>
      </c>
      <c r="I291" s="3" t="n">
        <v>103.9879</v>
      </c>
      <c r="J291" s="3" t="n">
        <v>98.06</v>
      </c>
      <c r="K291" s="3" t="n">
        <v>97.59</v>
      </c>
      <c r="L291" s="3" t="n">
        <v>98.68300000000001</v>
      </c>
      <c r="M291" s="3" t="n">
        <v>6.397899999999993</v>
      </c>
      <c r="N291" s="3" t="n">
        <v>-28.70070000000001</v>
      </c>
      <c r="O291" s="3" t="n">
        <v>6.397899999999993</v>
      </c>
      <c r="P291" s="4" t="n">
        <v>100</v>
      </c>
      <c r="Q291" s="3" t="n">
        <v>0.4699999999999989</v>
      </c>
      <c r="R291" s="3" t="n">
        <v>-34.81700000000001</v>
      </c>
      <c r="S291" s="3" t="n">
        <v>0.4699999999999989</v>
      </c>
      <c r="T291" s="4" t="n">
        <v>100</v>
      </c>
      <c r="U291" s="5">
        <f>IFERROR(BDP(E291&amp;" Corp","LAST_PRICE"),"--")</f>
        <v/>
      </c>
      <c r="V291" s="6">
        <f>IFERROR(BDP(E291&amp;" Corp","YAS_BENCHMARK_BOND_ISIN"),"--")</f>
        <v/>
      </c>
      <c r="W291" s="5">
        <f>IFERROR(BDP(V291&amp;" CORP","LAST_PRICE"),"--")</f>
        <v/>
      </c>
      <c r="X291" s="7">
        <f>IFERROR(BDP(E291&amp;" Corp","YAS_YLD_SPREAD","YAS_BOND_PX="&amp;U291,"YAS_BNCHMRK_BOND_PX="&amp;W291),"--")</f>
        <v/>
      </c>
      <c r="Y291" s="7">
        <f>IFERROR(BDP(E291&amp;" Corp","BLOOMBERG_MID_G_SPREAD","YAS_BOND_PX="&amp;U291,"YAS_BNCHMRK_BOND_PX="&amp;W291),"--")</f>
        <v/>
      </c>
      <c r="Z291" s="7">
        <f>IFERROR(BDP(D291,"LAST_PRICE"),"--")</f>
        <v/>
      </c>
      <c r="AA291" s="7">
        <f>IFERROR(Z291-Y291,"--")</f>
        <v/>
      </c>
      <c r="AB291" s="8">
        <f>IFERROR((AA291-R291)/(S291-R291)*100,"--")</f>
        <v/>
      </c>
    </row>
    <row r="292">
      <c r="A292" t="inlineStr">
        <is>
          <t>CECGR</t>
        </is>
      </c>
      <c r="B292" t="inlineStr">
        <is>
          <t>XO</t>
        </is>
      </c>
      <c r="C292" t="inlineStr">
        <is>
          <t>CECGR 6 1/4 07/15/29</t>
        </is>
      </c>
      <c r="D292" t="inlineStr">
        <is>
          <t>CECGR CDS EUR SR 5Y D14 Corp</t>
        </is>
      </c>
      <c r="E292" t="inlineStr">
        <is>
          <t>XS2854329104</t>
        </is>
      </c>
      <c r="F292" s="2" t="n">
        <v>45659</v>
      </c>
      <c r="G292" s="2" t="n">
        <v>46225</v>
      </c>
      <c r="H292" s="2" t="n">
        <v>47472</v>
      </c>
      <c r="I292" s="3" t="n">
        <v>97.71210000000001</v>
      </c>
      <c r="J292" s="3" t="n">
        <v>132.4183</v>
      </c>
      <c r="K292" s="3" t="n">
        <v>-617.604</v>
      </c>
      <c r="L292" s="3" t="n">
        <v>-1407.54</v>
      </c>
      <c r="M292" s="3" t="n">
        <v>715.3161</v>
      </c>
      <c r="N292" s="3" t="n">
        <v>-200.5634</v>
      </c>
      <c r="O292" s="3" t="n">
        <v>877.2271</v>
      </c>
      <c r="P292" s="4" t="n">
        <v>84.97750722427041</v>
      </c>
      <c r="Q292" s="3" t="n">
        <v>750.0223000000001</v>
      </c>
      <c r="R292" s="3" t="n">
        <v>-182.6293</v>
      </c>
      <c r="S292" s="3" t="n">
        <v>912.0463999999999</v>
      </c>
      <c r="T292" s="4" t="n">
        <v>85.19889497866812</v>
      </c>
      <c r="U292" s="5">
        <f>IFERROR(BDP(E292&amp;" Corp","LAST_PRICE"),"--")</f>
        <v/>
      </c>
      <c r="V292" s="6">
        <f>IFERROR(BDP(E292&amp;" Corp","YAS_BENCHMARK_BOND_ISIN"),"--")</f>
        <v/>
      </c>
      <c r="W292" s="5">
        <f>IFERROR(BDP(V292&amp;" CORP","LAST_PRICE"),"--")</f>
        <v/>
      </c>
      <c r="X292" s="7">
        <f>IFERROR(BDP(E292&amp;" Corp","YAS_YLD_SPREAD","YAS_BOND_PX="&amp;U292,"YAS_BNCHMRK_BOND_PX="&amp;W292),"--")</f>
        <v/>
      </c>
      <c r="Y292" s="7">
        <f>IFERROR(BDP(E292&amp;" Corp","BLOOMBERG_MID_G_SPREAD","YAS_BOND_PX="&amp;U292,"YAS_BNCHMRK_BOND_PX="&amp;W292),"--")</f>
        <v/>
      </c>
      <c r="Z292" s="7">
        <f>IFERROR(BDP(D292,"LAST_PRICE"),"--")</f>
        <v/>
      </c>
      <c r="AA292" s="7">
        <f>IFERROR(Z292-Y292,"--")</f>
        <v/>
      </c>
      <c r="AB292" s="8">
        <f>IFERROR((AA292-R292)/(S292-R292)*100,"--")</f>
        <v/>
      </c>
    </row>
    <row r="293">
      <c r="A293" t="inlineStr">
        <is>
          <t>CEETRU</t>
        </is>
      </c>
      <c r="B293" t="inlineStr">
        <is>
          <t>XO</t>
        </is>
      </c>
      <c r="C293" t="inlineStr">
        <is>
          <t>NIMMOH 5 1/2 04/23/31</t>
        </is>
      </c>
      <c r="D293" t="inlineStr">
        <is>
          <t>CZ038306 Curncy</t>
        </is>
      </c>
      <c r="E293" t="inlineStr">
        <is>
          <t>FR0014016WB2</t>
        </is>
      </c>
      <c r="F293" s="2" t="n">
        <v>46128</v>
      </c>
      <c r="G293" s="2" t="n">
        <v>46225</v>
      </c>
      <c r="H293" s="2" t="n">
        <v>48019</v>
      </c>
      <c r="I293" s="3" t="n">
        <v>231.4636</v>
      </c>
      <c r="J293" s="3" t="n">
        <v>231.4636</v>
      </c>
      <c r="K293" s="3" t="n">
        <v>239.69</v>
      </c>
      <c r="L293" s="3" t="n">
        <v>236.927</v>
      </c>
      <c r="M293" s="3" t="n">
        <v>-8.226399999999984</v>
      </c>
      <c r="N293" s="3" t="n">
        <v>-53.01519999999999</v>
      </c>
      <c r="O293" s="3" t="n">
        <v>-8.226399999999984</v>
      </c>
      <c r="P293" s="4" t="n">
        <v>100</v>
      </c>
      <c r="Q293" s="3" t="n">
        <v>-8.226399999999984</v>
      </c>
      <c r="R293" s="3" t="n">
        <v>-53.01519999999999</v>
      </c>
      <c r="S293" s="3" t="n">
        <v>-8.226399999999984</v>
      </c>
      <c r="T293" s="4" t="n">
        <v>100</v>
      </c>
      <c r="U293" s="5">
        <f>IFERROR(BDP(E293&amp;" Corp","LAST_PRICE"),"--")</f>
        <v/>
      </c>
      <c r="V293" s="6">
        <f>IFERROR(BDP(E293&amp;" Corp","YAS_BENCHMARK_BOND_ISIN"),"--")</f>
        <v/>
      </c>
      <c r="W293" s="5">
        <f>IFERROR(BDP(V293&amp;" CORP","LAST_PRICE"),"--")</f>
        <v/>
      </c>
      <c r="X293" s="7">
        <f>IFERROR(BDP(E293&amp;" Corp","YAS_YLD_SPREAD","YAS_BOND_PX="&amp;U293,"YAS_BNCHMRK_BOND_PX="&amp;W293),"--")</f>
        <v/>
      </c>
      <c r="Y293" s="7">
        <f>IFERROR(BDP(E293&amp;" Corp","BLOOMBERG_MID_G_SPREAD","YAS_BOND_PX="&amp;U293,"YAS_BNCHMRK_BOND_PX="&amp;W293),"--")</f>
        <v/>
      </c>
      <c r="Z293" s="7">
        <f>IFERROR(BDP(D293,"LAST_PRICE"),"--")</f>
        <v/>
      </c>
      <c r="AA293" s="7">
        <f>IFERROR(Z293-Y293,"--")</f>
        <v/>
      </c>
      <c r="AB293" s="8">
        <f>IFERROR((AA293-R293)/(S293-R293)*100,"--")</f>
        <v/>
      </c>
    </row>
    <row r="294">
      <c r="A294" t="inlineStr">
        <is>
          <t>CHEPDE</t>
        </is>
      </c>
      <c r="B294" t="inlineStr">
        <is>
          <t>XO</t>
        </is>
      </c>
      <c r="C294" t="inlineStr">
        <is>
          <t>CHEPDE 6 3/4 02/15/32</t>
        </is>
      </c>
      <c r="D294" t="inlineStr">
        <is>
          <t>CHEPDE CDS EUR SR 5Y D14 Corp</t>
        </is>
      </c>
      <c r="E294" t="inlineStr">
        <is>
          <t>XS3261897238</t>
        </is>
      </c>
      <c r="F294" s="2" t="n">
        <v>46051</v>
      </c>
      <c r="G294" s="2" t="n">
        <v>46225</v>
      </c>
      <c r="H294" s="2" t="n">
        <v>48385</v>
      </c>
      <c r="I294" s="3" t="n">
        <v>451.2433</v>
      </c>
      <c r="J294" s="3" t="n">
        <v>401.6675</v>
      </c>
      <c r="K294" s="3" t="n">
        <v>365.494</v>
      </c>
      <c r="L294" s="3" t="n">
        <v>366.843</v>
      </c>
      <c r="M294" s="3" t="n">
        <v>85.74929999999995</v>
      </c>
      <c r="N294" s="3" t="n">
        <v>-30.59699999999998</v>
      </c>
      <c r="O294" s="3" t="n">
        <v>94.03860000000003</v>
      </c>
      <c r="P294" s="4" t="n">
        <v>93.34917150477065</v>
      </c>
      <c r="Q294" s="3" t="n">
        <v>36.17349999999999</v>
      </c>
      <c r="R294" s="3" t="n">
        <v>-67.35239999999999</v>
      </c>
      <c r="S294" s="3" t="n">
        <v>45.54700000000003</v>
      </c>
      <c r="T294" s="4" t="n">
        <v>91.69747580589443</v>
      </c>
      <c r="U294" s="5">
        <f>IFERROR(BDP(E294&amp;" Corp","LAST_PRICE"),"--")</f>
        <v/>
      </c>
      <c r="V294" s="6">
        <f>IFERROR(BDP(E294&amp;" Corp","YAS_BENCHMARK_BOND_ISIN"),"--")</f>
        <v/>
      </c>
      <c r="W294" s="5">
        <f>IFERROR(BDP(V294&amp;" CORP","LAST_PRICE"),"--")</f>
        <v/>
      </c>
      <c r="X294" s="7">
        <f>IFERROR(BDP(E294&amp;" Corp","YAS_YLD_SPREAD","YAS_BOND_PX="&amp;U294,"YAS_BNCHMRK_BOND_PX="&amp;W294),"--")</f>
        <v/>
      </c>
      <c r="Y294" s="7">
        <f>IFERROR(BDP(E294&amp;" Corp","BLOOMBERG_MID_G_SPREAD","YAS_BOND_PX="&amp;U294,"YAS_BNCHMRK_BOND_PX="&amp;W294),"--")</f>
        <v/>
      </c>
      <c r="Z294" s="7">
        <f>IFERROR(BDP(D294,"LAST_PRICE"),"--")</f>
        <v/>
      </c>
      <c r="AA294" s="7">
        <f>IFERROR(Z294-Y294,"--")</f>
        <v/>
      </c>
      <c r="AB294" s="8">
        <f>IFERROR((AA294-R294)/(S294-R294)*100,"--")</f>
        <v/>
      </c>
    </row>
    <row r="295">
      <c r="A295" t="inlineStr">
        <is>
          <t>CMACG</t>
        </is>
      </c>
      <c r="B295" t="inlineStr">
        <is>
          <t>XO</t>
        </is>
      </c>
      <c r="C295" t="inlineStr">
        <is>
          <t>CMACG 4 7/8 01/15/32</t>
        </is>
      </c>
      <c r="D295" t="inlineStr">
        <is>
          <t>CMACG CDS EUR SR 5Y D14 Corp</t>
        </is>
      </c>
      <c r="E295" t="inlineStr">
        <is>
          <t>XS3193815977</t>
        </is>
      </c>
      <c r="F295" s="2" t="n">
        <v>45932</v>
      </c>
      <c r="G295" s="2" t="n">
        <v>46225</v>
      </c>
      <c r="H295" s="2" t="n">
        <v>48385</v>
      </c>
      <c r="I295" s="3" t="n">
        <v>263.5799</v>
      </c>
      <c r="J295" s="3" t="n">
        <v>228.4917</v>
      </c>
      <c r="K295" s="3" t="n">
        <v>230.649</v>
      </c>
      <c r="L295" s="3" t="n">
        <v>231.088</v>
      </c>
      <c r="M295" s="3" t="n">
        <v>32.93090000000001</v>
      </c>
      <c r="N295" s="3" t="n">
        <v>0.799900000000008</v>
      </c>
      <c r="O295" s="3" t="n">
        <v>95.44029999999998</v>
      </c>
      <c r="P295" s="4" t="n">
        <v>33.95061728395063</v>
      </c>
      <c r="Q295" s="3" t="n">
        <v>-2.157299999999992</v>
      </c>
      <c r="R295" s="3" t="n">
        <v>-35.9051</v>
      </c>
      <c r="S295" s="3" t="n">
        <v>48.21069999999997</v>
      </c>
      <c r="T295" s="4" t="n">
        <v>40.12064320852922</v>
      </c>
      <c r="U295" s="5">
        <f>IFERROR(BDP(E295&amp;" Corp","LAST_PRICE"),"--")</f>
        <v/>
      </c>
      <c r="V295" s="6">
        <f>IFERROR(BDP(E295&amp;" Corp","YAS_BENCHMARK_BOND_ISIN"),"--")</f>
        <v/>
      </c>
      <c r="W295" s="5">
        <f>IFERROR(BDP(V295&amp;" CORP","LAST_PRICE"),"--")</f>
        <v/>
      </c>
      <c r="X295" s="7">
        <f>IFERROR(BDP(E295&amp;" Corp","YAS_YLD_SPREAD","YAS_BOND_PX="&amp;U295,"YAS_BNCHMRK_BOND_PX="&amp;W295),"--")</f>
        <v/>
      </c>
      <c r="Y295" s="7">
        <f>IFERROR(BDP(E295&amp;" Corp","BLOOMBERG_MID_G_SPREAD","YAS_BOND_PX="&amp;U295,"YAS_BNCHMRK_BOND_PX="&amp;W295),"--")</f>
        <v/>
      </c>
      <c r="Z295" s="7">
        <f>IFERROR(BDP(D295,"LAST_PRICE"),"--")</f>
        <v/>
      </c>
      <c r="AA295" s="7">
        <f>IFERROR(Z295-Y295,"--")</f>
        <v/>
      </c>
      <c r="AB295" s="8">
        <f>IFERROR((AA295-R295)/(S295-R295)*100,"--")</f>
        <v/>
      </c>
    </row>
    <row r="296">
      <c r="A296" t="inlineStr">
        <is>
          <t>CPIPGR</t>
        </is>
      </c>
      <c r="B296" t="inlineStr">
        <is>
          <t>XO</t>
        </is>
      </c>
      <c r="C296" t="inlineStr">
        <is>
          <t>CPIPGR 6 01/27/32</t>
        </is>
      </c>
      <c r="D296" t="inlineStr">
        <is>
          <t>CPIPGR CDS EUR SR 5Y D14 Corp</t>
        </is>
      </c>
      <c r="E296" t="inlineStr">
        <is>
          <t>XS2904791774</t>
        </is>
      </c>
      <c r="F296" s="2" t="n">
        <v>45659</v>
      </c>
      <c r="G296" s="2" t="n">
        <v>46225</v>
      </c>
      <c r="H296" s="2" t="n">
        <v>48385</v>
      </c>
      <c r="I296" s="3" t="n">
        <v>384.1173</v>
      </c>
      <c r="J296" s="3" t="n">
        <v>368.1747</v>
      </c>
      <c r="K296" s="3" t="n">
        <v>374.019</v>
      </c>
      <c r="L296" s="3" t="n">
        <v>374.966</v>
      </c>
      <c r="M296" s="3" t="n">
        <v>10.09829999999999</v>
      </c>
      <c r="N296" s="3" t="n">
        <v>-74.37729999999999</v>
      </c>
      <c r="O296" s="3" t="n">
        <v>90.74099999999999</v>
      </c>
      <c r="P296" s="4" t="n">
        <v>51.16065269567335</v>
      </c>
      <c r="Q296" s="3" t="n">
        <v>-5.844300000000032</v>
      </c>
      <c r="R296" s="3" t="n">
        <v>-88.36869999999999</v>
      </c>
      <c r="S296" s="3" t="n">
        <v>78.61339999999996</v>
      </c>
      <c r="T296" s="4" t="n">
        <v>49.42110561551208</v>
      </c>
      <c r="U296" s="5">
        <f>IFERROR(BDP(E296&amp;" Corp","LAST_PRICE"),"--")</f>
        <v/>
      </c>
      <c r="V296" s="6">
        <f>IFERROR(BDP(E296&amp;" Corp","YAS_BENCHMARK_BOND_ISIN"),"--")</f>
        <v/>
      </c>
      <c r="W296" s="5">
        <f>IFERROR(BDP(V296&amp;" CORP","LAST_PRICE"),"--")</f>
        <v/>
      </c>
      <c r="X296" s="7">
        <f>IFERROR(BDP(E296&amp;" Corp","YAS_YLD_SPREAD","YAS_BOND_PX="&amp;U296,"YAS_BNCHMRK_BOND_PX="&amp;W296),"--")</f>
        <v/>
      </c>
      <c r="Y296" s="7">
        <f>IFERROR(BDP(E296&amp;" Corp","BLOOMBERG_MID_G_SPREAD","YAS_BOND_PX="&amp;U296,"YAS_BNCHMRK_BOND_PX="&amp;W296),"--")</f>
        <v/>
      </c>
      <c r="Z296" s="7">
        <f>IFERROR(BDP(D296,"LAST_PRICE"),"--")</f>
        <v/>
      </c>
      <c r="AA296" s="7">
        <f>IFERROR(Z296-Y296,"--")</f>
        <v/>
      </c>
      <c r="AB296" s="8">
        <f>IFERROR((AA296-R296)/(S296-R296)*100,"--")</f>
        <v/>
      </c>
    </row>
    <row r="297">
      <c r="A297" t="inlineStr">
        <is>
          <t>CSTM</t>
        </is>
      </c>
      <c r="B297" t="inlineStr">
        <is>
          <t>XO</t>
        </is>
      </c>
      <c r="C297" t="inlineStr">
        <is>
          <t>CSTM 6 3/8 08/15/32</t>
        </is>
      </c>
      <c r="D297" t="inlineStr">
        <is>
          <t>CSTM CDS EUR SR 5Y D14 Corp</t>
        </is>
      </c>
      <c r="E297" t="inlineStr">
        <is>
          <t>USF21107AC57</t>
        </is>
      </c>
      <c r="F297" s="2" t="n">
        <v>45659</v>
      </c>
      <c r="G297" s="2" t="n">
        <v>46225</v>
      </c>
      <c r="H297" s="2" t="n">
        <v>48568</v>
      </c>
      <c r="I297" s="3" t="n">
        <v>185.4386</v>
      </c>
      <c r="J297" s="3" t="n">
        <v>126.681</v>
      </c>
      <c r="K297" s="3" t="n">
        <v>169.415</v>
      </c>
      <c r="L297" s="3" t="n">
        <v>181.946</v>
      </c>
      <c r="M297" s="3" t="n">
        <v>16.02360000000002</v>
      </c>
      <c r="N297" s="3" t="n">
        <v>-18.56380000000001</v>
      </c>
      <c r="O297" s="3" t="n">
        <v>172.532</v>
      </c>
      <c r="P297" s="4" t="n">
        <v>18.09950820478526</v>
      </c>
      <c r="Q297" s="3" t="n">
        <v>-42.73399999999999</v>
      </c>
      <c r="R297" s="3" t="n">
        <v>-65.56840000000001</v>
      </c>
      <c r="S297" s="3" t="n">
        <v>140.3916</v>
      </c>
      <c r="T297" s="4" t="n">
        <v>11.0868129733929</v>
      </c>
      <c r="U297" s="5">
        <f>IFERROR(BDP(E297&amp;" Corp","LAST_PRICE"),"--")</f>
        <v/>
      </c>
      <c r="V297" s="6">
        <f>IFERROR(BDP(E297&amp;" Corp","YAS_BENCHMARK_BOND_ISIN"),"--")</f>
        <v/>
      </c>
      <c r="W297" s="5">
        <f>IFERROR(BDP(V297&amp;" CORP","LAST_PRICE"),"--")</f>
        <v/>
      </c>
      <c r="X297" s="7">
        <f>IFERROR(BDP(E297&amp;" Corp","YAS_YLD_SPREAD","YAS_BOND_PX="&amp;U297,"YAS_BNCHMRK_BOND_PX="&amp;W297),"--")</f>
        <v/>
      </c>
      <c r="Y297" s="7">
        <f>IFERROR(BDP(E297&amp;" Corp","BLOOMBERG_MID_G_SPREAD","YAS_BOND_PX="&amp;U297,"YAS_BNCHMRK_BOND_PX="&amp;W297),"--")</f>
        <v/>
      </c>
      <c r="Z297" s="7">
        <f>IFERROR(BDP(D297,"LAST_PRICE"),"--")</f>
        <v/>
      </c>
      <c r="AA297" s="7">
        <f>IFERROR(Z297-Y297,"--")</f>
        <v/>
      </c>
      <c r="AB297" s="8">
        <f>IFERROR((AA297-R297)/(S297-R297)*100,"--")</f>
        <v/>
      </c>
    </row>
    <row r="298">
      <c r="A298" t="inlineStr">
        <is>
          <t>DUFNSW</t>
        </is>
      </c>
      <c r="B298" t="inlineStr">
        <is>
          <t>XO</t>
        </is>
      </c>
      <c r="C298" t="inlineStr">
        <is>
          <t>DUFNSW 4 3/4 04/18/31</t>
        </is>
      </c>
      <c r="D298" t="inlineStr">
        <is>
          <t>DUFNSW CDS EUR SR 5Y D14 Corp</t>
        </is>
      </c>
      <c r="E298" t="inlineStr">
        <is>
          <t>XS2802883731</t>
        </is>
      </c>
      <c r="F298" s="2" t="n">
        <v>45659</v>
      </c>
      <c r="G298" s="2" t="n">
        <v>46225</v>
      </c>
      <c r="H298" s="2" t="n">
        <v>48019</v>
      </c>
      <c r="I298" s="3" t="n">
        <v>138.3946</v>
      </c>
      <c r="J298" s="3" t="n">
        <v>138.3946</v>
      </c>
      <c r="K298" s="3" t="n">
        <v>107.724</v>
      </c>
      <c r="L298" s="3" t="n">
        <v>108.819</v>
      </c>
      <c r="M298" s="3" t="n">
        <v>30.67059999999999</v>
      </c>
      <c r="N298" s="3" t="n">
        <v>-115.9691</v>
      </c>
      <c r="O298" s="3" t="n">
        <v>60.45189999999999</v>
      </c>
      <c r="P298" s="4" t="n">
        <v>83.11918649140408</v>
      </c>
      <c r="Q298" s="3" t="n">
        <v>30.67059999999999</v>
      </c>
      <c r="R298" s="3" t="n">
        <v>-115.9691</v>
      </c>
      <c r="S298" s="3" t="n">
        <v>60.45189999999999</v>
      </c>
      <c r="T298" s="4" t="n">
        <v>83.11918649140408</v>
      </c>
      <c r="U298" s="5">
        <f>IFERROR(BDP(E298&amp;" Corp","LAST_PRICE"),"--")</f>
        <v/>
      </c>
      <c r="V298" s="6">
        <f>IFERROR(BDP(E298&amp;" Corp","YAS_BENCHMARK_BOND_ISIN"),"--")</f>
        <v/>
      </c>
      <c r="W298" s="5">
        <f>IFERROR(BDP(V298&amp;" CORP","LAST_PRICE"),"--")</f>
        <v/>
      </c>
      <c r="X298" s="7">
        <f>IFERROR(BDP(E298&amp;" Corp","YAS_YLD_SPREAD","YAS_BOND_PX="&amp;U298,"YAS_BNCHMRK_BOND_PX="&amp;W298),"--")</f>
        <v/>
      </c>
      <c r="Y298" s="7">
        <f>IFERROR(BDP(E298&amp;" Corp","BLOOMBERG_MID_G_SPREAD","YAS_BOND_PX="&amp;U298,"YAS_BNCHMRK_BOND_PX="&amp;W298),"--")</f>
        <v/>
      </c>
      <c r="Z298" s="7">
        <f>IFERROR(BDP(D298,"LAST_PRICE"),"--")</f>
        <v/>
      </c>
      <c r="AA298" s="7">
        <f>IFERROR(Z298-Y298,"--")</f>
        <v/>
      </c>
      <c r="AB298" s="8">
        <f>IFERROR((AA298-R298)/(S298-R298)*100,"--")</f>
        <v/>
      </c>
    </row>
    <row r="299">
      <c r="A299" t="inlineStr">
        <is>
          <t>EOFP</t>
        </is>
      </c>
      <c r="B299" t="inlineStr">
        <is>
          <t>XO</t>
        </is>
      </c>
      <c r="C299" t="inlineStr">
        <is>
          <t>EOFP 5 3/8 03/15/31</t>
        </is>
      </c>
      <c r="D299" t="inlineStr">
        <is>
          <t>EOFP CDS EUR SR 5Y D14 Corp</t>
        </is>
      </c>
      <c r="E299" t="inlineStr">
        <is>
          <t>XS3152574763</t>
        </is>
      </c>
      <c r="F299" s="2" t="n">
        <v>45905</v>
      </c>
      <c r="G299" s="2" t="n">
        <v>46225</v>
      </c>
      <c r="H299" s="2" t="n">
        <v>48019</v>
      </c>
      <c r="I299" s="3" t="n">
        <v>233.2167</v>
      </c>
      <c r="J299" s="3" t="n">
        <v>233.2167</v>
      </c>
      <c r="K299" s="3" t="n">
        <v>188.444</v>
      </c>
      <c r="L299" s="3" t="n">
        <v>191.484</v>
      </c>
      <c r="M299" s="3" t="n">
        <v>44.77270000000001</v>
      </c>
      <c r="N299" s="3" t="n">
        <v>11.99300000000002</v>
      </c>
      <c r="O299" s="3" t="n">
        <v>78.61559999999997</v>
      </c>
      <c r="P299" s="4" t="n">
        <v>49.20207256996878</v>
      </c>
      <c r="Q299" s="3" t="n">
        <v>44.77270000000001</v>
      </c>
      <c r="R299" s="3" t="n">
        <v>11.99300000000002</v>
      </c>
      <c r="S299" s="3" t="n">
        <v>78.61559999999997</v>
      </c>
      <c r="T299" s="4" t="n">
        <v>49.20207256996878</v>
      </c>
      <c r="U299" s="5">
        <f>IFERROR(BDP(E299&amp;" Corp","LAST_PRICE"),"--")</f>
        <v/>
      </c>
      <c r="V299" s="6">
        <f>IFERROR(BDP(E299&amp;" Corp","YAS_BENCHMARK_BOND_ISIN"),"--")</f>
        <v/>
      </c>
      <c r="W299" s="5">
        <f>IFERROR(BDP(V299&amp;" CORP","LAST_PRICE"),"--")</f>
        <v/>
      </c>
      <c r="X299" s="7">
        <f>IFERROR(BDP(E299&amp;" Corp","YAS_YLD_SPREAD","YAS_BOND_PX="&amp;U299,"YAS_BNCHMRK_BOND_PX="&amp;W299),"--")</f>
        <v/>
      </c>
      <c r="Y299" s="7">
        <f>IFERROR(BDP(E299&amp;" Corp","BLOOMBERG_MID_G_SPREAD","YAS_BOND_PX="&amp;U299,"YAS_BNCHMRK_BOND_PX="&amp;W299),"--")</f>
        <v/>
      </c>
      <c r="Z299" s="7">
        <f>IFERROR(BDP(D299,"LAST_PRICE"),"--")</f>
        <v/>
      </c>
      <c r="AA299" s="7">
        <f>IFERROR(Z299-Y299,"--")</f>
        <v/>
      </c>
      <c r="AB299" s="8">
        <f>IFERROR((AA299-R299)/(S299-R299)*100,"--")</f>
        <v/>
      </c>
    </row>
    <row r="300">
      <c r="A300" t="inlineStr">
        <is>
          <t>ERICB</t>
        </is>
      </c>
      <c r="B300" t="inlineStr">
        <is>
          <t>XO</t>
        </is>
      </c>
      <c r="C300" t="inlineStr">
        <is>
          <t>ERICB 1 05/26/29</t>
        </is>
      </c>
      <c r="D300" t="inlineStr">
        <is>
          <t>ERICB CDS EUR SR 5Y D14 Corp</t>
        </is>
      </c>
      <c r="E300" t="inlineStr">
        <is>
          <t>XS2345996743</t>
        </is>
      </c>
      <c r="F300" s="2" t="n">
        <v>45659</v>
      </c>
      <c r="G300" s="2" t="n">
        <v>46225</v>
      </c>
      <c r="H300" s="2" t="n">
        <v>47289</v>
      </c>
      <c r="I300" s="3" t="n">
        <v>35.3615</v>
      </c>
      <c r="J300" s="3" t="n">
        <v>61.8747</v>
      </c>
      <c r="K300" s="3" t="n">
        <v>59.342</v>
      </c>
      <c r="L300" s="3" t="n">
        <v>64.73399999999999</v>
      </c>
      <c r="M300" s="3" t="n">
        <v>-23.9805</v>
      </c>
      <c r="N300" s="3" t="n">
        <v>-72.74640000000001</v>
      </c>
      <c r="O300" s="3" t="n">
        <v>-23.9554</v>
      </c>
      <c r="P300" s="4" t="n">
        <v>99.94855608616344</v>
      </c>
      <c r="Q300" s="3" t="n">
        <v>2.532699999999998</v>
      </c>
      <c r="R300" s="3" t="n">
        <v>-42.6755</v>
      </c>
      <c r="S300" s="3" t="n">
        <v>8.671499999999995</v>
      </c>
      <c r="T300" s="4" t="n">
        <v>88.04448166397259</v>
      </c>
      <c r="U300" s="5">
        <f>IFERROR(BDP(E300&amp;" Corp","LAST_PRICE"),"--")</f>
        <v/>
      </c>
      <c r="V300" s="6">
        <f>IFERROR(BDP(E300&amp;" Corp","YAS_BENCHMARK_BOND_ISIN"),"--")</f>
        <v/>
      </c>
      <c r="W300" s="5">
        <f>IFERROR(BDP(V300&amp;" CORP","LAST_PRICE"),"--")</f>
        <v/>
      </c>
      <c r="X300" s="7">
        <f>IFERROR(BDP(E300&amp;" Corp","YAS_YLD_SPREAD","YAS_BOND_PX="&amp;U300,"YAS_BNCHMRK_BOND_PX="&amp;W300),"--")</f>
        <v/>
      </c>
      <c r="Y300" s="7">
        <f>IFERROR(BDP(E300&amp;" Corp","BLOOMBERG_MID_G_SPREAD","YAS_BOND_PX="&amp;U300,"YAS_BNCHMRK_BOND_PX="&amp;W300),"--")</f>
        <v/>
      </c>
      <c r="Z300" s="7">
        <f>IFERROR(BDP(D300,"LAST_PRICE"),"--")</f>
        <v/>
      </c>
      <c r="AA300" s="7">
        <f>IFERROR(Z300-Y300,"--")</f>
        <v/>
      </c>
      <c r="AB300" s="8">
        <f>IFERROR((AA300-R300)/(S300-R300)*100,"--")</f>
        <v/>
      </c>
    </row>
    <row r="301">
      <c r="A301" t="inlineStr">
        <is>
          <t>ETLFP</t>
        </is>
      </c>
      <c r="B301" t="inlineStr">
        <is>
          <t>XO</t>
        </is>
      </c>
      <c r="C301" t="inlineStr">
        <is>
          <t>ETLFP 5 3/4 03/15/31</t>
        </is>
      </c>
      <c r="D301" t="inlineStr">
        <is>
          <t>CZ028487 Curncy</t>
        </is>
      </c>
      <c r="E301" t="inlineStr">
        <is>
          <t>XS3224536121</t>
        </is>
      </c>
      <c r="F301" s="2" t="n">
        <v>46080</v>
      </c>
      <c r="G301" s="2" t="n">
        <v>46225</v>
      </c>
      <c r="H301" s="2" t="n">
        <v>48019</v>
      </c>
      <c r="I301" s="3" t="n">
        <v>142.1161</v>
      </c>
      <c r="J301" s="3" t="n">
        <v>142.1161</v>
      </c>
      <c r="K301" s="3" t="n">
        <v>221.068</v>
      </c>
      <c r="L301" s="3" t="n">
        <v>225.507</v>
      </c>
      <c r="M301" s="3" t="n">
        <v>-78.95190000000002</v>
      </c>
      <c r="N301" s="3" t="n">
        <v>-222.4005</v>
      </c>
      <c r="O301" s="3" t="n">
        <v>-55.2105</v>
      </c>
      <c r="P301" s="4" t="n">
        <v>85.79974878880314</v>
      </c>
      <c r="Q301" s="3" t="n">
        <v>-78.95190000000002</v>
      </c>
      <c r="R301" s="3" t="n">
        <v>-222.4005</v>
      </c>
      <c r="S301" s="3" t="n">
        <v>-55.2105</v>
      </c>
      <c r="T301" s="4" t="n">
        <v>85.79974878880314</v>
      </c>
      <c r="U301" s="5">
        <f>IFERROR(BDP(E301&amp;" Corp","LAST_PRICE"),"--")</f>
        <v/>
      </c>
      <c r="V301" s="6">
        <f>IFERROR(BDP(E301&amp;" Corp","YAS_BENCHMARK_BOND_ISIN"),"--")</f>
        <v/>
      </c>
      <c r="W301" s="5">
        <f>IFERROR(BDP(V301&amp;" CORP","LAST_PRICE"),"--")</f>
        <v/>
      </c>
      <c r="X301" s="7">
        <f>IFERROR(BDP(E301&amp;" Corp","YAS_YLD_SPREAD","YAS_BOND_PX="&amp;U301,"YAS_BNCHMRK_BOND_PX="&amp;W301),"--")</f>
        <v/>
      </c>
      <c r="Y301" s="7">
        <f>IFERROR(BDP(E301&amp;" Corp","BLOOMBERG_MID_G_SPREAD","YAS_BOND_PX="&amp;U301,"YAS_BNCHMRK_BOND_PX="&amp;W301),"--")</f>
        <v/>
      </c>
      <c r="Z301" s="7">
        <f>IFERROR(BDP(D301,"LAST_PRICE"),"--")</f>
        <v/>
      </c>
      <c r="AA301" s="7">
        <f>IFERROR(Z301-Y301,"--")</f>
        <v/>
      </c>
      <c r="AB301" s="8">
        <f>IFERROR((AA301-R301)/(S301-R301)*100,"--")</f>
        <v/>
      </c>
    </row>
    <row r="302">
      <c r="A302" t="inlineStr">
        <is>
          <t>FIBCOP</t>
        </is>
      </c>
      <c r="B302" t="inlineStr">
        <is>
          <t>XO</t>
        </is>
      </c>
      <c r="C302" t="inlineStr">
        <is>
          <t>FIBCOP 5 1/8 06/30/32</t>
        </is>
      </c>
      <c r="D302" t="inlineStr">
        <is>
          <t>FIBCOP CDS EUR SR 5Y D14 Corp</t>
        </is>
      </c>
      <c r="E302" t="inlineStr">
        <is>
          <t>XS3104481414</t>
        </is>
      </c>
      <c r="F302" s="2" t="n">
        <v>45828</v>
      </c>
      <c r="G302" s="2" t="n">
        <v>46225</v>
      </c>
      <c r="H302" s="2" t="n">
        <v>48568</v>
      </c>
      <c r="I302" s="3" t="n">
        <v>216.8221</v>
      </c>
      <c r="J302" s="3" t="n">
        <v>163.1366</v>
      </c>
      <c r="K302" s="3" t="n">
        <v>171.527</v>
      </c>
      <c r="L302" s="3" t="inlineStr"/>
      <c r="M302" s="3" t="n">
        <v>45.29510000000002</v>
      </c>
      <c r="N302" s="3" t="n">
        <v>-5.414899999999989</v>
      </c>
      <c r="O302" s="3" t="n">
        <v>46.56399999999999</v>
      </c>
      <c r="P302" s="4" t="n">
        <v>97.55881713541461</v>
      </c>
      <c r="Q302" s="3" t="n">
        <v>-8.3904</v>
      </c>
      <c r="R302" s="3" t="n">
        <v>-49.68629999999999</v>
      </c>
      <c r="S302" s="3" t="n">
        <v>11.06879999999998</v>
      </c>
      <c r="T302" s="4" t="n">
        <v>67.97108390900519</v>
      </c>
      <c r="U302" s="5">
        <f>IFERROR(BDP(E302&amp;" Corp","LAST_PRICE"),"--")</f>
        <v/>
      </c>
      <c r="V302" s="6">
        <f>IFERROR(BDP(E302&amp;" Corp","YAS_BENCHMARK_BOND_ISIN"),"--")</f>
        <v/>
      </c>
      <c r="W302" s="5">
        <f>IFERROR(BDP(V302&amp;" CORP","LAST_PRICE"),"--")</f>
        <v/>
      </c>
      <c r="X302" s="7">
        <f>IFERROR(BDP(E302&amp;" Corp","YAS_YLD_SPREAD","YAS_BOND_PX="&amp;U302,"YAS_BNCHMRK_BOND_PX="&amp;W302),"--")</f>
        <v/>
      </c>
      <c r="Y302" s="7">
        <f>IFERROR(BDP(E302&amp;" Corp","BLOOMBERG_MID_G_SPREAD","YAS_BOND_PX="&amp;U302,"YAS_BNCHMRK_BOND_PX="&amp;W302),"--")</f>
        <v/>
      </c>
      <c r="Z302" s="7">
        <f>IFERROR(BDP(D302,"LAST_PRICE"),"--")</f>
        <v/>
      </c>
      <c r="AA302" s="7">
        <f>IFERROR(Z302-Y302,"--")</f>
        <v/>
      </c>
      <c r="AB302" s="8">
        <f>IFERROR((AA302-R302)/(S302-R302)*100,"--")</f>
        <v/>
      </c>
    </row>
    <row r="303">
      <c r="A303" t="inlineStr">
        <is>
          <t>FRFP</t>
        </is>
      </c>
      <c r="B303" t="inlineStr">
        <is>
          <t>XO</t>
        </is>
      </c>
      <c r="C303" t="inlineStr">
        <is>
          <t>FRFP 4 5/8 03/23/32</t>
        </is>
      </c>
      <c r="D303" t="inlineStr">
        <is>
          <t>FRFP CDS EUR SR 5Y D14 Corp</t>
        </is>
      </c>
      <c r="E303" t="inlineStr">
        <is>
          <t>FR0014012SJ2</t>
        </is>
      </c>
      <c r="F303" s="2" t="n">
        <v>45917</v>
      </c>
      <c r="G303" s="2" t="n">
        <v>46225</v>
      </c>
      <c r="H303" s="2" t="n">
        <v>48385</v>
      </c>
      <c r="I303" s="3" t="n">
        <v>202.8284</v>
      </c>
      <c r="J303" s="3" t="n">
        <v>160.4495</v>
      </c>
      <c r="K303" s="3" t="n">
        <v>172.507</v>
      </c>
      <c r="L303" s="3" t="n">
        <v>170.885</v>
      </c>
      <c r="M303" s="3" t="n">
        <v>30.32139999999998</v>
      </c>
      <c r="N303" s="3" t="n">
        <v>-3.059100000000001</v>
      </c>
      <c r="O303" s="3" t="n">
        <v>48.2799</v>
      </c>
      <c r="P303" s="4" t="n">
        <v>65.01977054480996</v>
      </c>
      <c r="Q303" s="3" t="n">
        <v>-12.0575</v>
      </c>
      <c r="R303" s="3" t="n">
        <v>-44.5069</v>
      </c>
      <c r="S303" s="3" t="n">
        <v>14.53460000000001</v>
      </c>
      <c r="T303" s="4" t="n">
        <v>54.96032451750038</v>
      </c>
      <c r="U303" s="5">
        <f>IFERROR(BDP(E303&amp;" Corp","LAST_PRICE"),"--")</f>
        <v/>
      </c>
      <c r="V303" s="6">
        <f>IFERROR(BDP(E303&amp;" Corp","YAS_BENCHMARK_BOND_ISIN"),"--")</f>
        <v/>
      </c>
      <c r="W303" s="5">
        <f>IFERROR(BDP(V303&amp;" CORP","LAST_PRICE"),"--")</f>
        <v/>
      </c>
      <c r="X303" s="7">
        <f>IFERROR(BDP(E303&amp;" Corp","YAS_YLD_SPREAD","YAS_BOND_PX="&amp;U303,"YAS_BNCHMRK_BOND_PX="&amp;W303),"--")</f>
        <v/>
      </c>
      <c r="Y303" s="7">
        <f>IFERROR(BDP(E303&amp;" Corp","BLOOMBERG_MID_G_SPREAD","YAS_BOND_PX="&amp;U303,"YAS_BNCHMRK_BOND_PX="&amp;W303),"--")</f>
        <v/>
      </c>
      <c r="Z303" s="7">
        <f>IFERROR(BDP(D303,"LAST_PRICE"),"--")</f>
        <v/>
      </c>
      <c r="AA303" s="7">
        <f>IFERROR(Z303-Y303,"--")</f>
        <v/>
      </c>
      <c r="AB303" s="8">
        <f>IFERROR((AA303-R303)/(S303-R303)*100,"--")</f>
        <v/>
      </c>
    </row>
    <row r="304">
      <c r="A304" t="inlineStr">
        <is>
          <t>GRFSM</t>
        </is>
      </c>
      <c r="B304" t="inlineStr">
        <is>
          <t>XO</t>
        </is>
      </c>
      <c r="C304" t="inlineStr">
        <is>
          <t>GRFSM 7 1/8 05/01/30</t>
        </is>
      </c>
      <c r="D304" t="inlineStr">
        <is>
          <t>GRFSM CDS EUR SR 5Y D14 Corp</t>
        </is>
      </c>
      <c r="E304" t="inlineStr">
        <is>
          <t>XS2961445090</t>
        </is>
      </c>
      <c r="F304" s="2" t="n">
        <v>45659</v>
      </c>
      <c r="G304" s="2" t="n">
        <v>46225</v>
      </c>
      <c r="H304" s="2" t="n">
        <v>47654</v>
      </c>
      <c r="I304" s="3" t="n">
        <v>194.5158</v>
      </c>
      <c r="J304" s="3" t="n">
        <v>232.7327</v>
      </c>
      <c r="K304" s="3" t="n">
        <v>-78.791</v>
      </c>
      <c r="L304" s="3" t="n">
        <v>-379.337</v>
      </c>
      <c r="M304" s="3" t="n">
        <v>273.3068</v>
      </c>
      <c r="N304" s="3" t="n">
        <v>-80.96180000000001</v>
      </c>
      <c r="O304" s="3" t="n">
        <v>533.8963</v>
      </c>
      <c r="P304" s="4" t="n">
        <v>57.61794469325524</v>
      </c>
      <c r="Q304" s="3" t="n">
        <v>311.5237</v>
      </c>
      <c r="R304" s="3" t="n">
        <v>-36.15030000000002</v>
      </c>
      <c r="S304" s="3" t="n">
        <v>576.5315000000001</v>
      </c>
      <c r="T304" s="4" t="n">
        <v>56.7462588247276</v>
      </c>
      <c r="U304" s="5">
        <f>IFERROR(BDP(E304&amp;" Corp","LAST_PRICE"),"--")</f>
        <v/>
      </c>
      <c r="V304" s="6">
        <f>IFERROR(BDP(E304&amp;" Corp","YAS_BENCHMARK_BOND_ISIN"),"--")</f>
        <v/>
      </c>
      <c r="W304" s="5">
        <f>IFERROR(BDP(V304&amp;" CORP","LAST_PRICE"),"--")</f>
        <v/>
      </c>
      <c r="X304" s="7">
        <f>IFERROR(BDP(E304&amp;" Corp","YAS_YLD_SPREAD","YAS_BOND_PX="&amp;U304,"YAS_BNCHMRK_BOND_PX="&amp;W304),"--")</f>
        <v/>
      </c>
      <c r="Y304" s="7">
        <f>IFERROR(BDP(E304&amp;" Corp","BLOOMBERG_MID_G_SPREAD","YAS_BOND_PX="&amp;U304,"YAS_BNCHMRK_BOND_PX="&amp;W304),"--")</f>
        <v/>
      </c>
      <c r="Z304" s="7">
        <f>IFERROR(BDP(D304,"LAST_PRICE"),"--")</f>
        <v/>
      </c>
      <c r="AA304" s="7">
        <f>IFERROR(Z304-Y304,"--")</f>
        <v/>
      </c>
      <c r="AB304" s="8">
        <f>IFERROR((AA304-R304)/(S304-R304)*100,"--")</f>
        <v/>
      </c>
    </row>
    <row r="305">
      <c r="A305" t="inlineStr">
        <is>
          <t>HPLGR</t>
        </is>
      </c>
      <c r="B305" t="inlineStr">
        <is>
          <t>XO</t>
        </is>
      </c>
      <c r="C305" t="inlineStr">
        <is>
          <t>HPLGR 2 1/2 04/15/28</t>
        </is>
      </c>
      <c r="D305" t="inlineStr">
        <is>
          <t>HPLGR CDS EUR SR 5Y D14 Corp</t>
        </is>
      </c>
      <c r="E305" t="inlineStr">
        <is>
          <t>XS2326548562</t>
        </is>
      </c>
      <c r="F305" s="2" t="n">
        <v>45659</v>
      </c>
      <c r="G305" s="2" t="n">
        <v>46225</v>
      </c>
      <c r="H305" s="2" t="n">
        <v>46924</v>
      </c>
      <c r="I305" s="3" t="n">
        <v>72.869</v>
      </c>
      <c r="J305" s="3" t="n">
        <v>162.9848</v>
      </c>
      <c r="K305" s="3" t="n">
        <v>58.63</v>
      </c>
      <c r="L305" s="3" t="n">
        <v>64.09099999999999</v>
      </c>
      <c r="M305" s="3" t="n">
        <v>14.239</v>
      </c>
      <c r="N305" s="3" t="n">
        <v>-36.8385</v>
      </c>
      <c r="O305" s="3" t="n">
        <v>40.92320000000001</v>
      </c>
      <c r="P305" s="4" t="n">
        <v>65.68464938395121</v>
      </c>
      <c r="Q305" s="3" t="n">
        <v>104.3548</v>
      </c>
      <c r="R305" s="3" t="n">
        <v>58.09690000000001</v>
      </c>
      <c r="S305" s="3" t="n">
        <v>154.6586</v>
      </c>
      <c r="T305" s="4" t="n">
        <v>47.90501824222233</v>
      </c>
      <c r="U305" s="5">
        <f>IFERROR(BDP(E305&amp;" Corp","LAST_PRICE"),"--")</f>
        <v/>
      </c>
      <c r="V305" s="6">
        <f>IFERROR(BDP(E305&amp;" Corp","YAS_BENCHMARK_BOND_ISIN"),"--")</f>
        <v/>
      </c>
      <c r="W305" s="5">
        <f>IFERROR(BDP(V305&amp;" CORP","LAST_PRICE"),"--")</f>
        <v/>
      </c>
      <c r="X305" s="7">
        <f>IFERROR(BDP(E305&amp;" Corp","YAS_YLD_SPREAD","YAS_BOND_PX="&amp;U305,"YAS_BNCHMRK_BOND_PX="&amp;W305),"--")</f>
        <v/>
      </c>
      <c r="Y305" s="7">
        <f>IFERROR(BDP(E305&amp;" Corp","BLOOMBERG_MID_G_SPREAD","YAS_BOND_PX="&amp;U305,"YAS_BNCHMRK_BOND_PX="&amp;W305),"--")</f>
        <v/>
      </c>
      <c r="Z305" s="7">
        <f>IFERROR(BDP(D305,"LAST_PRICE"),"--")</f>
        <v/>
      </c>
      <c r="AA305" s="7">
        <f>IFERROR(Z305-Y305,"--")</f>
        <v/>
      </c>
      <c r="AB305" s="8">
        <f>IFERROR((AA305-R305)/(S305-R305)*100,"--")</f>
        <v/>
      </c>
    </row>
    <row r="306">
      <c r="A306" t="inlineStr">
        <is>
          <t>ICELTD</t>
        </is>
      </c>
      <c r="B306" t="inlineStr">
        <is>
          <t>XO</t>
        </is>
      </c>
      <c r="C306" t="inlineStr">
        <is>
          <t>ICELTD 4 3/8 05/15/28</t>
        </is>
      </c>
      <c r="D306" t="inlineStr">
        <is>
          <t>ICELTD CDS EUR SR 5Y D14 Corp</t>
        </is>
      </c>
      <c r="E306" t="inlineStr">
        <is>
          <t>XS2304198331</t>
        </is>
      </c>
      <c r="F306" s="2" t="n">
        <v>45659</v>
      </c>
      <c r="G306" s="2" t="n">
        <v>46225</v>
      </c>
      <c r="H306" s="2" t="n">
        <v>46924</v>
      </c>
      <c r="I306" s="3" t="n">
        <v>176.4933</v>
      </c>
      <c r="J306" s="3" t="n">
        <v>352.6635</v>
      </c>
      <c r="K306" s="3" t="n">
        <v>47.171</v>
      </c>
      <c r="L306" s="3" t="n">
        <v>49.58</v>
      </c>
      <c r="M306" s="3" t="n">
        <v>129.3223</v>
      </c>
      <c r="N306" s="3" t="n">
        <v>-41.68209999999999</v>
      </c>
      <c r="O306" s="3" t="n">
        <v>163.0166</v>
      </c>
      <c r="P306" s="4" t="n">
        <v>83.539563270309</v>
      </c>
      <c r="Q306" s="3" t="n">
        <v>305.4925</v>
      </c>
      <c r="R306" s="3" t="n">
        <v>149.7104</v>
      </c>
      <c r="S306" s="3" t="n">
        <v>353.8242</v>
      </c>
      <c r="T306" s="4" t="n">
        <v>76.32119925257382</v>
      </c>
      <c r="U306" s="5">
        <f>IFERROR(BDP(E306&amp;" Corp","LAST_PRICE"),"--")</f>
        <v/>
      </c>
      <c r="V306" s="6">
        <f>IFERROR(BDP(E306&amp;" Corp","YAS_BENCHMARK_BOND_ISIN"),"--")</f>
        <v/>
      </c>
      <c r="W306" s="5">
        <f>IFERROR(BDP(V306&amp;" CORP","LAST_PRICE"),"--")</f>
        <v/>
      </c>
      <c r="X306" s="7">
        <f>IFERROR(BDP(E306&amp;" Corp","YAS_YLD_SPREAD","YAS_BOND_PX="&amp;U306,"YAS_BNCHMRK_BOND_PX="&amp;W306),"--")</f>
        <v/>
      </c>
      <c r="Y306" s="7">
        <f>IFERROR(BDP(E306&amp;" Corp","BLOOMBERG_MID_G_SPREAD","YAS_BOND_PX="&amp;U306,"YAS_BNCHMRK_BOND_PX="&amp;W306),"--")</f>
        <v/>
      </c>
      <c r="Z306" s="7">
        <f>IFERROR(BDP(D306,"LAST_PRICE"),"--")</f>
        <v/>
      </c>
      <c r="AA306" s="7">
        <f>IFERROR(Z306-Y306,"--")</f>
        <v/>
      </c>
      <c r="AB306" s="8">
        <f>IFERROR((AA306-R306)/(S306-R306)*100,"--")</f>
        <v/>
      </c>
    </row>
    <row r="307">
      <c r="A307" t="inlineStr">
        <is>
          <t>ILIADH</t>
        </is>
      </c>
      <c r="B307" t="inlineStr">
        <is>
          <t>XO</t>
        </is>
      </c>
      <c r="C307" t="inlineStr">
        <is>
          <t>ILIADH 6 7/8 04/15/31</t>
        </is>
      </c>
      <c r="D307" t="inlineStr">
        <is>
          <t>CZ060854 Curncy</t>
        </is>
      </c>
      <c r="E307" t="inlineStr">
        <is>
          <t>XS2810807094</t>
        </is>
      </c>
      <c r="F307" s="2" t="n">
        <v>45939</v>
      </c>
      <c r="G307" s="2" t="n">
        <v>46225</v>
      </c>
      <c r="H307" s="2" t="n">
        <v>48019</v>
      </c>
      <c r="I307" s="3" t="n">
        <v>199.2551</v>
      </c>
      <c r="J307" s="3" t="n">
        <v>199.2551</v>
      </c>
      <c r="K307" s="3" t="n">
        <v>165.204</v>
      </c>
      <c r="L307" s="3" t="n">
        <v>171.54</v>
      </c>
      <c r="M307" s="3" t="n">
        <v>34.05109999999999</v>
      </c>
      <c r="N307" s="3" t="n">
        <v>-38.7946</v>
      </c>
      <c r="O307" s="3" t="n">
        <v>83.00700000000001</v>
      </c>
      <c r="P307" s="4" t="n">
        <v>59.80684982791686</v>
      </c>
      <c r="Q307" s="3" t="n">
        <v>34.05109999999999</v>
      </c>
      <c r="R307" s="3" t="n">
        <v>-38.7946</v>
      </c>
      <c r="S307" s="3" t="n">
        <v>83.00700000000001</v>
      </c>
      <c r="T307" s="4" t="n">
        <v>59.80684982791686</v>
      </c>
      <c r="U307" s="5">
        <f>IFERROR(BDP(E307&amp;" Corp","LAST_PRICE"),"--")</f>
        <v/>
      </c>
      <c r="V307" s="6">
        <f>IFERROR(BDP(E307&amp;" Corp","YAS_BENCHMARK_BOND_ISIN"),"--")</f>
        <v/>
      </c>
      <c r="W307" s="5">
        <f>IFERROR(BDP(V307&amp;" CORP","LAST_PRICE"),"--")</f>
        <v/>
      </c>
      <c r="X307" s="7">
        <f>IFERROR(BDP(E307&amp;" Corp","YAS_YLD_SPREAD","YAS_BOND_PX="&amp;U307,"YAS_BNCHMRK_BOND_PX="&amp;W307),"--")</f>
        <v/>
      </c>
      <c r="Y307" s="7">
        <f>IFERROR(BDP(E307&amp;" Corp","BLOOMBERG_MID_G_SPREAD","YAS_BOND_PX="&amp;U307,"YAS_BNCHMRK_BOND_PX="&amp;W307),"--")</f>
        <v/>
      </c>
      <c r="Z307" s="7">
        <f>IFERROR(BDP(D307,"LAST_PRICE"),"--")</f>
        <v/>
      </c>
      <c r="AA307" s="7">
        <f>IFERROR(Z307-Y307,"--")</f>
        <v/>
      </c>
      <c r="AB307" s="8">
        <f>IFERROR((AA307-R307)/(S307-R307)*100,"--")</f>
        <v/>
      </c>
    </row>
    <row r="308">
      <c r="A308" t="inlineStr">
        <is>
          <t>IMAIM</t>
        </is>
      </c>
      <c r="B308" t="inlineStr">
        <is>
          <t>XO</t>
        </is>
      </c>
      <c r="C308" t="inlineStr">
        <is>
          <t>IMAIM 3 3/4 01/15/28</t>
        </is>
      </c>
      <c r="D308" t="inlineStr">
        <is>
          <t>IMAIM CDS EUR SR 5Y D14 Corp</t>
        </is>
      </c>
      <c r="E308" t="inlineStr">
        <is>
          <t>XS2275090749</t>
        </is>
      </c>
      <c r="F308" s="2" t="n">
        <v>45735</v>
      </c>
      <c r="G308" s="2" t="n">
        <v>46225</v>
      </c>
      <c r="H308" s="2" t="n">
        <v>46924</v>
      </c>
      <c r="I308" s="3" t="n">
        <v>117.1683</v>
      </c>
      <c r="J308" s="3" t="n">
        <v>284.8436</v>
      </c>
      <c r="K308" s="3" t="n">
        <v>148.574</v>
      </c>
      <c r="L308" s="3" t="n">
        <v>-762.659</v>
      </c>
      <c r="M308" s="3" t="n">
        <v>-31.40570000000001</v>
      </c>
      <c r="N308" s="3" t="n">
        <v>-138.7472</v>
      </c>
      <c r="O308" s="3" t="n">
        <v>2142.3854</v>
      </c>
      <c r="P308" s="4" t="n">
        <v>4.705622987458074</v>
      </c>
      <c r="Q308" s="3" t="n">
        <v>136.2696</v>
      </c>
      <c r="R308" s="3" t="n">
        <v>-3.477599999999995</v>
      </c>
      <c r="S308" s="3" t="n">
        <v>2263.1119</v>
      </c>
      <c r="T308" s="4" t="n">
        <v>6.165527547003989</v>
      </c>
      <c r="U308" s="5">
        <f>IFERROR(BDP(E308&amp;" Corp","LAST_PRICE"),"--")</f>
        <v/>
      </c>
      <c r="V308" s="6">
        <f>IFERROR(BDP(E308&amp;" Corp","YAS_BENCHMARK_BOND_ISIN"),"--")</f>
        <v/>
      </c>
      <c r="W308" s="5">
        <f>IFERROR(BDP(V308&amp;" CORP","LAST_PRICE"),"--")</f>
        <v/>
      </c>
      <c r="X308" s="7">
        <f>IFERROR(BDP(E308&amp;" Corp","YAS_YLD_SPREAD","YAS_BOND_PX="&amp;U308,"YAS_BNCHMRK_BOND_PX="&amp;W308),"--")</f>
        <v/>
      </c>
      <c r="Y308" s="7">
        <f>IFERROR(BDP(E308&amp;" Corp","BLOOMBERG_MID_G_SPREAD","YAS_BOND_PX="&amp;U308,"YAS_BNCHMRK_BOND_PX="&amp;W308),"--")</f>
        <v/>
      </c>
      <c r="Z308" s="7">
        <f>IFERROR(BDP(D308,"LAST_PRICE"),"--")</f>
        <v/>
      </c>
      <c r="AA308" s="7">
        <f>IFERROR(Z308-Y308,"--")</f>
        <v/>
      </c>
      <c r="AB308" s="8">
        <f>IFERROR((AA308-R308)/(S308-R308)*100,"--")</f>
        <v/>
      </c>
    </row>
    <row r="309">
      <c r="A309" t="inlineStr">
        <is>
          <t>INEGRP</t>
        </is>
      </c>
      <c r="B309" t="inlineStr">
        <is>
          <t>XO</t>
        </is>
      </c>
      <c r="C309" t="inlineStr">
        <is>
          <t>INEGRP 7 1/4 03/31/31</t>
        </is>
      </c>
      <c r="D309" t="inlineStr">
        <is>
          <t>INEOFIN CDS EUR SR 5Y D14 Corp</t>
        </is>
      </c>
      <c r="E309" t="inlineStr">
        <is>
          <t>XS3192215492</t>
        </is>
      </c>
      <c r="F309" s="2" t="n">
        <v>45925</v>
      </c>
      <c r="G309" s="2" t="n">
        <v>46225</v>
      </c>
      <c r="H309" s="2" t="n">
        <v>48019</v>
      </c>
      <c r="I309" s="3" t="n">
        <v>633.3333</v>
      </c>
      <c r="J309" s="3" t="n">
        <v>633.3333</v>
      </c>
      <c r="K309" s="3" t="n">
        <v>551.792</v>
      </c>
      <c r="L309" s="3" t="n">
        <v>548.479</v>
      </c>
      <c r="M309" s="3" t="n">
        <v>81.54129999999998</v>
      </c>
      <c r="N309" s="3" t="n">
        <v>-61.82249999999999</v>
      </c>
      <c r="O309" s="3" t="n">
        <v>227.9689999999999</v>
      </c>
      <c r="P309" s="4" t="n">
        <v>49.47136130631851</v>
      </c>
      <c r="Q309" s="3" t="n">
        <v>81.54129999999998</v>
      </c>
      <c r="R309" s="3" t="n">
        <v>-61.82249999999999</v>
      </c>
      <c r="S309" s="3" t="n">
        <v>227.9689999999999</v>
      </c>
      <c r="T309" s="4" t="n">
        <v>49.47136130631851</v>
      </c>
      <c r="U309" s="5">
        <f>IFERROR(BDP(E309&amp;" Corp","LAST_PRICE"),"--")</f>
        <v/>
      </c>
      <c r="V309" s="6">
        <f>IFERROR(BDP(E309&amp;" Corp","YAS_BENCHMARK_BOND_ISIN"),"--")</f>
        <v/>
      </c>
      <c r="W309" s="5">
        <f>IFERROR(BDP(V309&amp;" CORP","LAST_PRICE"),"--")</f>
        <v/>
      </c>
      <c r="X309" s="7">
        <f>IFERROR(BDP(E309&amp;" Corp","YAS_YLD_SPREAD","YAS_BOND_PX="&amp;U309,"YAS_BNCHMRK_BOND_PX="&amp;W309),"--")</f>
        <v/>
      </c>
      <c r="Y309" s="7">
        <f>IFERROR(BDP(E309&amp;" Corp","BLOOMBERG_MID_G_SPREAD","YAS_BOND_PX="&amp;U309,"YAS_BNCHMRK_BOND_PX="&amp;W309),"--")</f>
        <v/>
      </c>
      <c r="Z309" s="7">
        <f>IFERROR(BDP(D309,"LAST_PRICE"),"--")</f>
        <v/>
      </c>
      <c r="AA309" s="7">
        <f>IFERROR(Z309-Y309,"--")</f>
        <v/>
      </c>
      <c r="AB309" s="8">
        <f>IFERROR((AA309-R309)/(S309-R309)*100,"--")</f>
        <v/>
      </c>
    </row>
    <row r="310">
      <c r="A310" t="inlineStr">
        <is>
          <t>INWIM</t>
        </is>
      </c>
      <c r="B310" t="inlineStr">
        <is>
          <t>XO</t>
        </is>
      </c>
      <c r="C310" t="inlineStr">
        <is>
          <t>INWIM 3 5/8 10/13/32</t>
        </is>
      </c>
      <c r="D310" t="inlineStr">
        <is>
          <t>CY865633 Curncy</t>
        </is>
      </c>
      <c r="E310" t="inlineStr">
        <is>
          <t>XS3201918318</t>
        </is>
      </c>
      <c r="F310" s="2" t="n">
        <v>46099</v>
      </c>
      <c r="G310" s="2" t="n">
        <v>46225</v>
      </c>
      <c r="H310" s="2" t="n">
        <v>48568</v>
      </c>
      <c r="I310" s="3" t="n">
        <v>216.7797</v>
      </c>
      <c r="J310" s="3" t="n">
        <v>192.8379</v>
      </c>
      <c r="K310" s="3" t="n">
        <v>175.35</v>
      </c>
      <c r="L310" s="3" t="n">
        <v>176.672</v>
      </c>
      <c r="M310" s="3" t="n">
        <v>41.4297</v>
      </c>
      <c r="N310" s="3" t="n">
        <v>-85.74300000000001</v>
      </c>
      <c r="O310" s="3" t="n">
        <v>86.47189999999998</v>
      </c>
      <c r="P310" s="4" t="n">
        <v>73.84535252176205</v>
      </c>
      <c r="Q310" s="3" t="n">
        <v>17.4879</v>
      </c>
      <c r="R310" s="3" t="n">
        <v>-105.5243</v>
      </c>
      <c r="S310" s="3" t="n">
        <v>55.33199999999999</v>
      </c>
      <c r="T310" s="4" t="n">
        <v>76.47334919428086</v>
      </c>
      <c r="U310" s="5">
        <f>IFERROR(BDP(E310&amp;" Corp","LAST_PRICE"),"--")</f>
        <v/>
      </c>
      <c r="V310" s="6">
        <f>IFERROR(BDP(E310&amp;" Corp","YAS_BENCHMARK_BOND_ISIN"),"--")</f>
        <v/>
      </c>
      <c r="W310" s="5">
        <f>IFERROR(BDP(V310&amp;" CORP","LAST_PRICE"),"--")</f>
        <v/>
      </c>
      <c r="X310" s="7">
        <f>IFERROR(BDP(E310&amp;" Corp","YAS_YLD_SPREAD","YAS_BOND_PX="&amp;U310,"YAS_BNCHMRK_BOND_PX="&amp;W310),"--")</f>
        <v/>
      </c>
      <c r="Y310" s="7">
        <f>IFERROR(BDP(E310&amp;" Corp","BLOOMBERG_MID_G_SPREAD","YAS_BOND_PX="&amp;U310,"YAS_BNCHMRK_BOND_PX="&amp;W310),"--")</f>
        <v/>
      </c>
      <c r="Z310" s="7">
        <f>IFERROR(BDP(D310,"LAST_PRICE"),"--")</f>
        <v/>
      </c>
      <c r="AA310" s="7">
        <f>IFERROR(Z310-Y310,"--")</f>
        <v/>
      </c>
      <c r="AB310" s="8">
        <f>IFERROR((AA310-R310)/(S310-R310)*100,"--")</f>
        <v/>
      </c>
    </row>
    <row r="311">
      <c r="A311" t="inlineStr">
        <is>
          <t>IONPLA</t>
        </is>
      </c>
      <c r="B311" t="inlineStr">
        <is>
          <t>XO</t>
        </is>
      </c>
      <c r="C311" t="inlineStr">
        <is>
          <t>IONPLA 6 7/8 09/30/32</t>
        </is>
      </c>
      <c r="D311" t="inlineStr">
        <is>
          <t>CZ060801 Curncy</t>
        </is>
      </c>
      <c r="E311" t="inlineStr">
        <is>
          <t>XS3194941202</t>
        </is>
      </c>
      <c r="F311" s="2" t="n">
        <v>46100</v>
      </c>
      <c r="G311" s="2" t="n">
        <v>46225</v>
      </c>
      <c r="H311" s="2" t="n">
        <v>48568</v>
      </c>
      <c r="I311" s="3" t="n">
        <v>1183.4134</v>
      </c>
      <c r="J311" s="3" t="n">
        <v>1053.8303</v>
      </c>
      <c r="K311" s="3" t="n">
        <v>860.0170000000001</v>
      </c>
      <c r="L311" s="3" t="n">
        <v>879.633</v>
      </c>
      <c r="M311" s="3" t="n">
        <v>323.3963999999999</v>
      </c>
      <c r="N311" s="3" t="n">
        <v>59.96419999999989</v>
      </c>
      <c r="O311" s="3" t="n">
        <v>332.1474999999999</v>
      </c>
      <c r="P311" s="4" t="n">
        <v>96.78485050331888</v>
      </c>
      <c r="Q311" s="3" t="n">
        <v>193.8133</v>
      </c>
      <c r="R311" s="3" t="n">
        <v>84.88220000000001</v>
      </c>
      <c r="S311" s="3" t="n">
        <v>353.1477000000001</v>
      </c>
      <c r="T311" s="4" t="n">
        <v>40.60570591447651</v>
      </c>
      <c r="U311" s="5">
        <f>IFERROR(BDP(E311&amp;" Corp","LAST_PRICE"),"--")</f>
        <v/>
      </c>
      <c r="V311" s="6">
        <f>IFERROR(BDP(E311&amp;" Corp","YAS_BENCHMARK_BOND_ISIN"),"--")</f>
        <v/>
      </c>
      <c r="W311" s="5">
        <f>IFERROR(BDP(V311&amp;" CORP","LAST_PRICE"),"--")</f>
        <v/>
      </c>
      <c r="X311" s="7">
        <f>IFERROR(BDP(E311&amp;" Corp","YAS_YLD_SPREAD","YAS_BOND_PX="&amp;U311,"YAS_BNCHMRK_BOND_PX="&amp;W311),"--")</f>
        <v/>
      </c>
      <c r="Y311" s="7">
        <f>IFERROR(BDP(E311&amp;" Corp","BLOOMBERG_MID_G_SPREAD","YAS_BOND_PX="&amp;U311,"YAS_BNCHMRK_BOND_PX="&amp;W311),"--")</f>
        <v/>
      </c>
      <c r="Z311" s="7">
        <f>IFERROR(BDP(D311,"LAST_PRICE"),"--")</f>
        <v/>
      </c>
      <c r="AA311" s="7">
        <f>IFERROR(Z311-Y311,"--")</f>
        <v/>
      </c>
      <c r="AB311" s="8">
        <f>IFERROR((AA311-R311)/(S311-R311)*100,"--")</f>
        <v/>
      </c>
    </row>
    <row r="312">
      <c r="A312" t="inlineStr">
        <is>
          <t>IPGIM</t>
        </is>
      </c>
      <c r="B312" t="inlineStr">
        <is>
          <t>XO</t>
        </is>
      </c>
      <c r="C312" t="inlineStr">
        <is>
          <t>IPGIM 4 1/8 07/03/31</t>
        </is>
      </c>
      <c r="D312" t="inlineStr">
        <is>
          <t>IPGIM CDS EUR SR 5Y D14 Corp</t>
        </is>
      </c>
      <c r="E312" t="inlineStr">
        <is>
          <t>XS3106096178</t>
        </is>
      </c>
      <c r="F312" s="2" t="n">
        <v>45833</v>
      </c>
      <c r="G312" s="2" t="n">
        <v>46225</v>
      </c>
      <c r="H312" s="2" t="n">
        <v>48202</v>
      </c>
      <c r="I312" s="3" t="n">
        <v>163.338</v>
      </c>
      <c r="J312" s="3" t="n">
        <v>149.875</v>
      </c>
      <c r="K312" s="3" t="n">
        <v>123.249</v>
      </c>
      <c r="L312" s="3" t="n">
        <v>120.562</v>
      </c>
      <c r="M312" s="3" t="n">
        <v>40.089</v>
      </c>
      <c r="N312" s="3" t="n">
        <v>-9.732900000000001</v>
      </c>
      <c r="O312" s="3" t="n">
        <v>71.96679999999998</v>
      </c>
      <c r="P312" s="4" t="n">
        <v>60.98174167102206</v>
      </c>
      <c r="Q312" s="3" t="n">
        <v>26.626</v>
      </c>
      <c r="R312" s="3" t="n">
        <v>-15.9787</v>
      </c>
      <c r="S312" s="3" t="n">
        <v>60.44549999999998</v>
      </c>
      <c r="T312" s="4" t="n">
        <v>55.74765584723166</v>
      </c>
      <c r="U312" s="5">
        <f>IFERROR(BDP(E312&amp;" Corp","LAST_PRICE"),"--")</f>
        <v/>
      </c>
      <c r="V312" s="6">
        <f>IFERROR(BDP(E312&amp;" Corp","YAS_BENCHMARK_BOND_ISIN"),"--")</f>
        <v/>
      </c>
      <c r="W312" s="5">
        <f>IFERROR(BDP(V312&amp;" CORP","LAST_PRICE"),"--")</f>
        <v/>
      </c>
      <c r="X312" s="7">
        <f>IFERROR(BDP(E312&amp;" Corp","YAS_YLD_SPREAD","YAS_BOND_PX="&amp;U312,"YAS_BNCHMRK_BOND_PX="&amp;W312),"--")</f>
        <v/>
      </c>
      <c r="Y312" s="7">
        <f>IFERROR(BDP(E312&amp;" Corp","BLOOMBERG_MID_G_SPREAD","YAS_BOND_PX="&amp;U312,"YAS_BNCHMRK_BOND_PX="&amp;W312),"--")</f>
        <v/>
      </c>
      <c r="Z312" s="7">
        <f>IFERROR(BDP(D312,"LAST_PRICE"),"--")</f>
        <v/>
      </c>
      <c r="AA312" s="7">
        <f>IFERROR(Z312-Y312,"--")</f>
        <v/>
      </c>
      <c r="AB312" s="8">
        <f>IFERROR((AA312-R312)/(S312-R312)*100,"--")</f>
        <v/>
      </c>
    </row>
    <row r="313">
      <c r="A313" t="inlineStr">
        <is>
          <t>LHMCFI</t>
        </is>
      </c>
      <c r="B313" t="inlineStr">
        <is>
          <t>XO</t>
        </is>
      </c>
      <c r="C313" t="inlineStr">
        <is>
          <t>LHMCFI 4 7/8 10/15/31</t>
        </is>
      </c>
      <c r="D313" t="inlineStr">
        <is>
          <t>LHMCFI CDS EUR SR 5Y D14 Corp</t>
        </is>
      </c>
      <c r="E313" t="inlineStr">
        <is>
          <t>XS3209437014</t>
        </is>
      </c>
      <c r="F313" s="2" t="n">
        <v>45946</v>
      </c>
      <c r="G313" s="2" t="n">
        <v>46225</v>
      </c>
      <c r="H313" s="2" t="n">
        <v>48202</v>
      </c>
      <c r="I313" s="3" t="n">
        <v>183.5393</v>
      </c>
      <c r="J313" s="3" t="n">
        <v>167.7876</v>
      </c>
      <c r="K313" s="3" t="n">
        <v>150.093</v>
      </c>
      <c r="L313" s="3" t="n">
        <v>146.315</v>
      </c>
      <c r="M313" s="3" t="n">
        <v>33.44630000000001</v>
      </c>
      <c r="N313" s="3" t="n">
        <v>-39.77589999999998</v>
      </c>
      <c r="O313" s="3" t="n">
        <v>85.26070000000001</v>
      </c>
      <c r="P313" s="4" t="n">
        <v>58.56061345238114</v>
      </c>
      <c r="Q313" s="3" t="n">
        <v>17.69460000000001</v>
      </c>
      <c r="R313" s="3" t="n">
        <v>-49.9682</v>
      </c>
      <c r="S313" s="3" t="n">
        <v>82.9111</v>
      </c>
      <c r="T313" s="4" t="n">
        <v>50.92049702248582</v>
      </c>
      <c r="U313" s="5">
        <f>IFERROR(BDP(E313&amp;" Corp","LAST_PRICE"),"--")</f>
        <v/>
      </c>
      <c r="V313" s="6">
        <f>IFERROR(BDP(E313&amp;" Corp","YAS_BENCHMARK_BOND_ISIN"),"--")</f>
        <v/>
      </c>
      <c r="W313" s="5">
        <f>IFERROR(BDP(V313&amp;" CORP","LAST_PRICE"),"--")</f>
        <v/>
      </c>
      <c r="X313" s="7">
        <f>IFERROR(BDP(E313&amp;" Corp","YAS_YLD_SPREAD","YAS_BOND_PX="&amp;U313,"YAS_BNCHMRK_BOND_PX="&amp;W313),"--")</f>
        <v/>
      </c>
      <c r="Y313" s="7">
        <f>IFERROR(BDP(E313&amp;" Corp","BLOOMBERG_MID_G_SPREAD","YAS_BOND_PX="&amp;U313,"YAS_BNCHMRK_BOND_PX="&amp;W313),"--")</f>
        <v/>
      </c>
      <c r="Z313" s="7">
        <f>IFERROR(BDP(D313,"LAST_PRICE"),"--")</f>
        <v/>
      </c>
      <c r="AA313" s="7">
        <f>IFERROR(Z313-Y313,"--")</f>
        <v/>
      </c>
      <c r="AB313" s="8">
        <f>IFERROR((AA313-R313)/(S313-R313)*100,"--")</f>
        <v/>
      </c>
    </row>
    <row r="314">
      <c r="A314" t="inlineStr">
        <is>
          <t>LOXAM</t>
        </is>
      </c>
      <c r="B314" t="inlineStr">
        <is>
          <t>XO</t>
        </is>
      </c>
      <c r="C314" t="inlineStr">
        <is>
          <t>LOXAM 4 1/4 02/15/30</t>
        </is>
      </c>
      <c r="D314" t="inlineStr">
        <is>
          <t>LOXAM CDS EUR SUB 5Y D14 Corp</t>
        </is>
      </c>
      <c r="E314" t="inlineStr">
        <is>
          <t>XS2982117694</t>
        </is>
      </c>
      <c r="F314" s="2" t="n">
        <v>45698</v>
      </c>
      <c r="G314" s="2" t="n">
        <v>46225</v>
      </c>
      <c r="H314" s="2" t="n">
        <v>47654</v>
      </c>
      <c r="I314" s="3" t="n">
        <v>158.9444</v>
      </c>
      <c r="J314" s="3" t="n">
        <v>206.869</v>
      </c>
      <c r="K314" s="3" t="n">
        <v>145.747</v>
      </c>
      <c r="L314" s="3" t="n">
        <v>149.105</v>
      </c>
      <c r="M314" s="3" t="n">
        <v>13.19739999999999</v>
      </c>
      <c r="N314" s="3" t="n">
        <v>-6.594500000000011</v>
      </c>
      <c r="O314" s="3" t="n">
        <v>80.16569999999999</v>
      </c>
      <c r="P314" s="4" t="n">
        <v>22.81218807702149</v>
      </c>
      <c r="Q314" s="3" t="n">
        <v>61.12199999999999</v>
      </c>
      <c r="R314" s="3" t="n">
        <v>39.90369999999999</v>
      </c>
      <c r="S314" s="3" t="n">
        <v>115.918</v>
      </c>
      <c r="T314" s="4" t="n">
        <v>27.91356363210606</v>
      </c>
      <c r="U314" s="5">
        <f>IFERROR(BDP(E314&amp;" Corp","LAST_PRICE"),"--")</f>
        <v/>
      </c>
      <c r="V314" s="6">
        <f>IFERROR(BDP(E314&amp;" Corp","YAS_BENCHMARK_BOND_ISIN"),"--")</f>
        <v/>
      </c>
      <c r="W314" s="5">
        <f>IFERROR(BDP(V314&amp;" CORP","LAST_PRICE"),"--")</f>
        <v/>
      </c>
      <c r="X314" s="7">
        <f>IFERROR(BDP(E314&amp;" Corp","YAS_YLD_SPREAD","YAS_BOND_PX="&amp;U314,"YAS_BNCHMRK_BOND_PX="&amp;W314),"--")</f>
        <v/>
      </c>
      <c r="Y314" s="7">
        <f>IFERROR(BDP(E314&amp;" Corp","BLOOMBERG_MID_G_SPREAD","YAS_BOND_PX="&amp;U314,"YAS_BNCHMRK_BOND_PX="&amp;W314),"--")</f>
        <v/>
      </c>
      <c r="Z314" s="7">
        <f>IFERROR(BDP(D314,"LAST_PRICE"),"--")</f>
        <v/>
      </c>
      <c r="AA314" s="7">
        <f>IFERROR(Z314-Y314,"--")</f>
        <v/>
      </c>
      <c r="AB314" s="8">
        <f>IFERROR((AA314-R314)/(S314-R314)*100,"--")</f>
        <v/>
      </c>
    </row>
    <row r="315">
      <c r="A315" t="inlineStr">
        <is>
          <t>LTMCIM</t>
        </is>
      </c>
      <c r="B315" t="inlineStr">
        <is>
          <t>XO</t>
        </is>
      </c>
      <c r="C315" t="inlineStr">
        <is>
          <t>LTMCIM 4 7/8 01/31/31</t>
        </is>
      </c>
      <c r="D315" t="inlineStr">
        <is>
          <t>LTMCIM CDS EUR SR 5Y D14 Corp</t>
        </is>
      </c>
      <c r="E315" t="inlineStr">
        <is>
          <t>XS3047452316</t>
        </is>
      </c>
      <c r="F315" s="2" t="n">
        <v>45775</v>
      </c>
      <c r="G315" s="2" t="n">
        <v>46225</v>
      </c>
      <c r="H315" s="2" t="n">
        <v>48019</v>
      </c>
      <c r="I315" s="3" t="n">
        <v>173.844</v>
      </c>
      <c r="J315" s="3" t="n">
        <v>173.844</v>
      </c>
      <c r="K315" s="3" t="n">
        <v>130.851</v>
      </c>
      <c r="L315" s="3" t="n">
        <v>129.899</v>
      </c>
      <c r="M315" s="3" t="n">
        <v>42.99299999999999</v>
      </c>
      <c r="N315" s="3" t="n">
        <v>2.787599999999998</v>
      </c>
      <c r="O315" s="3" t="n">
        <v>93.26769999999999</v>
      </c>
      <c r="P315" s="4" t="n">
        <v>44.43562728157904</v>
      </c>
      <c r="Q315" s="3" t="n">
        <v>42.99299999999999</v>
      </c>
      <c r="R315" s="3" t="n">
        <v>2.787599999999998</v>
      </c>
      <c r="S315" s="3" t="n">
        <v>93.26769999999999</v>
      </c>
      <c r="T315" s="4" t="n">
        <v>44.43562728157904</v>
      </c>
      <c r="U315" s="5">
        <f>IFERROR(BDP(E315&amp;" Corp","LAST_PRICE"),"--")</f>
        <v/>
      </c>
      <c r="V315" s="6">
        <f>IFERROR(BDP(E315&amp;" Corp","YAS_BENCHMARK_BOND_ISIN"),"--")</f>
        <v/>
      </c>
      <c r="W315" s="5">
        <f>IFERROR(BDP(V315&amp;" CORP","LAST_PRICE"),"--")</f>
        <v/>
      </c>
      <c r="X315" s="7">
        <f>IFERROR(BDP(E315&amp;" Corp","YAS_YLD_SPREAD","YAS_BOND_PX="&amp;U315,"YAS_BNCHMRK_BOND_PX="&amp;W315),"--")</f>
        <v/>
      </c>
      <c r="Y315" s="7">
        <f>IFERROR(BDP(E315&amp;" Corp","BLOOMBERG_MID_G_SPREAD","YAS_BOND_PX="&amp;U315,"YAS_BNCHMRK_BOND_PX="&amp;W315),"--")</f>
        <v/>
      </c>
      <c r="Z315" s="7">
        <f>IFERROR(BDP(D315,"LAST_PRICE"),"--")</f>
        <v/>
      </c>
      <c r="AA315" s="7">
        <f>IFERROR(Z315-Y315,"--")</f>
        <v/>
      </c>
      <c r="AB315" s="8">
        <f>IFERROR((AA315-R315)/(S315-R315)*100,"--")</f>
        <v/>
      </c>
    </row>
    <row r="316">
      <c r="A316" t="inlineStr">
        <is>
          <t>LXSGR</t>
        </is>
      </c>
      <c r="B316" t="inlineStr">
        <is>
          <t>XO</t>
        </is>
      </c>
      <c r="C316" t="inlineStr">
        <is>
          <t>LXSGR 4 3/8 06/24/31</t>
        </is>
      </c>
      <c r="D316" t="inlineStr">
        <is>
          <t>LXSGR CDS EUR SR 5Y D14 Corp</t>
        </is>
      </c>
      <c r="E316" t="inlineStr">
        <is>
          <t>XS3402928637</t>
        </is>
      </c>
      <c r="F316" s="2" t="n">
        <v>46191</v>
      </c>
      <c r="G316" s="2" t="n">
        <v>46225</v>
      </c>
      <c r="H316" s="2" t="n">
        <v>48202</v>
      </c>
      <c r="I316" s="3" t="n">
        <v>208.8566</v>
      </c>
      <c r="J316" s="3" t="n">
        <v>191.4213</v>
      </c>
      <c r="K316" s="3" t="n">
        <v>199.169</v>
      </c>
      <c r="L316" s="3" t="n">
        <v>198.602</v>
      </c>
      <c r="M316" s="3" t="n">
        <v>9.687599999999975</v>
      </c>
      <c r="N316" s="3" t="n">
        <v>-11.51339999999999</v>
      </c>
      <c r="O316" s="3" t="n">
        <v>9.687599999999975</v>
      </c>
      <c r="P316" s="4" t="n">
        <v>100</v>
      </c>
      <c r="Q316" s="3" t="n">
        <v>-7.747700000000009</v>
      </c>
      <c r="R316" s="3" t="n">
        <v>-28.97979999999998</v>
      </c>
      <c r="S316" s="3" t="n">
        <v>-7.747700000000009</v>
      </c>
      <c r="T316" s="4" t="n">
        <v>100</v>
      </c>
      <c r="U316" s="5">
        <f>IFERROR(BDP(E316&amp;" Corp","LAST_PRICE"),"--")</f>
        <v/>
      </c>
      <c r="V316" s="6">
        <f>IFERROR(BDP(E316&amp;" Corp","YAS_BENCHMARK_BOND_ISIN"),"--")</f>
        <v/>
      </c>
      <c r="W316" s="5">
        <f>IFERROR(BDP(V316&amp;" CORP","LAST_PRICE"),"--")</f>
        <v/>
      </c>
      <c r="X316" s="7">
        <f>IFERROR(BDP(E316&amp;" Corp","YAS_YLD_SPREAD","YAS_BOND_PX="&amp;U316,"YAS_BNCHMRK_BOND_PX="&amp;W316),"--")</f>
        <v/>
      </c>
      <c r="Y316" s="7">
        <f>IFERROR(BDP(E316&amp;" Corp","BLOOMBERG_MID_G_SPREAD","YAS_BOND_PX="&amp;U316,"YAS_BNCHMRK_BOND_PX="&amp;W316),"--")</f>
        <v/>
      </c>
      <c r="Z316" s="7">
        <f>IFERROR(BDP(D316,"LAST_PRICE"),"--")</f>
        <v/>
      </c>
      <c r="AA316" s="7">
        <f>IFERROR(Z316-Y316,"--")</f>
        <v/>
      </c>
      <c r="AB316" s="8">
        <f>IFERROR((AA316-R316)/(S316-R316)*100,"--")</f>
        <v/>
      </c>
    </row>
    <row r="317">
      <c r="A317" t="inlineStr">
        <is>
          <t>MATTER</t>
        </is>
      </c>
      <c r="B317" t="inlineStr">
        <is>
          <t>XO</t>
        </is>
      </c>
      <c r="C317" t="inlineStr">
        <is>
          <t>MATTER 4 1/2 01/30/30</t>
        </is>
      </c>
      <c r="D317" t="inlineStr">
        <is>
          <t>MATTER B CDS EUR SR 5Y D14 Corp</t>
        </is>
      </c>
      <c r="E317" t="inlineStr">
        <is>
          <t>XS2985311518</t>
        </is>
      </c>
      <c r="F317" s="2" t="n">
        <v>45678</v>
      </c>
      <c r="G317" s="2" t="n">
        <v>46225</v>
      </c>
      <c r="H317" s="2" t="n">
        <v>47654</v>
      </c>
      <c r="I317" s="3" t="n">
        <v>110.1533</v>
      </c>
      <c r="J317" s="3" t="n">
        <v>140.1921</v>
      </c>
      <c r="K317" s="3" t="n">
        <v>104.204</v>
      </c>
      <c r="L317" s="3" t="n">
        <v>105.859</v>
      </c>
      <c r="M317" s="3" t="n">
        <v>5.949300000000008</v>
      </c>
      <c r="N317" s="3" t="n">
        <v>-63.7595</v>
      </c>
      <c r="O317" s="3" t="n">
        <v>40.31270000000001</v>
      </c>
      <c r="P317" s="4" t="n">
        <v>66.98119190331329</v>
      </c>
      <c r="Q317" s="3" t="n">
        <v>35.98810000000002</v>
      </c>
      <c r="R317" s="3" t="n">
        <v>-31.1277</v>
      </c>
      <c r="S317" s="3" t="n">
        <v>70.84399999999999</v>
      </c>
      <c r="T317" s="4" t="n">
        <v>65.8180652082882</v>
      </c>
      <c r="U317" s="5">
        <f>IFERROR(BDP(E317&amp;" Corp","LAST_PRICE"),"--")</f>
        <v/>
      </c>
      <c r="V317" s="6">
        <f>IFERROR(BDP(E317&amp;" Corp","YAS_BENCHMARK_BOND_ISIN"),"--")</f>
        <v/>
      </c>
      <c r="W317" s="5">
        <f>IFERROR(BDP(V317&amp;" CORP","LAST_PRICE"),"--")</f>
        <v/>
      </c>
      <c r="X317" s="7">
        <f>IFERROR(BDP(E317&amp;" Corp","YAS_YLD_SPREAD","YAS_BOND_PX="&amp;U317,"YAS_BNCHMRK_BOND_PX="&amp;W317),"--")</f>
        <v/>
      </c>
      <c r="Y317" s="7">
        <f>IFERROR(BDP(E317&amp;" Corp","BLOOMBERG_MID_G_SPREAD","YAS_BOND_PX="&amp;U317,"YAS_BNCHMRK_BOND_PX="&amp;W317),"--")</f>
        <v/>
      </c>
      <c r="Z317" s="7">
        <f>IFERROR(BDP(D317,"LAST_PRICE"),"--")</f>
        <v/>
      </c>
      <c r="AA317" s="7">
        <f>IFERROR(Z317-Y317,"--")</f>
        <v/>
      </c>
      <c r="AB317" s="8">
        <f>IFERROR((AA317-R317)/(S317-R317)*100,"--")</f>
        <v/>
      </c>
    </row>
    <row r="318">
      <c r="A318" t="inlineStr">
        <is>
          <t>METSA</t>
        </is>
      </c>
      <c r="B318" t="inlineStr">
        <is>
          <t>XO</t>
        </is>
      </c>
      <c r="C318" t="inlineStr">
        <is>
          <t>METSA 3 7/8 05/28/31</t>
        </is>
      </c>
      <c r="D318" t="inlineStr">
        <is>
          <t>METSA CDS EUR SR 5Y D14 Corp</t>
        </is>
      </c>
      <c r="E318" t="inlineStr">
        <is>
          <t>FI4000590864</t>
        </is>
      </c>
      <c r="F318" s="2" t="n">
        <v>45799</v>
      </c>
      <c r="G318" s="2" t="n">
        <v>46225</v>
      </c>
      <c r="H318" s="2" t="n">
        <v>48019</v>
      </c>
      <c r="I318" s="3" t="n">
        <v>141.7751</v>
      </c>
      <c r="J318" s="3" t="n">
        <v>141.7751</v>
      </c>
      <c r="K318" s="3" t="n">
        <v>183.344</v>
      </c>
      <c r="L318" s="3" t="n">
        <v>187.51</v>
      </c>
      <c r="M318" s="3" t="n">
        <v>-41.56889999999999</v>
      </c>
      <c r="N318" s="3" t="n">
        <v>-81.1199</v>
      </c>
      <c r="O318" s="3" t="n">
        <v>15.74269999999999</v>
      </c>
      <c r="P318" s="4" t="n">
        <v>40.83206521402484</v>
      </c>
      <c r="Q318" s="3" t="n">
        <v>-41.56889999999999</v>
      </c>
      <c r="R318" s="3" t="n">
        <v>-81.1199</v>
      </c>
      <c r="S318" s="3" t="n">
        <v>15.74269999999999</v>
      </c>
      <c r="T318" s="4" t="n">
        <v>40.83206521402484</v>
      </c>
      <c r="U318" s="5">
        <f>IFERROR(BDP(E318&amp;" Corp","LAST_PRICE"),"--")</f>
        <v/>
      </c>
      <c r="V318" s="6">
        <f>IFERROR(BDP(E318&amp;" Corp","YAS_BENCHMARK_BOND_ISIN"),"--")</f>
        <v/>
      </c>
      <c r="W318" s="5">
        <f>IFERROR(BDP(V318&amp;" CORP","LAST_PRICE"),"--")</f>
        <v/>
      </c>
      <c r="X318" s="7">
        <f>IFERROR(BDP(E318&amp;" Corp","YAS_YLD_SPREAD","YAS_BOND_PX="&amp;U318,"YAS_BNCHMRK_BOND_PX="&amp;W318),"--")</f>
        <v/>
      </c>
      <c r="Y318" s="7">
        <f>IFERROR(BDP(E318&amp;" Corp","BLOOMBERG_MID_G_SPREAD","YAS_BOND_PX="&amp;U318,"YAS_BNCHMRK_BOND_PX="&amp;W318),"--")</f>
        <v/>
      </c>
      <c r="Z318" s="7">
        <f>IFERROR(BDP(D318,"LAST_PRICE"),"--")</f>
        <v/>
      </c>
      <c r="AA318" s="7">
        <f>IFERROR(Z318-Y318,"--")</f>
        <v/>
      </c>
      <c r="AB318" s="8">
        <f>IFERROR((AA318-R318)/(S318-R318)*100,"--")</f>
        <v/>
      </c>
    </row>
    <row r="319">
      <c r="A319" t="inlineStr">
        <is>
          <t>MLTIVR</t>
        </is>
      </c>
      <c r="B319" t="inlineStr">
        <is>
          <t>XO</t>
        </is>
      </c>
      <c r="C319" t="inlineStr">
        <is>
          <t>MLTIVR 7 1/8 05/17/31</t>
        </is>
      </c>
      <c r="D319" t="inlineStr">
        <is>
          <t>MLTIVR CDS EUR SR 5Y D14 Corp</t>
        </is>
      </c>
      <c r="E319" t="inlineStr">
        <is>
          <t>XS2816638873</t>
        </is>
      </c>
      <c r="F319" s="2" t="n">
        <v>45659</v>
      </c>
      <c r="G319" s="2" t="n">
        <v>46225</v>
      </c>
      <c r="H319" s="2" t="n">
        <v>48019</v>
      </c>
      <c r="I319" s="3" t="n">
        <v>338.626</v>
      </c>
      <c r="J319" s="3" t="n">
        <v>338.626</v>
      </c>
      <c r="K319" s="3" t="n">
        <v>313.777</v>
      </c>
      <c r="L319" s="3" t="n">
        <v>308.964</v>
      </c>
      <c r="M319" s="3" t="n">
        <v>24.84899999999999</v>
      </c>
      <c r="N319" s="3" t="n">
        <v>-117.947</v>
      </c>
      <c r="O319" s="3" t="n">
        <v>81.35479999999995</v>
      </c>
      <c r="P319" s="4" t="n">
        <v>71.64812359948581</v>
      </c>
      <c r="Q319" s="3" t="n">
        <v>24.84899999999999</v>
      </c>
      <c r="R319" s="3" t="n">
        <v>-117.947</v>
      </c>
      <c r="S319" s="3" t="n">
        <v>81.35479999999995</v>
      </c>
      <c r="T319" s="4" t="n">
        <v>71.64812359948581</v>
      </c>
      <c r="U319" s="5">
        <f>IFERROR(BDP(E319&amp;" Corp","LAST_PRICE"),"--")</f>
        <v/>
      </c>
      <c r="V319" s="6">
        <f>IFERROR(BDP(E319&amp;" Corp","YAS_BENCHMARK_BOND_ISIN"),"--")</f>
        <v/>
      </c>
      <c r="W319" s="5">
        <f>IFERROR(BDP(V319&amp;" CORP","LAST_PRICE"),"--")</f>
        <v/>
      </c>
      <c r="X319" s="7">
        <f>IFERROR(BDP(E319&amp;" Corp","YAS_YLD_SPREAD","YAS_BOND_PX="&amp;U319,"YAS_BNCHMRK_BOND_PX="&amp;W319),"--")</f>
        <v/>
      </c>
      <c r="Y319" s="7">
        <f>IFERROR(BDP(E319&amp;" Corp","BLOOMBERG_MID_G_SPREAD","YAS_BOND_PX="&amp;U319,"YAS_BNCHMRK_BOND_PX="&amp;W319),"--")</f>
        <v/>
      </c>
      <c r="Z319" s="7">
        <f>IFERROR(BDP(D319,"LAST_PRICE"),"--")</f>
        <v/>
      </c>
      <c r="AA319" s="7">
        <f>IFERROR(Z319-Y319,"--")</f>
        <v/>
      </c>
      <c r="AB319" s="8">
        <f>IFERROR((AA319-R319)/(S319-R319)*100,"--")</f>
        <v/>
      </c>
    </row>
    <row r="320">
      <c r="A320" t="inlineStr">
        <is>
          <t>MMBFP</t>
        </is>
      </c>
      <c r="B320" t="inlineStr">
        <is>
          <t>XO</t>
        </is>
      </c>
      <c r="C320" t="inlineStr">
        <is>
          <t>MMBFP 4 3/4 06/12/30</t>
        </is>
      </c>
      <c r="D320" t="inlineStr">
        <is>
          <t>MMBFP CDS EUR SR 5Y D14 Corp</t>
        </is>
      </c>
      <c r="E320" t="inlineStr">
        <is>
          <t>FR001400YQA5</t>
        </is>
      </c>
      <c r="F320" s="2" t="n">
        <v>45814</v>
      </c>
      <c r="G320" s="2" t="n">
        <v>46225</v>
      </c>
      <c r="H320" s="2" t="n">
        <v>47654</v>
      </c>
      <c r="I320" s="3" t="n">
        <v>108.9598</v>
      </c>
      <c r="J320" s="3" t="n">
        <v>139.49</v>
      </c>
      <c r="K320" s="3" t="n">
        <v>150.196</v>
      </c>
      <c r="L320" s="3" t="n">
        <v>150.406</v>
      </c>
      <c r="M320" s="3" t="n">
        <v>-41.2362</v>
      </c>
      <c r="N320" s="3" t="n">
        <v>-112.7713</v>
      </c>
      <c r="O320" s="3" t="n">
        <v>-21.24509999999999</v>
      </c>
      <c r="P320" s="4" t="n">
        <v>78.15805747425327</v>
      </c>
      <c r="Q320" s="3" t="n">
        <v>-10.70599999999999</v>
      </c>
      <c r="R320" s="3" t="n">
        <v>-92.8647</v>
      </c>
      <c r="S320" s="3" t="n">
        <v>14.65349999999998</v>
      </c>
      <c r="T320" s="4" t="n">
        <v>76.41376064703466</v>
      </c>
      <c r="U320" s="5">
        <f>IFERROR(BDP(E320&amp;" Corp","LAST_PRICE"),"--")</f>
        <v/>
      </c>
      <c r="V320" s="6">
        <f>IFERROR(BDP(E320&amp;" Corp","YAS_BENCHMARK_BOND_ISIN"),"--")</f>
        <v/>
      </c>
      <c r="W320" s="5">
        <f>IFERROR(BDP(V320&amp;" CORP","LAST_PRICE"),"--")</f>
        <v/>
      </c>
      <c r="X320" s="7">
        <f>IFERROR(BDP(E320&amp;" Corp","YAS_YLD_SPREAD","YAS_BOND_PX="&amp;U320,"YAS_BNCHMRK_BOND_PX="&amp;W320),"--")</f>
        <v/>
      </c>
      <c r="Y320" s="7">
        <f>IFERROR(BDP(E320&amp;" Corp","BLOOMBERG_MID_G_SPREAD","YAS_BOND_PX="&amp;U320,"YAS_BNCHMRK_BOND_PX="&amp;W320),"--")</f>
        <v/>
      </c>
      <c r="Z320" s="7">
        <f>IFERROR(BDP(D320,"LAST_PRICE"),"--")</f>
        <v/>
      </c>
      <c r="AA320" s="7">
        <f>IFERROR(Z320-Y320,"--")</f>
        <v/>
      </c>
      <c r="AB320" s="8">
        <f>IFERROR((AA320-R320)/(S320-R320)*100,"--")</f>
        <v/>
      </c>
    </row>
    <row r="321">
      <c r="A321" t="inlineStr">
        <is>
          <t>NEXIIM</t>
        </is>
      </c>
      <c r="B321" t="inlineStr">
        <is>
          <t>XO</t>
        </is>
      </c>
      <c r="C321" t="inlineStr">
        <is>
          <t>NEXIIM 3 7/8 05/21/31</t>
        </is>
      </c>
      <c r="D321" t="inlineStr">
        <is>
          <t>NEXIIM CDS EUR SR 5Y D14 Corp</t>
        </is>
      </c>
      <c r="E321" t="inlineStr">
        <is>
          <t>XS3077018714</t>
        </is>
      </c>
      <c r="F321" s="2" t="n">
        <v>45792</v>
      </c>
      <c r="G321" s="2" t="n">
        <v>46225</v>
      </c>
      <c r="H321" s="2" t="n">
        <v>48019</v>
      </c>
      <c r="I321" s="3" t="n">
        <v>171.6695</v>
      </c>
      <c r="J321" s="3" t="n">
        <v>171.6695</v>
      </c>
      <c r="K321" s="3" t="n">
        <v>84.137</v>
      </c>
      <c r="L321" s="3" t="n">
        <v>85.761</v>
      </c>
      <c r="M321" s="3" t="n">
        <v>87.5325</v>
      </c>
      <c r="N321" s="3" t="n">
        <v>5.389499999999998</v>
      </c>
      <c r="O321" s="3" t="n">
        <v>144.1725</v>
      </c>
      <c r="P321" s="4" t="n">
        <v>59.18808499600095</v>
      </c>
      <c r="Q321" s="3" t="n">
        <v>87.5325</v>
      </c>
      <c r="R321" s="3" t="n">
        <v>5.389499999999998</v>
      </c>
      <c r="S321" s="3" t="n">
        <v>144.1725</v>
      </c>
      <c r="T321" s="4" t="n">
        <v>59.18808499600095</v>
      </c>
      <c r="U321" s="5">
        <f>IFERROR(BDP(E321&amp;" Corp","LAST_PRICE"),"--")</f>
        <v/>
      </c>
      <c r="V321" s="6">
        <f>IFERROR(BDP(E321&amp;" Corp","YAS_BENCHMARK_BOND_ISIN"),"--")</f>
        <v/>
      </c>
      <c r="W321" s="5">
        <f>IFERROR(BDP(V321&amp;" CORP","LAST_PRICE"),"--")</f>
        <v/>
      </c>
      <c r="X321" s="7">
        <f>IFERROR(BDP(E321&amp;" Corp","YAS_YLD_SPREAD","YAS_BOND_PX="&amp;U321,"YAS_BNCHMRK_BOND_PX="&amp;W321),"--")</f>
        <v/>
      </c>
      <c r="Y321" s="7">
        <f>IFERROR(BDP(E321&amp;" Corp","BLOOMBERG_MID_G_SPREAD","YAS_BOND_PX="&amp;U321,"YAS_BNCHMRK_BOND_PX="&amp;W321),"--")</f>
        <v/>
      </c>
      <c r="Z321" s="7">
        <f>IFERROR(BDP(D321,"LAST_PRICE"),"--")</f>
        <v/>
      </c>
      <c r="AA321" s="7">
        <f>IFERROR(Z321-Y321,"--")</f>
        <v/>
      </c>
      <c r="AB321" s="8">
        <f>IFERROR((AA321-R321)/(S321-R321)*100,"--")</f>
        <v/>
      </c>
    </row>
    <row r="322">
      <c r="A322" t="inlineStr">
        <is>
          <t>NOKIA</t>
        </is>
      </c>
      <c r="B322" t="inlineStr">
        <is>
          <t>XO</t>
        </is>
      </c>
      <c r="C322" t="inlineStr">
        <is>
          <t>NOKIA 4 3/8 08/21/31</t>
        </is>
      </c>
      <c r="D322" t="inlineStr">
        <is>
          <t>NOKIA CDS EUR SR 5Y D14 Corp</t>
        </is>
      </c>
      <c r="E322" t="inlineStr">
        <is>
          <t>XS2488809612</t>
        </is>
      </c>
      <c r="F322" s="2" t="n">
        <v>45659</v>
      </c>
      <c r="G322" s="2" t="n">
        <v>46225</v>
      </c>
      <c r="H322" s="2" t="n">
        <v>48202</v>
      </c>
      <c r="I322" s="3" t="n">
        <v>70.26819999999999</v>
      </c>
      <c r="J322" s="3" t="n">
        <v>60.5948</v>
      </c>
      <c r="K322" s="3" t="n">
        <v>80.315</v>
      </c>
      <c r="L322" s="3" t="n">
        <v>82.67400000000001</v>
      </c>
      <c r="M322" s="3" t="n">
        <v>-10.0468</v>
      </c>
      <c r="N322" s="3" t="n">
        <v>-51.441</v>
      </c>
      <c r="O322" s="3" t="n">
        <v>-2.497699999999995</v>
      </c>
      <c r="P322" s="4" t="n">
        <v>84.57582549603315</v>
      </c>
      <c r="Q322" s="3" t="n">
        <v>-19.7202</v>
      </c>
      <c r="R322" s="3" t="n">
        <v>-58.8733</v>
      </c>
      <c r="S322" s="3" t="n">
        <v>-9.945499999999996</v>
      </c>
      <c r="T322" s="4" t="n">
        <v>80.02219597038902</v>
      </c>
      <c r="U322" s="5">
        <f>IFERROR(BDP(E322&amp;" Corp","LAST_PRICE"),"--")</f>
        <v/>
      </c>
      <c r="V322" s="6">
        <f>IFERROR(BDP(E322&amp;" Corp","YAS_BENCHMARK_BOND_ISIN"),"--")</f>
        <v/>
      </c>
      <c r="W322" s="5">
        <f>IFERROR(BDP(V322&amp;" CORP","LAST_PRICE"),"--")</f>
        <v/>
      </c>
      <c r="X322" s="7">
        <f>IFERROR(BDP(E322&amp;" Corp","YAS_YLD_SPREAD","YAS_BOND_PX="&amp;U322,"YAS_BNCHMRK_BOND_PX="&amp;W322),"--")</f>
        <v/>
      </c>
      <c r="Y322" s="7">
        <f>IFERROR(BDP(E322&amp;" Corp","BLOOMBERG_MID_G_SPREAD","YAS_BOND_PX="&amp;U322,"YAS_BNCHMRK_BOND_PX="&amp;W322),"--")</f>
        <v/>
      </c>
      <c r="Z322" s="7">
        <f>IFERROR(BDP(D322,"LAST_PRICE"),"--")</f>
        <v/>
      </c>
      <c r="AA322" s="7">
        <f>IFERROR(Z322-Y322,"--")</f>
        <v/>
      </c>
      <c r="AB322" s="8">
        <f>IFERROR((AA322-R322)/(S322-R322)*100,"--")</f>
        <v/>
      </c>
    </row>
    <row r="323">
      <c r="A323" t="inlineStr">
        <is>
          <t>OI</t>
        </is>
      </c>
      <c r="B323" t="inlineStr">
        <is>
          <t>XO</t>
        </is>
      </c>
      <c r="C323" t="inlineStr">
        <is>
          <t>OI 4 3/4 02/15/30</t>
        </is>
      </c>
      <c r="D323" t="inlineStr">
        <is>
          <t>OI EURO CDS EUR SR 5Y D14 Corp</t>
        </is>
      </c>
      <c r="E323" t="inlineStr">
        <is>
          <t>USN6704RAK79</t>
        </is>
      </c>
      <c r="F323" s="2" t="n">
        <v>45659</v>
      </c>
      <c r="G323" s="2" t="n">
        <v>46225</v>
      </c>
      <c r="H323" s="2" t="n">
        <v>47654</v>
      </c>
      <c r="I323" s="3" t="n">
        <v>283.631</v>
      </c>
      <c r="J323" s="3" t="n">
        <v>328.2926</v>
      </c>
      <c r="K323" s="3" t="n">
        <v>240.74</v>
      </c>
      <c r="L323" s="3" t="n">
        <v>254.596</v>
      </c>
      <c r="M323" s="3" t="n">
        <v>42.89099999999996</v>
      </c>
      <c r="N323" s="3" t="n">
        <v>-16.2423</v>
      </c>
      <c r="O323" s="3" t="n">
        <v>142.1932</v>
      </c>
      <c r="P323" s="4" t="n">
        <v>37.32326404120285</v>
      </c>
      <c r="Q323" s="3" t="n">
        <v>87.55259999999998</v>
      </c>
      <c r="R323" s="3" t="n">
        <v>19.12279999999998</v>
      </c>
      <c r="S323" s="3" t="n">
        <v>200.0905</v>
      </c>
      <c r="T323" s="4" t="n">
        <v>37.81326722945585</v>
      </c>
      <c r="U323" s="5">
        <f>IFERROR(BDP(E323&amp;" Corp","LAST_PRICE"),"--")</f>
        <v/>
      </c>
      <c r="V323" s="6">
        <f>IFERROR(BDP(E323&amp;" Corp","YAS_BENCHMARK_BOND_ISIN"),"--")</f>
        <v/>
      </c>
      <c r="W323" s="5">
        <f>IFERROR(BDP(V323&amp;" CORP","LAST_PRICE"),"--")</f>
        <v/>
      </c>
      <c r="X323" s="7">
        <f>IFERROR(BDP(E323&amp;" Corp","YAS_YLD_SPREAD","YAS_BOND_PX="&amp;U323,"YAS_BNCHMRK_BOND_PX="&amp;W323),"--")</f>
        <v/>
      </c>
      <c r="Y323" s="7">
        <f>IFERROR(BDP(E323&amp;" Corp","BLOOMBERG_MID_G_SPREAD","YAS_BOND_PX="&amp;U323,"YAS_BNCHMRK_BOND_PX="&amp;W323),"--")</f>
        <v/>
      </c>
      <c r="Z323" s="7">
        <f>IFERROR(BDP(D323,"LAST_PRICE"),"--")</f>
        <v/>
      </c>
      <c r="AA323" s="7">
        <f>IFERROR(Z323-Y323,"--")</f>
        <v/>
      </c>
      <c r="AB323" s="8">
        <f>IFERROR((AA323-R323)/(S323-R323)*100,"--")</f>
        <v/>
      </c>
    </row>
    <row r="324">
      <c r="A324" t="inlineStr">
        <is>
          <t>OPALBD</t>
        </is>
      </c>
      <c r="B324" t="inlineStr">
        <is>
          <t>XO</t>
        </is>
      </c>
      <c r="C324" t="inlineStr">
        <is>
          <t>OPALBD 6 1/2 03/31/32</t>
        </is>
      </c>
      <c r="D324" t="inlineStr">
        <is>
          <t>CZ060818 Curncy</t>
        </is>
      </c>
      <c r="E324" t="inlineStr">
        <is>
          <t>USF6S35CAA17</t>
        </is>
      </c>
      <c r="F324" s="2" t="n">
        <v>46099</v>
      </c>
      <c r="G324" s="2" t="n">
        <v>46225</v>
      </c>
      <c r="H324" s="2" t="n">
        <v>48385</v>
      </c>
      <c r="I324" s="3" t="n">
        <v>224.0908</v>
      </c>
      <c r="J324" s="3" t="n">
        <v>211.4154</v>
      </c>
      <c r="K324" s="3" t="n">
        <v>180.126</v>
      </c>
      <c r="L324" s="3" t="n">
        <v>181.674</v>
      </c>
      <c r="M324" s="3" t="n">
        <v>43.9648</v>
      </c>
      <c r="N324" s="3" t="n">
        <v>9.726100000000002</v>
      </c>
      <c r="O324" s="3" t="n">
        <v>124.5405</v>
      </c>
      <c r="P324" s="4" t="n">
        <v>29.82091096587187</v>
      </c>
      <c r="Q324" s="3" t="n">
        <v>31.2894</v>
      </c>
      <c r="R324" s="3" t="n">
        <v>2.951899999999995</v>
      </c>
      <c r="S324" s="3" t="n">
        <v>114.3786</v>
      </c>
      <c r="T324" s="4" t="n">
        <v>25.431516862655</v>
      </c>
      <c r="U324" s="5">
        <f>IFERROR(BDP(E324&amp;" Corp","LAST_PRICE"),"--")</f>
        <v/>
      </c>
      <c r="V324" s="6">
        <f>IFERROR(BDP(E324&amp;" Corp","YAS_BENCHMARK_BOND_ISIN"),"--")</f>
        <v/>
      </c>
      <c r="W324" s="5">
        <f>IFERROR(BDP(V324&amp;" CORP","LAST_PRICE"),"--")</f>
        <v/>
      </c>
      <c r="X324" s="7">
        <f>IFERROR(BDP(E324&amp;" Corp","YAS_YLD_SPREAD","YAS_BOND_PX="&amp;U324,"YAS_BNCHMRK_BOND_PX="&amp;W324),"--")</f>
        <v/>
      </c>
      <c r="Y324" s="7">
        <f>IFERROR(BDP(E324&amp;" Corp","BLOOMBERG_MID_G_SPREAD","YAS_BOND_PX="&amp;U324,"YAS_BNCHMRK_BOND_PX="&amp;W324),"--")</f>
        <v/>
      </c>
      <c r="Z324" s="7">
        <f>IFERROR(BDP(D324,"LAST_PRICE"),"--")</f>
        <v/>
      </c>
      <c r="AA324" s="7">
        <f>IFERROR(Z324-Y324,"--")</f>
        <v/>
      </c>
      <c r="AB324" s="8">
        <f>IFERROR((AA324-R324)/(S324-R324)*100,"--")</f>
        <v/>
      </c>
    </row>
    <row r="325">
      <c r="A325" t="inlineStr">
        <is>
          <t>PFDLN</t>
        </is>
      </c>
      <c r="B325" t="inlineStr">
        <is>
          <t>XO</t>
        </is>
      </c>
      <c r="C325" t="inlineStr">
        <is>
          <t>PFDLN 3 1/2 10/15/26</t>
        </is>
      </c>
      <c r="D325" t="inlineStr">
        <is>
          <t>PFDLN CDS EUR SR 5Y D14 Corp</t>
        </is>
      </c>
      <c r="E325" t="inlineStr">
        <is>
          <t>XS2347091279</t>
        </is>
      </c>
      <c r="F325" s="2" t="n">
        <v>45659</v>
      </c>
      <c r="G325" s="2" t="n">
        <v>46225</v>
      </c>
      <c r="H325" s="2" t="n">
        <v>46376</v>
      </c>
      <c r="I325" s="3" t="n">
        <v>48.8567</v>
      </c>
      <c r="J325" s="3" t="n">
        <v>150.8755</v>
      </c>
      <c r="K325" s="3" t="n">
        <v>49.076</v>
      </c>
      <c r="L325" s="3" t="n">
        <v>125.2</v>
      </c>
      <c r="M325" s="3" t="n">
        <v>-0.219300000000004</v>
      </c>
      <c r="N325" s="3" t="n">
        <v>-84.41290000000001</v>
      </c>
      <c r="O325" s="3" t="n">
        <v>117.6351</v>
      </c>
      <c r="P325" s="4" t="n">
        <v>41.67009819448844</v>
      </c>
      <c r="Q325" s="3" t="n">
        <v>101.7995</v>
      </c>
      <c r="R325" s="3" t="n">
        <v>33.8185</v>
      </c>
      <c r="S325" s="3" t="n">
        <v>283.833</v>
      </c>
      <c r="T325" s="4" t="n">
        <v>27.19082293226993</v>
      </c>
      <c r="U325" s="5">
        <f>IFERROR(BDP(E325&amp;" Corp","LAST_PRICE"),"--")</f>
        <v/>
      </c>
      <c r="V325" s="6">
        <f>IFERROR(BDP(E325&amp;" Corp","YAS_BENCHMARK_BOND_ISIN"),"--")</f>
        <v/>
      </c>
      <c r="W325" s="5">
        <f>IFERROR(BDP(V325&amp;" CORP","LAST_PRICE"),"--")</f>
        <v/>
      </c>
      <c r="X325" s="7">
        <f>IFERROR(BDP(E325&amp;" Corp","YAS_YLD_SPREAD","YAS_BOND_PX="&amp;U325,"YAS_BNCHMRK_BOND_PX="&amp;W325),"--")</f>
        <v/>
      </c>
      <c r="Y325" s="7">
        <f>IFERROR(BDP(E325&amp;" Corp","BLOOMBERG_MID_G_SPREAD","YAS_BOND_PX="&amp;U325,"YAS_BNCHMRK_BOND_PX="&amp;W325),"--")</f>
        <v/>
      </c>
      <c r="Z325" s="7">
        <f>IFERROR(BDP(D325,"LAST_PRICE"),"--")</f>
        <v/>
      </c>
      <c r="AA325" s="7">
        <f>IFERROR(Z325-Y325,"--")</f>
        <v/>
      </c>
      <c r="AB325" s="8">
        <f>IFERROR((AA325-R325)/(S325-R325)*100,"--")</f>
        <v/>
      </c>
    </row>
    <row r="326">
      <c r="A326" t="inlineStr">
        <is>
          <t>PICSUR</t>
        </is>
      </c>
      <c r="B326" t="inlineStr">
        <is>
          <t>XO</t>
        </is>
      </c>
      <c r="C326" t="inlineStr">
        <is>
          <t>PICSUR 6 7/8 10/31/32</t>
        </is>
      </c>
      <c r="D326" t="inlineStr">
        <is>
          <t>PICSUR CDS EUR SR 5Y D14 Corp</t>
        </is>
      </c>
      <c r="E326" t="inlineStr">
        <is>
          <t>XS3222747266</t>
        </is>
      </c>
      <c r="F326" s="2" t="n">
        <v>45968</v>
      </c>
      <c r="G326" s="2" t="n">
        <v>46225</v>
      </c>
      <c r="H326" s="2" t="n">
        <v>48568</v>
      </c>
      <c r="I326" s="3" t="n">
        <v>171.2151</v>
      </c>
      <c r="J326" s="3" t="n">
        <v>118.6588</v>
      </c>
      <c r="K326" s="3" t="n">
        <v>353.934</v>
      </c>
      <c r="L326" s="3" t="n">
        <v>347.836</v>
      </c>
      <c r="M326" s="3" t="n">
        <v>-182.7189</v>
      </c>
      <c r="N326" s="3" t="n">
        <v>-316.8207</v>
      </c>
      <c r="O326" s="3" t="n">
        <v>-168.7636</v>
      </c>
      <c r="P326" s="4" t="n">
        <v>90.5743797494345</v>
      </c>
      <c r="Q326" s="3" t="n">
        <v>-235.2752</v>
      </c>
      <c r="R326" s="3" t="n">
        <v>-346.8264</v>
      </c>
      <c r="S326" s="3" t="n">
        <v>-228.408</v>
      </c>
      <c r="T326" s="4" t="n">
        <v>94.20090121129822</v>
      </c>
      <c r="U326" s="5">
        <f>IFERROR(BDP(E326&amp;" Corp","LAST_PRICE"),"--")</f>
        <v/>
      </c>
      <c r="V326" s="6">
        <f>IFERROR(BDP(E326&amp;" Corp","YAS_BENCHMARK_BOND_ISIN"),"--")</f>
        <v/>
      </c>
      <c r="W326" s="5">
        <f>IFERROR(BDP(V326&amp;" CORP","LAST_PRICE"),"--")</f>
        <v/>
      </c>
      <c r="X326" s="7">
        <f>IFERROR(BDP(E326&amp;" Corp","YAS_YLD_SPREAD","YAS_BOND_PX="&amp;U326,"YAS_BNCHMRK_BOND_PX="&amp;W326),"--")</f>
        <v/>
      </c>
      <c r="Y326" s="7">
        <f>IFERROR(BDP(E326&amp;" Corp","BLOOMBERG_MID_G_SPREAD","YAS_BOND_PX="&amp;U326,"YAS_BNCHMRK_BOND_PX="&amp;W326),"--")</f>
        <v/>
      </c>
      <c r="Z326" s="7">
        <f>IFERROR(BDP(D326,"LAST_PRICE"),"--")</f>
        <v/>
      </c>
      <c r="AA326" s="7">
        <f>IFERROR(Z326-Y326,"--")</f>
        <v/>
      </c>
      <c r="AB326" s="8">
        <f>IFERROR((AA326-R326)/(S326-R326)*100,"--")</f>
        <v/>
      </c>
    </row>
    <row r="327">
      <c r="A327" t="inlineStr">
        <is>
          <t>PPCGA</t>
        </is>
      </c>
      <c r="B327" t="inlineStr">
        <is>
          <t>XO</t>
        </is>
      </c>
      <c r="C327" t="inlineStr">
        <is>
          <t>PPCGA 4 5/8 10/31/31</t>
        </is>
      </c>
      <c r="D327" t="inlineStr">
        <is>
          <t>PPCGA A CDS EUR SR 5Y D14 Corp</t>
        </is>
      </c>
      <c r="E327" t="inlineStr">
        <is>
          <t>XS2929387996</t>
        </is>
      </c>
      <c r="F327" s="2" t="n">
        <v>45733</v>
      </c>
      <c r="G327" s="2" t="n">
        <v>46225</v>
      </c>
      <c r="H327" s="2" t="n">
        <v>48202</v>
      </c>
      <c r="I327" s="3" t="n">
        <v>188.7287</v>
      </c>
      <c r="J327" s="3" t="n">
        <v>175.1617</v>
      </c>
      <c r="K327" s="3" t="n">
        <v>138.584</v>
      </c>
      <c r="L327" s="3" t="n">
        <v>129.826</v>
      </c>
      <c r="M327" s="3" t="n">
        <v>50.1447</v>
      </c>
      <c r="N327" s="3" t="n">
        <v>-33.25720000000001</v>
      </c>
      <c r="O327" s="3" t="n">
        <v>105.5306</v>
      </c>
      <c r="P327" s="4" t="n">
        <v>60.09310616639215</v>
      </c>
      <c r="Q327" s="3" t="n">
        <v>36.57769999999999</v>
      </c>
      <c r="R327" s="3" t="n">
        <v>-36.83130000000003</v>
      </c>
      <c r="S327" s="3" t="n">
        <v>93.75550000000001</v>
      </c>
      <c r="T327" s="4" t="n">
        <v>56.21471695454671</v>
      </c>
      <c r="U327" s="5">
        <f>IFERROR(BDP(E327&amp;" Corp","LAST_PRICE"),"--")</f>
        <v/>
      </c>
      <c r="V327" s="6">
        <f>IFERROR(BDP(E327&amp;" Corp","YAS_BENCHMARK_BOND_ISIN"),"--")</f>
        <v/>
      </c>
      <c r="W327" s="5">
        <f>IFERROR(BDP(V327&amp;" CORP","LAST_PRICE"),"--")</f>
        <v/>
      </c>
      <c r="X327" s="7">
        <f>IFERROR(BDP(E327&amp;" Corp","YAS_YLD_SPREAD","YAS_BOND_PX="&amp;U327,"YAS_BNCHMRK_BOND_PX="&amp;W327),"--")</f>
        <v/>
      </c>
      <c r="Y327" s="7">
        <f>IFERROR(BDP(E327&amp;" Corp","BLOOMBERG_MID_G_SPREAD","YAS_BOND_PX="&amp;U327,"YAS_BNCHMRK_BOND_PX="&amp;W327),"--")</f>
        <v/>
      </c>
      <c r="Z327" s="7">
        <f>IFERROR(BDP(D327,"LAST_PRICE"),"--")</f>
        <v/>
      </c>
      <c r="AA327" s="7">
        <f>IFERROR(Z327-Y327,"--")</f>
        <v/>
      </c>
      <c r="AB327" s="8">
        <f>IFERROR((AA327-R327)/(S327-R327)*100,"--")</f>
        <v/>
      </c>
    </row>
    <row r="328">
      <c r="A328" t="inlineStr">
        <is>
          <t>QPARKH</t>
        </is>
      </c>
      <c r="B328" t="inlineStr">
        <is>
          <t>XO</t>
        </is>
      </c>
      <c r="C328" t="inlineStr">
        <is>
          <t>QPARKH 3 7/8 09/01/31</t>
        </is>
      </c>
      <c r="D328" t="inlineStr">
        <is>
          <t>QPARKH CDS EUR SR 5Y D14 Corp</t>
        </is>
      </c>
      <c r="E328" t="inlineStr">
        <is>
          <t>XS3262575320</t>
        </is>
      </c>
      <c r="F328" s="2" t="n">
        <v>46037</v>
      </c>
      <c r="G328" s="2" t="n">
        <v>46225</v>
      </c>
      <c r="H328" s="2" t="n">
        <v>48202</v>
      </c>
      <c r="I328" s="3" t="n">
        <v>157.3366</v>
      </c>
      <c r="J328" s="3" t="n">
        <v>148.5326</v>
      </c>
      <c r="K328" s="3" t="n">
        <v>128.228</v>
      </c>
      <c r="L328" s="3" t="n">
        <v>129.698</v>
      </c>
      <c r="M328" s="3" t="n">
        <v>29.1086</v>
      </c>
      <c r="N328" s="3" t="n">
        <v>3.013900000000007</v>
      </c>
      <c r="O328" s="3" t="n">
        <v>58.1465</v>
      </c>
      <c r="P328" s="4" t="n">
        <v>47.33079883771125</v>
      </c>
      <c r="Q328" s="3" t="n">
        <v>20.30459999999999</v>
      </c>
      <c r="R328" s="3" t="n">
        <v>-6.985900000000015</v>
      </c>
      <c r="S328" s="3" t="n">
        <v>43.46380000000002</v>
      </c>
      <c r="T328" s="4" t="n">
        <v>54.09447429816231</v>
      </c>
      <c r="U328" s="5">
        <f>IFERROR(BDP(E328&amp;" Corp","LAST_PRICE"),"--")</f>
        <v/>
      </c>
      <c r="V328" s="6">
        <f>IFERROR(BDP(E328&amp;" Corp","YAS_BENCHMARK_BOND_ISIN"),"--")</f>
        <v/>
      </c>
      <c r="W328" s="5">
        <f>IFERROR(BDP(V328&amp;" CORP","LAST_PRICE"),"--")</f>
        <v/>
      </c>
      <c r="X328" s="7">
        <f>IFERROR(BDP(E328&amp;" Corp","YAS_YLD_SPREAD","YAS_BOND_PX="&amp;U328,"YAS_BNCHMRK_BOND_PX="&amp;W328),"--")</f>
        <v/>
      </c>
      <c r="Y328" s="7">
        <f>IFERROR(BDP(E328&amp;" Corp","BLOOMBERG_MID_G_SPREAD","YAS_BOND_PX="&amp;U328,"YAS_BNCHMRK_BOND_PX="&amp;W328),"--")</f>
        <v/>
      </c>
      <c r="Z328" s="7">
        <f>IFERROR(BDP(D328,"LAST_PRICE"),"--")</f>
        <v/>
      </c>
      <c r="AA328" s="7">
        <f>IFERROR(Z328-Y328,"--")</f>
        <v/>
      </c>
      <c r="AB328" s="8">
        <f>IFERROR((AA328-R328)/(S328-R328)*100,"--")</f>
        <v/>
      </c>
    </row>
    <row r="329">
      <c r="A329" t="inlineStr">
        <is>
          <t>RENAUL</t>
        </is>
      </c>
      <c r="B329" t="inlineStr">
        <is>
          <t>XO</t>
        </is>
      </c>
      <c r="C329" t="inlineStr">
        <is>
          <t>RENAUL 3 7/8 09/30/30</t>
        </is>
      </c>
      <c r="D329" t="inlineStr">
        <is>
          <t>RENAULT CDS EUR SR 5Y D14 Corp</t>
        </is>
      </c>
      <c r="E329" t="inlineStr">
        <is>
          <t>FR0014010DR1</t>
        </is>
      </c>
      <c r="F329" s="2" t="n">
        <v>45924</v>
      </c>
      <c r="G329" s="2" t="n">
        <v>46225</v>
      </c>
      <c r="H329" s="2" t="n">
        <v>47837</v>
      </c>
      <c r="I329" s="3" t="n">
        <v>106.6331</v>
      </c>
      <c r="J329" s="3" t="n">
        <v>120.6968</v>
      </c>
      <c r="K329" s="3" t="n">
        <v>116.688</v>
      </c>
      <c r="L329" s="3" t="n">
        <v>120.433</v>
      </c>
      <c r="M329" s="3" t="n">
        <v>-10.0549</v>
      </c>
      <c r="N329" s="3" t="n">
        <v>-56.66590000000001</v>
      </c>
      <c r="O329" s="3" t="n">
        <v>-5.207999999999998</v>
      </c>
      <c r="P329" s="4" t="n">
        <v>90.5808437577126</v>
      </c>
      <c r="Q329" s="3" t="n">
        <v>4.008799999999994</v>
      </c>
      <c r="R329" s="3" t="n">
        <v>-41.3887</v>
      </c>
      <c r="S329" s="3" t="n">
        <v>12.37050000000001</v>
      </c>
      <c r="T329" s="4" t="n">
        <v>84.44601110135565</v>
      </c>
      <c r="U329" s="5">
        <f>IFERROR(BDP(E329&amp;" Corp","LAST_PRICE"),"--")</f>
        <v/>
      </c>
      <c r="V329" s="6">
        <f>IFERROR(BDP(E329&amp;" Corp","YAS_BENCHMARK_BOND_ISIN"),"--")</f>
        <v/>
      </c>
      <c r="W329" s="5">
        <f>IFERROR(BDP(V329&amp;" CORP","LAST_PRICE"),"--")</f>
        <v/>
      </c>
      <c r="X329" s="7">
        <f>IFERROR(BDP(E329&amp;" Corp","YAS_YLD_SPREAD","YAS_BOND_PX="&amp;U329,"YAS_BNCHMRK_BOND_PX="&amp;W329),"--")</f>
        <v/>
      </c>
      <c r="Y329" s="7">
        <f>IFERROR(BDP(E329&amp;" Corp","BLOOMBERG_MID_G_SPREAD","YAS_BOND_PX="&amp;U329,"YAS_BNCHMRK_BOND_PX="&amp;W329),"--")</f>
        <v/>
      </c>
      <c r="Z329" s="7">
        <f>IFERROR(BDP(D329,"LAST_PRICE"),"--")</f>
        <v/>
      </c>
      <c r="AA329" s="7">
        <f>IFERROR(Z329-Y329,"--")</f>
        <v/>
      </c>
      <c r="AB329" s="8">
        <f>IFERROR((AA329-R329)/(S329-R329)*100,"--")</f>
        <v/>
      </c>
    </row>
    <row r="330">
      <c r="A330" t="inlineStr">
        <is>
          <t>RXLFP</t>
        </is>
      </c>
      <c r="B330" t="inlineStr">
        <is>
          <t>XO</t>
        </is>
      </c>
      <c r="C330" t="inlineStr">
        <is>
          <t>RXLFP 5 1/4 09/15/30</t>
        </is>
      </c>
      <c r="D330" t="inlineStr">
        <is>
          <t>RXLFP CDS EUR SR 5Y D14 Corp</t>
        </is>
      </c>
      <c r="E330" t="inlineStr">
        <is>
          <t>XS2655993033</t>
        </is>
      </c>
      <c r="F330" s="2" t="n">
        <v>45659</v>
      </c>
      <c r="G330" s="2" t="n">
        <v>46225</v>
      </c>
      <c r="H330" s="2" t="n">
        <v>47837</v>
      </c>
      <c r="I330" s="3" t="n">
        <v>93.16589999999999</v>
      </c>
      <c r="J330" s="3" t="n">
        <v>105.5292</v>
      </c>
      <c r="K330" s="3" t="n">
        <v>103.958</v>
      </c>
      <c r="L330" s="3" t="n">
        <v>-21.048</v>
      </c>
      <c r="M330" s="3" t="n">
        <v>-10.7921</v>
      </c>
      <c r="N330" s="3" t="n">
        <v>-85.53770000000002</v>
      </c>
      <c r="O330" s="3" t="n">
        <v>87.7089</v>
      </c>
      <c r="P330" s="4" t="n">
        <v>43.14405015740569</v>
      </c>
      <c r="Q330" s="3" t="n">
        <v>1.571200000000005</v>
      </c>
      <c r="R330" s="3" t="n">
        <v>-69.54750000000001</v>
      </c>
      <c r="S330" s="3" t="n">
        <v>100.218</v>
      </c>
      <c r="T330" s="4" t="n">
        <v>41.89231616553423</v>
      </c>
      <c r="U330" s="5">
        <f>IFERROR(BDP(E330&amp;" Corp","LAST_PRICE"),"--")</f>
        <v/>
      </c>
      <c r="V330" s="6">
        <f>IFERROR(BDP(E330&amp;" Corp","YAS_BENCHMARK_BOND_ISIN"),"--")</f>
        <v/>
      </c>
      <c r="W330" s="5">
        <f>IFERROR(BDP(V330&amp;" CORP","LAST_PRICE"),"--")</f>
        <v/>
      </c>
      <c r="X330" s="7">
        <f>IFERROR(BDP(E330&amp;" Corp","YAS_YLD_SPREAD","YAS_BOND_PX="&amp;U330,"YAS_BNCHMRK_BOND_PX="&amp;W330),"--")</f>
        <v/>
      </c>
      <c r="Y330" s="7">
        <f>IFERROR(BDP(E330&amp;" Corp","BLOOMBERG_MID_G_SPREAD","YAS_BOND_PX="&amp;U330,"YAS_BNCHMRK_BOND_PX="&amp;W330),"--")</f>
        <v/>
      </c>
      <c r="Z330" s="7">
        <f>IFERROR(BDP(D330,"LAST_PRICE"),"--")</f>
        <v/>
      </c>
      <c r="AA330" s="7">
        <f>IFERROR(Z330-Y330,"--")</f>
        <v/>
      </c>
      <c r="AB330" s="8">
        <f>IFERROR((AA330-R330)/(S330-R330)*100,"--")</f>
        <v/>
      </c>
    </row>
    <row r="331">
      <c r="A331" t="inlineStr">
        <is>
          <t>SAZGR</t>
        </is>
      </c>
      <c r="B331" t="inlineStr">
        <is>
          <t>XO</t>
        </is>
      </c>
      <c r="C331" t="inlineStr">
        <is>
          <t>SAZGR 5 5/8 02/21/30</t>
        </is>
      </c>
      <c r="D331" t="inlineStr">
        <is>
          <t>SAZGR CDS EUR SR 5Y D14 Corp</t>
        </is>
      </c>
      <c r="E331" t="inlineStr">
        <is>
          <t>XS2920589699</t>
        </is>
      </c>
      <c r="F331" s="2" t="n">
        <v>45659</v>
      </c>
      <c r="G331" s="2" t="n">
        <v>46225</v>
      </c>
      <c r="H331" s="2" t="n">
        <v>47654</v>
      </c>
      <c r="I331" s="3" t="n">
        <v>238.3708</v>
      </c>
      <c r="J331" s="3" t="n">
        <v>275.6667</v>
      </c>
      <c r="K331" s="3" t="n">
        <v>221.206</v>
      </c>
      <c r="L331" s="3" t="n">
        <v>227.263</v>
      </c>
      <c r="M331" s="3" t="n">
        <v>17.16480000000001</v>
      </c>
      <c r="N331" s="3" t="n">
        <v>-96.0634</v>
      </c>
      <c r="O331" s="3" t="n">
        <v>207.5984</v>
      </c>
      <c r="P331" s="4" t="n">
        <v>37.28760087702833</v>
      </c>
      <c r="Q331" s="3" t="n">
        <v>54.4607</v>
      </c>
      <c r="R331" s="3" t="n">
        <v>-82.5641</v>
      </c>
      <c r="S331" s="3" t="n">
        <v>232.4505</v>
      </c>
      <c r="T331" s="4" t="n">
        <v>43.49792041384749</v>
      </c>
      <c r="U331" s="5">
        <f>IFERROR(BDP(E331&amp;" Corp","LAST_PRICE"),"--")</f>
        <v/>
      </c>
      <c r="V331" s="6">
        <f>IFERROR(BDP(E331&amp;" Corp","YAS_BENCHMARK_BOND_ISIN"),"--")</f>
        <v/>
      </c>
      <c r="W331" s="5">
        <f>IFERROR(BDP(V331&amp;" CORP","LAST_PRICE"),"--")</f>
        <v/>
      </c>
      <c r="X331" s="7">
        <f>IFERROR(BDP(E331&amp;" Corp","YAS_YLD_SPREAD","YAS_BOND_PX="&amp;U331,"YAS_BNCHMRK_BOND_PX="&amp;W331),"--")</f>
        <v/>
      </c>
      <c r="Y331" s="7">
        <f>IFERROR(BDP(E331&amp;" Corp","BLOOMBERG_MID_G_SPREAD","YAS_BOND_PX="&amp;U331,"YAS_BNCHMRK_BOND_PX="&amp;W331),"--")</f>
        <v/>
      </c>
      <c r="Z331" s="7">
        <f>IFERROR(BDP(D331,"LAST_PRICE"),"--")</f>
        <v/>
      </c>
      <c r="AA331" s="7">
        <f>IFERROR(Z331-Y331,"--")</f>
        <v/>
      </c>
      <c r="AB331" s="8">
        <f>IFERROR((AA331-R331)/(S331-R331)*100,"--")</f>
        <v/>
      </c>
    </row>
    <row r="332">
      <c r="A332" t="inlineStr">
        <is>
          <t>SAZKAG</t>
        </is>
      </c>
      <c r="B332" t="inlineStr">
        <is>
          <t>XO</t>
        </is>
      </c>
      <c r="C332" t="inlineStr">
        <is>
          <t>SAZKAG 4 5/8 08/15/31</t>
        </is>
      </c>
      <c r="D332" t="inlineStr">
        <is>
          <t>SAZKAG CDS EUR SR 5Y D14 Corp</t>
        </is>
      </c>
      <c r="E332" t="inlineStr">
        <is>
          <t>XS3291732918</t>
        </is>
      </c>
      <c r="F332" s="2" t="n">
        <v>46069</v>
      </c>
      <c r="G332" s="2" t="n">
        <v>46225</v>
      </c>
      <c r="H332" s="2" t="n">
        <v>48202</v>
      </c>
      <c r="I332" s="3" t="n">
        <v>212.2558</v>
      </c>
      <c r="J332" s="3" t="n">
        <v>181.0836</v>
      </c>
      <c r="K332" s="3" t="n">
        <v>182.726</v>
      </c>
      <c r="L332" s="3" t="n">
        <v>185.353</v>
      </c>
      <c r="M332" s="3" t="n">
        <v>29.52979999999999</v>
      </c>
      <c r="N332" s="3" t="n">
        <v>4.543200000000013</v>
      </c>
      <c r="O332" s="3" t="n">
        <v>113.2685</v>
      </c>
      <c r="P332" s="4" t="n">
        <v>22.98140359235614</v>
      </c>
      <c r="Q332" s="3" t="n">
        <v>-1.642400000000009</v>
      </c>
      <c r="R332" s="3" t="n">
        <v>-20.89600000000002</v>
      </c>
      <c r="S332" s="3" t="n">
        <v>73.2867</v>
      </c>
      <c r="T332" s="4" t="n">
        <v>20.44282017822806</v>
      </c>
      <c r="U332" s="5">
        <f>IFERROR(BDP(E332&amp;" Corp","LAST_PRICE"),"--")</f>
        <v/>
      </c>
      <c r="V332" s="6">
        <f>IFERROR(BDP(E332&amp;" Corp","YAS_BENCHMARK_BOND_ISIN"),"--")</f>
        <v/>
      </c>
      <c r="W332" s="5">
        <f>IFERROR(BDP(V332&amp;" CORP","LAST_PRICE"),"--")</f>
        <v/>
      </c>
      <c r="X332" s="7">
        <f>IFERROR(BDP(E332&amp;" Corp","YAS_YLD_SPREAD","YAS_BOND_PX="&amp;U332,"YAS_BNCHMRK_BOND_PX="&amp;W332),"--")</f>
        <v/>
      </c>
      <c r="Y332" s="7">
        <f>IFERROR(BDP(E332&amp;" Corp","BLOOMBERG_MID_G_SPREAD","YAS_BOND_PX="&amp;U332,"YAS_BNCHMRK_BOND_PX="&amp;W332),"--")</f>
        <v/>
      </c>
      <c r="Z332" s="7">
        <f>IFERROR(BDP(D332,"LAST_PRICE"),"--")</f>
        <v/>
      </c>
      <c r="AA332" s="7">
        <f>IFERROR(Z332-Y332,"--")</f>
        <v/>
      </c>
      <c r="AB332" s="8">
        <f>IFERROR((AA332-R332)/(S332-R332)*100,"--")</f>
        <v/>
      </c>
    </row>
    <row r="333">
      <c r="A333" t="inlineStr">
        <is>
          <t>SBBBSS</t>
        </is>
      </c>
      <c r="B333" t="inlineStr">
        <is>
          <t>XO</t>
        </is>
      </c>
      <c r="C333" t="inlineStr">
        <is>
          <t>SBBBSS 1 1/8 09/26/29</t>
        </is>
      </c>
      <c r="D333" t="inlineStr">
        <is>
          <t>SBBBSS CDS EUR SR 5Y D14 Corp</t>
        </is>
      </c>
      <c r="E333" t="inlineStr">
        <is>
          <t>XS2962827072</t>
        </is>
      </c>
      <c r="F333" s="2" t="n">
        <v>45659</v>
      </c>
      <c r="G333" s="2" t="n">
        <v>46225</v>
      </c>
      <c r="H333" s="2" t="n">
        <v>47472</v>
      </c>
      <c r="I333" s="3" t="n">
        <v>448.0214</v>
      </c>
      <c r="J333" s="3" t="n">
        <v>500.2029</v>
      </c>
      <c r="K333" s="3" t="n">
        <v>368.461</v>
      </c>
      <c r="L333" s="3" t="n">
        <v>372.143</v>
      </c>
      <c r="M333" s="3" t="n">
        <v>79.56040000000002</v>
      </c>
      <c r="N333" s="3" t="n">
        <v>-8.593999999999994</v>
      </c>
      <c r="O333" s="3" t="n">
        <v>590.3462</v>
      </c>
      <c r="P333" s="4" t="n">
        <v>14.71839759628758</v>
      </c>
      <c r="Q333" s="3" t="n">
        <v>131.7419</v>
      </c>
      <c r="R333" s="3" t="n">
        <v>19.42790000000002</v>
      </c>
      <c r="S333" s="3" t="n">
        <v>540.3595</v>
      </c>
      <c r="T333" s="4" t="n">
        <v>21.56022019013628</v>
      </c>
      <c r="U333" s="5">
        <f>IFERROR(BDP(E333&amp;" Corp","LAST_PRICE"),"--")</f>
        <v/>
      </c>
      <c r="V333" s="6">
        <f>IFERROR(BDP(E333&amp;" Corp","YAS_BENCHMARK_BOND_ISIN"),"--")</f>
        <v/>
      </c>
      <c r="W333" s="5">
        <f>IFERROR(BDP(V333&amp;" CORP","LAST_PRICE"),"--")</f>
        <v/>
      </c>
      <c r="X333" s="7">
        <f>IFERROR(BDP(E333&amp;" Corp","YAS_YLD_SPREAD","YAS_BOND_PX="&amp;U333,"YAS_BNCHMRK_BOND_PX="&amp;W333),"--")</f>
        <v/>
      </c>
      <c r="Y333" s="7">
        <f>IFERROR(BDP(E333&amp;" Corp","BLOOMBERG_MID_G_SPREAD","YAS_BOND_PX="&amp;U333,"YAS_BNCHMRK_BOND_PX="&amp;W333),"--")</f>
        <v/>
      </c>
      <c r="Z333" s="7">
        <f>IFERROR(BDP(D333,"LAST_PRICE"),"--")</f>
        <v/>
      </c>
      <c r="AA333" s="7">
        <f>IFERROR(Z333-Y333,"--")</f>
        <v/>
      </c>
      <c r="AB333" s="8">
        <f>IFERROR((AA333-R333)/(S333-R333)*100,"--")</f>
        <v/>
      </c>
    </row>
    <row r="334">
      <c r="A334" t="inlineStr">
        <is>
          <t>SESGFP</t>
        </is>
      </c>
      <c r="B334" t="inlineStr">
        <is>
          <t>XO</t>
        </is>
      </c>
      <c r="C334" t="inlineStr">
        <is>
          <t>SESGFP 4 7/8 06/24/33</t>
        </is>
      </c>
      <c r="D334" t="inlineStr">
        <is>
          <t>SESGFP CDS EUR SR 5Y D14 Corp</t>
        </is>
      </c>
      <c r="E334" t="inlineStr">
        <is>
          <t>XS3100773996</t>
        </is>
      </c>
      <c r="F334" s="2" t="n">
        <v>45827</v>
      </c>
      <c r="G334" s="2" t="n">
        <v>46225</v>
      </c>
      <c r="H334" s="2" t="n">
        <v>48933</v>
      </c>
      <c r="I334" s="3" t="n">
        <v>254.1097</v>
      </c>
      <c r="J334" s="3" t="n">
        <v>173.6741</v>
      </c>
      <c r="K334" s="3" t="n">
        <v>187.084</v>
      </c>
      <c r="L334" s="3" t="n">
        <v>184.38</v>
      </c>
      <c r="M334" s="3" t="n">
        <v>67.0257</v>
      </c>
      <c r="N334" s="3" t="n">
        <v>46.3844</v>
      </c>
      <c r="O334" s="3" t="n">
        <v>116.5509</v>
      </c>
      <c r="P334" s="4" t="n">
        <v>29.41759956674481</v>
      </c>
      <c r="Q334" s="3" t="n">
        <v>-13.40989999999999</v>
      </c>
      <c r="R334" s="3" t="n">
        <v>-34.25819999999999</v>
      </c>
      <c r="S334" s="3" t="n">
        <v>66.68919999999997</v>
      </c>
      <c r="T334" s="4" t="n">
        <v>20.65263691784038</v>
      </c>
      <c r="U334" s="5">
        <f>IFERROR(BDP(E334&amp;" Corp","LAST_PRICE"),"--")</f>
        <v/>
      </c>
      <c r="V334" s="6">
        <f>IFERROR(BDP(E334&amp;" Corp","YAS_BENCHMARK_BOND_ISIN"),"--")</f>
        <v/>
      </c>
      <c r="W334" s="5">
        <f>IFERROR(BDP(V334&amp;" CORP","LAST_PRICE"),"--")</f>
        <v/>
      </c>
      <c r="X334" s="7">
        <f>IFERROR(BDP(E334&amp;" Corp","YAS_YLD_SPREAD","YAS_BOND_PX="&amp;U334,"YAS_BNCHMRK_BOND_PX="&amp;W334),"--")</f>
        <v/>
      </c>
      <c r="Y334" s="7">
        <f>IFERROR(BDP(E334&amp;" Corp","BLOOMBERG_MID_G_SPREAD","YAS_BOND_PX="&amp;U334,"YAS_BNCHMRK_BOND_PX="&amp;W334),"--")</f>
        <v/>
      </c>
      <c r="Z334" s="7">
        <f>IFERROR(BDP(D334,"LAST_PRICE"),"--")</f>
        <v/>
      </c>
      <c r="AA334" s="7">
        <f>IFERROR(Z334-Y334,"--")</f>
        <v/>
      </c>
      <c r="AB334" s="8">
        <f>IFERROR((AA334-R334)/(S334-R334)*100,"--")</f>
        <v/>
      </c>
    </row>
    <row r="335">
      <c r="A335" t="inlineStr">
        <is>
          <t>SHAEFF</t>
        </is>
      </c>
      <c r="B335" t="inlineStr">
        <is>
          <t>XO</t>
        </is>
      </c>
      <c r="C335" t="inlineStr">
        <is>
          <t>SHAEFF 5 3/8 04/01/31</t>
        </is>
      </c>
      <c r="D335" t="inlineStr">
        <is>
          <t>SCHAAG CDS EUR SR 5Y D14 Corp</t>
        </is>
      </c>
      <c r="E335" t="inlineStr">
        <is>
          <t>DE000A4DFLQ6</t>
        </is>
      </c>
      <c r="F335" s="2" t="n">
        <v>45743</v>
      </c>
      <c r="G335" s="2" t="n">
        <v>46225</v>
      </c>
      <c r="H335" s="2" t="n">
        <v>48019</v>
      </c>
      <c r="I335" s="3" t="n">
        <v>159.1779</v>
      </c>
      <c r="J335" s="3" t="n">
        <v>159.1779</v>
      </c>
      <c r="K335" s="3" t="n">
        <v>143.732</v>
      </c>
      <c r="L335" s="3" t="n">
        <v>149.997</v>
      </c>
      <c r="M335" s="3" t="n">
        <v>15.44589999999999</v>
      </c>
      <c r="N335" s="3" t="n">
        <v>-29.3742</v>
      </c>
      <c r="O335" s="3" t="n">
        <v>57.06200000000001</v>
      </c>
      <c r="P335" s="4" t="n">
        <v>51.85339013052401</v>
      </c>
      <c r="Q335" s="3" t="n">
        <v>15.44589999999999</v>
      </c>
      <c r="R335" s="3" t="n">
        <v>-29.3742</v>
      </c>
      <c r="S335" s="3" t="n">
        <v>57.06200000000001</v>
      </c>
      <c r="T335" s="4" t="n">
        <v>51.85339013052401</v>
      </c>
      <c r="U335" s="5">
        <f>IFERROR(BDP(E335&amp;" Corp","LAST_PRICE"),"--")</f>
        <v/>
      </c>
      <c r="V335" s="6">
        <f>IFERROR(BDP(E335&amp;" Corp","YAS_BENCHMARK_BOND_ISIN"),"--")</f>
        <v/>
      </c>
      <c r="W335" s="5">
        <f>IFERROR(BDP(V335&amp;" CORP","LAST_PRICE"),"--")</f>
        <v/>
      </c>
      <c r="X335" s="7">
        <f>IFERROR(BDP(E335&amp;" Corp","YAS_YLD_SPREAD","YAS_BOND_PX="&amp;U335,"YAS_BNCHMRK_BOND_PX="&amp;W335),"--")</f>
        <v/>
      </c>
      <c r="Y335" s="7">
        <f>IFERROR(BDP(E335&amp;" Corp","BLOOMBERG_MID_G_SPREAD","YAS_BOND_PX="&amp;U335,"YAS_BNCHMRK_BOND_PX="&amp;W335),"--")</f>
        <v/>
      </c>
      <c r="Z335" s="7">
        <f>IFERROR(BDP(D335,"LAST_PRICE"),"--")</f>
        <v/>
      </c>
      <c r="AA335" s="7">
        <f>IFERROR(Z335-Y335,"--")</f>
        <v/>
      </c>
      <c r="AB335" s="8">
        <f>IFERROR((AA335-R335)/(S335-R335)*100,"--")</f>
        <v/>
      </c>
    </row>
    <row r="336">
      <c r="A336" t="inlineStr">
        <is>
          <t>SPMIM</t>
        </is>
      </c>
      <c r="B336" t="inlineStr">
        <is>
          <t>XO</t>
        </is>
      </c>
      <c r="C336" t="inlineStr">
        <is>
          <t>SPMIM 4 7/8 05/30/30</t>
        </is>
      </c>
      <c r="D336" t="inlineStr">
        <is>
          <t>SPMIM CDS EUR SR 5Y D14 Corp</t>
        </is>
      </c>
      <c r="E336" t="inlineStr">
        <is>
          <t>XS2826718087</t>
        </is>
      </c>
      <c r="F336" s="2" t="n">
        <v>45659</v>
      </c>
      <c r="G336" s="2" t="n">
        <v>46225</v>
      </c>
      <c r="H336" s="2" t="n">
        <v>47654</v>
      </c>
      <c r="I336" s="3" t="n">
        <v>76.1914</v>
      </c>
      <c r="J336" s="3" t="n">
        <v>94.1683</v>
      </c>
      <c r="K336" s="3" t="n">
        <v>74.23</v>
      </c>
      <c r="L336" s="3" t="n">
        <v>83.34</v>
      </c>
      <c r="M336" s="3" t="n">
        <v>1.961399999999998</v>
      </c>
      <c r="N336" s="3" t="n">
        <v>-36.6893</v>
      </c>
      <c r="O336" s="3" t="n">
        <v>43.8291</v>
      </c>
      <c r="P336" s="4" t="n">
        <v>48.00231996661633</v>
      </c>
      <c r="Q336" s="3" t="n">
        <v>19.9383</v>
      </c>
      <c r="R336" s="3" t="n">
        <v>-17.61520000000002</v>
      </c>
      <c r="S336" s="3" t="n">
        <v>64.12699999999998</v>
      </c>
      <c r="T336" s="4" t="n">
        <v>45.9413864564448</v>
      </c>
      <c r="U336" s="5">
        <f>IFERROR(BDP(E336&amp;" Corp","LAST_PRICE"),"--")</f>
        <v/>
      </c>
      <c r="V336" s="6">
        <f>IFERROR(BDP(E336&amp;" Corp","YAS_BENCHMARK_BOND_ISIN"),"--")</f>
        <v/>
      </c>
      <c r="W336" s="5">
        <f>IFERROR(BDP(V336&amp;" CORP","LAST_PRICE"),"--")</f>
        <v/>
      </c>
      <c r="X336" s="7">
        <f>IFERROR(BDP(E336&amp;" Corp","YAS_YLD_SPREAD","YAS_BOND_PX="&amp;U336,"YAS_BNCHMRK_BOND_PX="&amp;W336),"--")</f>
        <v/>
      </c>
      <c r="Y336" s="7">
        <f>IFERROR(BDP(E336&amp;" Corp","BLOOMBERG_MID_G_SPREAD","YAS_BOND_PX="&amp;U336,"YAS_BNCHMRK_BOND_PX="&amp;W336),"--")</f>
        <v/>
      </c>
      <c r="Z336" s="7">
        <f>IFERROR(BDP(D336,"LAST_PRICE"),"--")</f>
        <v/>
      </c>
      <c r="AA336" s="7">
        <f>IFERROR(Z336-Y336,"--")</f>
        <v/>
      </c>
      <c r="AB336" s="8">
        <f>IFERROR((AA336-R336)/(S336-R336)*100,"--")</f>
        <v/>
      </c>
    </row>
    <row r="337">
      <c r="A337" t="inlineStr">
        <is>
          <t>STENA</t>
        </is>
      </c>
      <c r="B337" t="inlineStr">
        <is>
          <t>XO</t>
        </is>
      </c>
      <c r="C337" t="inlineStr">
        <is>
          <t>STENA 7 1/4 01/15/31</t>
        </is>
      </c>
      <c r="D337" t="inlineStr">
        <is>
          <t>STENA CDS EUR SR 5Y D14 Corp</t>
        </is>
      </c>
      <c r="E337" t="inlineStr">
        <is>
          <t>USL62788AE12</t>
        </is>
      </c>
      <c r="F337" s="2" t="n">
        <v>45659</v>
      </c>
      <c r="G337" s="2" t="n">
        <v>46225</v>
      </c>
      <c r="H337" s="2" t="n">
        <v>48019</v>
      </c>
      <c r="I337" s="3" t="n">
        <v>192.6116</v>
      </c>
      <c r="J337" s="3" t="n">
        <v>192.6116</v>
      </c>
      <c r="K337" s="3" t="n">
        <v>187.883</v>
      </c>
      <c r="L337" s="3" t="n">
        <v>200.871</v>
      </c>
      <c r="M337" s="3" t="n">
        <v>4.7286</v>
      </c>
      <c r="N337" s="3" t="n">
        <v>-69.24189999999999</v>
      </c>
      <c r="O337" s="3" t="n">
        <v>41.14010000000002</v>
      </c>
      <c r="P337" s="4" t="n">
        <v>67.01319055643128</v>
      </c>
      <c r="Q337" s="3" t="n">
        <v>4.7286</v>
      </c>
      <c r="R337" s="3" t="n">
        <v>-69.24189999999999</v>
      </c>
      <c r="S337" s="3" t="n">
        <v>41.14010000000002</v>
      </c>
      <c r="T337" s="4" t="n">
        <v>67.01319055643128</v>
      </c>
      <c r="U337" s="5">
        <f>IFERROR(BDP(E337&amp;" Corp","LAST_PRICE"),"--")</f>
        <v/>
      </c>
      <c r="V337" s="6">
        <f>IFERROR(BDP(E337&amp;" Corp","YAS_BENCHMARK_BOND_ISIN"),"--")</f>
        <v/>
      </c>
      <c r="W337" s="5">
        <f>IFERROR(BDP(V337&amp;" CORP","LAST_PRICE"),"--")</f>
        <v/>
      </c>
      <c r="X337" s="7">
        <f>IFERROR(BDP(E337&amp;" Corp","YAS_YLD_SPREAD","YAS_BOND_PX="&amp;U337,"YAS_BNCHMRK_BOND_PX="&amp;W337),"--")</f>
        <v/>
      </c>
      <c r="Y337" s="7">
        <f>IFERROR(BDP(E337&amp;" Corp","BLOOMBERG_MID_G_SPREAD","YAS_BOND_PX="&amp;U337,"YAS_BNCHMRK_BOND_PX="&amp;W337),"--")</f>
        <v/>
      </c>
      <c r="Z337" s="7">
        <f>IFERROR(BDP(D337,"LAST_PRICE"),"--")</f>
        <v/>
      </c>
      <c r="AA337" s="7">
        <f>IFERROR(Z337-Y337,"--")</f>
        <v/>
      </c>
      <c r="AB337" s="8">
        <f>IFERROR((AA337-R337)/(S337-R337)*100,"--")</f>
        <v/>
      </c>
    </row>
    <row r="338">
      <c r="A338" t="inlineStr">
        <is>
          <t>STLA</t>
        </is>
      </c>
      <c r="B338" t="inlineStr">
        <is>
          <t>XO</t>
        </is>
      </c>
      <c r="C338" t="inlineStr">
        <is>
          <t>STLA 3 7/8 06/06/31</t>
        </is>
      </c>
      <c r="D338" t="inlineStr">
        <is>
          <t>FCA IM CDS EUR SR 5Y D14 Corp</t>
        </is>
      </c>
      <c r="E338" t="inlineStr">
        <is>
          <t>XS3090081897</t>
        </is>
      </c>
      <c r="F338" s="2" t="n">
        <v>45813</v>
      </c>
      <c r="G338" s="2" t="n">
        <v>46225</v>
      </c>
      <c r="H338" s="2" t="n">
        <v>48019</v>
      </c>
      <c r="I338" s="3" t="n">
        <v>177.8911</v>
      </c>
      <c r="J338" s="3" t="n">
        <v>177.8911</v>
      </c>
      <c r="K338" s="3" t="n">
        <v>164.016</v>
      </c>
      <c r="L338" s="3" t="n">
        <v>167.386</v>
      </c>
      <c r="M338" s="3" t="n">
        <v>13.8751</v>
      </c>
      <c r="N338" s="3" t="n">
        <v>-4.216000000000008</v>
      </c>
      <c r="O338" s="3" t="n">
        <v>54.15559999999999</v>
      </c>
      <c r="P338" s="4" t="n">
        <v>30.99298288893916</v>
      </c>
      <c r="Q338" s="3" t="n">
        <v>13.8751</v>
      </c>
      <c r="R338" s="3" t="n">
        <v>-4.216000000000008</v>
      </c>
      <c r="S338" s="3" t="n">
        <v>54.15559999999999</v>
      </c>
      <c r="T338" s="4" t="n">
        <v>30.99298288893916</v>
      </c>
      <c r="U338" s="5">
        <f>IFERROR(BDP(E338&amp;" Corp","LAST_PRICE"),"--")</f>
        <v/>
      </c>
      <c r="V338" s="6">
        <f>IFERROR(BDP(E338&amp;" Corp","YAS_BENCHMARK_BOND_ISIN"),"--")</f>
        <v/>
      </c>
      <c r="W338" s="5">
        <f>IFERROR(BDP(V338&amp;" CORP","LAST_PRICE"),"--")</f>
        <v/>
      </c>
      <c r="X338" s="7">
        <f>IFERROR(BDP(E338&amp;" Corp","YAS_YLD_SPREAD","YAS_BOND_PX="&amp;U338,"YAS_BNCHMRK_BOND_PX="&amp;W338),"--")</f>
        <v/>
      </c>
      <c r="Y338" s="7">
        <f>IFERROR(BDP(E338&amp;" Corp","BLOOMBERG_MID_G_SPREAD","YAS_BOND_PX="&amp;U338,"YAS_BNCHMRK_BOND_PX="&amp;W338),"--")</f>
        <v/>
      </c>
      <c r="Z338" s="7">
        <f>IFERROR(BDP(D338,"LAST_PRICE"),"--")</f>
        <v/>
      </c>
      <c r="AA338" s="7">
        <f>IFERROR(Z338-Y338,"--")</f>
        <v/>
      </c>
      <c r="AB338" s="8">
        <f>IFERROR((AA338-R338)/(S338-R338)*100,"--")</f>
        <v/>
      </c>
    </row>
    <row r="339">
      <c r="A339" t="inlineStr">
        <is>
          <t>STYRO</t>
        </is>
      </c>
      <c r="B339" t="inlineStr">
        <is>
          <t>XO</t>
        </is>
      </c>
      <c r="C339" t="inlineStr">
        <is>
          <t>STYRO 6 3/4 04/15/30</t>
        </is>
      </c>
      <c r="D339" t="inlineStr">
        <is>
          <t>STYRO CDS EUR SR 5Y D14 Corp</t>
        </is>
      </c>
      <c r="E339" t="inlineStr">
        <is>
          <t>XS2915461458</t>
        </is>
      </c>
      <c r="F339" s="2" t="n">
        <v>45659</v>
      </c>
      <c r="G339" s="2" t="n">
        <v>46225</v>
      </c>
      <c r="H339" s="2" t="n">
        <v>47654</v>
      </c>
      <c r="I339" s="3" t="n">
        <v>1029.8775</v>
      </c>
      <c r="J339" s="3" t="n">
        <v>1080.0604</v>
      </c>
      <c r="K339" s="3" t="n">
        <v>910.679</v>
      </c>
      <c r="L339" s="3" t="n">
        <v>891.496</v>
      </c>
      <c r="M339" s="3" t="n">
        <v>119.1985000000001</v>
      </c>
      <c r="N339" s="3" t="n">
        <v>-176.3761999999999</v>
      </c>
      <c r="O339" s="3" t="n">
        <v>267.3371</v>
      </c>
      <c r="P339" s="4" t="n">
        <v>66.61389234895597</v>
      </c>
      <c r="Q339" s="3" t="n">
        <v>169.3814000000001</v>
      </c>
      <c r="R339" s="3" t="n">
        <v>-128.6564999999998</v>
      </c>
      <c r="S339" s="3" t="n">
        <v>321.0396000000001</v>
      </c>
      <c r="T339" s="4" t="n">
        <v>66.27540243288746</v>
      </c>
      <c r="U339" s="5">
        <f>IFERROR(BDP(E339&amp;" Corp","LAST_PRICE"),"--")</f>
        <v/>
      </c>
      <c r="V339" s="6">
        <f>IFERROR(BDP(E339&amp;" Corp","YAS_BENCHMARK_BOND_ISIN"),"--")</f>
        <v/>
      </c>
      <c r="W339" s="5">
        <f>IFERROR(BDP(V339&amp;" CORP","LAST_PRICE"),"--")</f>
        <v/>
      </c>
      <c r="X339" s="7">
        <f>IFERROR(BDP(E339&amp;" Corp","YAS_YLD_SPREAD","YAS_BOND_PX="&amp;U339,"YAS_BNCHMRK_BOND_PX="&amp;W339),"--")</f>
        <v/>
      </c>
      <c r="Y339" s="7">
        <f>IFERROR(BDP(E339&amp;" Corp","BLOOMBERG_MID_G_SPREAD","YAS_BOND_PX="&amp;U339,"YAS_BNCHMRK_BOND_PX="&amp;W339),"--")</f>
        <v/>
      </c>
      <c r="Z339" s="7">
        <f>IFERROR(BDP(D339,"LAST_PRICE"),"--")</f>
        <v/>
      </c>
      <c r="AA339" s="7">
        <f>IFERROR(Z339-Y339,"--")</f>
        <v/>
      </c>
      <c r="AB339" s="8">
        <f>IFERROR((AA339-R339)/(S339-R339)*100,"--")</f>
        <v/>
      </c>
    </row>
    <row r="340">
      <c r="A340" t="inlineStr">
        <is>
          <t>SUNN</t>
        </is>
      </c>
      <c r="B340" t="inlineStr">
        <is>
          <t>XO</t>
        </is>
      </c>
      <c r="C340" t="inlineStr">
        <is>
          <t>SUNN 4 7/8 07/15/31</t>
        </is>
      </c>
      <c r="D340" t="inlineStr">
        <is>
          <t>SUNN CDS EUR SR 5Y D14 Corp</t>
        </is>
      </c>
      <c r="E340" t="inlineStr">
        <is>
          <t>USN9042BAA90</t>
        </is>
      </c>
      <c r="F340" s="2" t="n">
        <v>45659</v>
      </c>
      <c r="G340" s="2" t="n">
        <v>46225</v>
      </c>
      <c r="H340" s="2" t="n">
        <v>48202</v>
      </c>
      <c r="I340" s="3" t="n">
        <v>191.7568</v>
      </c>
      <c r="J340" s="3" t="n">
        <v>175.2243</v>
      </c>
      <c r="K340" s="3" t="n">
        <v>187.238</v>
      </c>
      <c r="L340" s="3" t="n">
        <v>191.803</v>
      </c>
      <c r="M340" s="3" t="n">
        <v>4.518799999999999</v>
      </c>
      <c r="N340" s="3" t="n">
        <v>-137.5657</v>
      </c>
      <c r="O340" s="3" t="n">
        <v>88.3766</v>
      </c>
      <c r="P340" s="4" t="n">
        <v>62.88530301762884</v>
      </c>
      <c r="Q340" s="3" t="n">
        <v>-12.0137</v>
      </c>
      <c r="R340" s="3" t="n">
        <v>-143.0478</v>
      </c>
      <c r="S340" s="3" t="n">
        <v>79.2543</v>
      </c>
      <c r="T340" s="4" t="n">
        <v>58.94415752257851</v>
      </c>
      <c r="U340" s="5">
        <f>IFERROR(BDP(E340&amp;" Corp","LAST_PRICE"),"--")</f>
        <v/>
      </c>
      <c r="V340" s="6">
        <f>IFERROR(BDP(E340&amp;" Corp","YAS_BENCHMARK_BOND_ISIN"),"--")</f>
        <v/>
      </c>
      <c r="W340" s="5">
        <f>IFERROR(BDP(V340&amp;" CORP","LAST_PRICE"),"--")</f>
        <v/>
      </c>
      <c r="X340" s="7">
        <f>IFERROR(BDP(E340&amp;" Corp","YAS_YLD_SPREAD","YAS_BOND_PX="&amp;U340,"YAS_BNCHMRK_BOND_PX="&amp;W340),"--")</f>
        <v/>
      </c>
      <c r="Y340" s="7">
        <f>IFERROR(BDP(E340&amp;" Corp","BLOOMBERG_MID_G_SPREAD","YAS_BOND_PX="&amp;U340,"YAS_BNCHMRK_BOND_PX="&amp;W340),"--")</f>
        <v/>
      </c>
      <c r="Z340" s="7">
        <f>IFERROR(BDP(D340,"LAST_PRICE"),"--")</f>
        <v/>
      </c>
      <c r="AA340" s="7">
        <f>IFERROR(Z340-Y340,"--")</f>
        <v/>
      </c>
      <c r="AB340" s="8">
        <f>IFERROR((AA340-R340)/(S340-R340)*100,"--")</f>
        <v/>
      </c>
    </row>
    <row r="341">
      <c r="A341" t="inlineStr">
        <is>
          <t>SZUGR</t>
        </is>
      </c>
      <c r="B341" t="inlineStr">
        <is>
          <t>XO</t>
        </is>
      </c>
      <c r="C341" t="inlineStr">
        <is>
          <t>SZUGR 4 1/8 01/29/32</t>
        </is>
      </c>
      <c r="D341" t="inlineStr">
        <is>
          <t>SZUGR CDS EUR SR 5Y D14 Corp</t>
        </is>
      </c>
      <c r="E341" t="inlineStr">
        <is>
          <t>XS2970728205</t>
        </is>
      </c>
      <c r="F341" s="2" t="n">
        <v>45681</v>
      </c>
      <c r="G341" s="2" t="n">
        <v>46225</v>
      </c>
      <c r="H341" s="2" t="n">
        <v>48385</v>
      </c>
      <c r="I341" s="3" t="n">
        <v>184.2526</v>
      </c>
      <c r="J341" s="3" t="n">
        <v>157.5063</v>
      </c>
      <c r="K341" s="3" t="n">
        <v>122.507</v>
      </c>
      <c r="L341" s="3" t="n">
        <v>123.67</v>
      </c>
      <c r="M341" s="3" t="n">
        <v>61.7456</v>
      </c>
      <c r="N341" s="3" t="n">
        <v>-49.07150000000001</v>
      </c>
      <c r="O341" s="3" t="n">
        <v>84.98</v>
      </c>
      <c r="P341" s="4" t="n">
        <v>82.66755687179926</v>
      </c>
      <c r="Q341" s="3" t="n">
        <v>34.99930000000001</v>
      </c>
      <c r="R341" s="3" t="n">
        <v>-61.06860000000002</v>
      </c>
      <c r="S341" s="3" t="n">
        <v>64.59769999999999</v>
      </c>
      <c r="T341" s="4" t="n">
        <v>76.44682782894063</v>
      </c>
      <c r="U341" s="5">
        <f>IFERROR(BDP(E341&amp;" Corp","LAST_PRICE"),"--")</f>
        <v/>
      </c>
      <c r="V341" s="6">
        <f>IFERROR(BDP(E341&amp;" Corp","YAS_BENCHMARK_BOND_ISIN"),"--")</f>
        <v/>
      </c>
      <c r="W341" s="5">
        <f>IFERROR(BDP(V341&amp;" CORP","LAST_PRICE"),"--")</f>
        <v/>
      </c>
      <c r="X341" s="7">
        <f>IFERROR(BDP(E341&amp;" Corp","YAS_YLD_SPREAD","YAS_BOND_PX="&amp;U341,"YAS_BNCHMRK_BOND_PX="&amp;W341),"--")</f>
        <v/>
      </c>
      <c r="Y341" s="7">
        <f>IFERROR(BDP(E341&amp;" Corp","BLOOMBERG_MID_G_SPREAD","YAS_BOND_PX="&amp;U341,"YAS_BNCHMRK_BOND_PX="&amp;W341),"--")</f>
        <v/>
      </c>
      <c r="Z341" s="7">
        <f>IFERROR(BDP(D341,"LAST_PRICE"),"--")</f>
        <v/>
      </c>
      <c r="AA341" s="7">
        <f>IFERROR(Z341-Y341,"--")</f>
        <v/>
      </c>
      <c r="AB341" s="8">
        <f>IFERROR((AA341-R341)/(S341-R341)*100,"--")</f>
        <v/>
      </c>
    </row>
    <row r="342">
      <c r="A342" t="inlineStr">
        <is>
          <t>TITANL</t>
        </is>
      </c>
      <c r="B342" t="inlineStr">
        <is>
          <t>XO</t>
        </is>
      </c>
      <c r="C342" t="inlineStr">
        <is>
          <t>TITANL 5 07/01/31</t>
        </is>
      </c>
      <c r="D342" t="inlineStr">
        <is>
          <t>CZ028589 Curncy</t>
        </is>
      </c>
      <c r="E342" t="inlineStr">
        <is>
          <t>XS3101363011</t>
        </is>
      </c>
      <c r="F342" s="2" t="n">
        <v>45828</v>
      </c>
      <c r="G342" s="2" t="n">
        <v>46225</v>
      </c>
      <c r="H342" s="2" t="n">
        <v>48202</v>
      </c>
      <c r="I342" s="3" t="n">
        <v>418.0319</v>
      </c>
      <c r="J342" s="3" t="n">
        <v>405.639</v>
      </c>
      <c r="K342" s="3" t="n">
        <v>327.395</v>
      </c>
      <c r="L342" s="3" t="n">
        <v>326.532</v>
      </c>
      <c r="M342" s="3" t="n">
        <v>90.63690000000003</v>
      </c>
      <c r="N342" s="3" t="n">
        <v>-71.37520000000004</v>
      </c>
      <c r="O342" s="3" t="n">
        <v>222.3226</v>
      </c>
      <c r="P342" s="4" t="n">
        <v>55.16285787636136</v>
      </c>
      <c r="Q342" s="3" t="n">
        <v>78.24400000000003</v>
      </c>
      <c r="R342" s="3" t="n">
        <v>-79.61360000000002</v>
      </c>
      <c r="S342" s="3" t="n">
        <v>196.9526</v>
      </c>
      <c r="T342" s="4" t="n">
        <v>57.07769062163056</v>
      </c>
      <c r="U342" s="5">
        <f>IFERROR(BDP(E342&amp;" Corp","LAST_PRICE"),"--")</f>
        <v/>
      </c>
      <c r="V342" s="6">
        <f>IFERROR(BDP(E342&amp;" Corp","YAS_BENCHMARK_BOND_ISIN"),"--")</f>
        <v/>
      </c>
      <c r="W342" s="5">
        <f>IFERROR(BDP(V342&amp;" CORP","LAST_PRICE"),"--")</f>
        <v/>
      </c>
      <c r="X342" s="7">
        <f>IFERROR(BDP(E342&amp;" Corp","YAS_YLD_SPREAD","YAS_BOND_PX="&amp;U342,"YAS_BNCHMRK_BOND_PX="&amp;W342),"--")</f>
        <v/>
      </c>
      <c r="Y342" s="7">
        <f>IFERROR(BDP(E342&amp;" Corp","BLOOMBERG_MID_G_SPREAD","YAS_BOND_PX="&amp;U342,"YAS_BNCHMRK_BOND_PX="&amp;W342),"--")</f>
        <v/>
      </c>
      <c r="Z342" s="7">
        <f>IFERROR(BDP(D342,"LAST_PRICE"),"--")</f>
        <v/>
      </c>
      <c r="AA342" s="7">
        <f>IFERROR(Z342-Y342,"--")</f>
        <v/>
      </c>
      <c r="AB342" s="8">
        <f>IFERROR((AA342-R342)/(S342-R342)*100,"--")</f>
        <v/>
      </c>
    </row>
    <row r="343">
      <c r="A343" t="inlineStr">
        <is>
          <t>TITIM</t>
        </is>
      </c>
      <c r="B343" t="inlineStr">
        <is>
          <t>XO</t>
        </is>
      </c>
      <c r="C343" t="inlineStr">
        <is>
          <t>TITIM 3 5/8 09/30/30</t>
        </is>
      </c>
      <c r="D343" t="inlineStr">
        <is>
          <t>TITIM CDS EUR SR 5Y D14 Corp</t>
        </is>
      </c>
      <c r="E343" t="inlineStr">
        <is>
          <t>XS3194057553</t>
        </is>
      </c>
      <c r="F343" s="2" t="n">
        <v>45925</v>
      </c>
      <c r="G343" s="2" t="n">
        <v>46225</v>
      </c>
      <c r="H343" s="2" t="n">
        <v>47837</v>
      </c>
      <c r="I343" s="3" t="n">
        <v>57.576</v>
      </c>
      <c r="J343" s="3" t="n">
        <v>63.921</v>
      </c>
      <c r="K343" s="3" t="n">
        <v>64.328</v>
      </c>
      <c r="L343" s="3" t="n">
        <v>63.17</v>
      </c>
      <c r="M343" s="3" t="n">
        <v>-6.752000000000002</v>
      </c>
      <c r="N343" s="3" t="n">
        <v>-35.4806</v>
      </c>
      <c r="O343" s="3" t="n">
        <v>8.646799999999999</v>
      </c>
      <c r="P343" s="4" t="n">
        <v>65.10376772708113</v>
      </c>
      <c r="Q343" s="3" t="n">
        <v>-0.4070000000000036</v>
      </c>
      <c r="R343" s="3" t="n">
        <v>-25.8848</v>
      </c>
      <c r="S343" s="3" t="n">
        <v>21.70449999999998</v>
      </c>
      <c r="T343" s="4" t="n">
        <v>53.53682445423657</v>
      </c>
      <c r="U343" s="5">
        <f>IFERROR(BDP(E343&amp;" Corp","LAST_PRICE"),"--")</f>
        <v/>
      </c>
      <c r="V343" s="6">
        <f>IFERROR(BDP(E343&amp;" Corp","YAS_BENCHMARK_BOND_ISIN"),"--")</f>
        <v/>
      </c>
      <c r="W343" s="5">
        <f>IFERROR(BDP(V343&amp;" CORP","LAST_PRICE"),"--")</f>
        <v/>
      </c>
      <c r="X343" s="7">
        <f>IFERROR(BDP(E343&amp;" Corp","YAS_YLD_SPREAD","YAS_BOND_PX="&amp;U343,"YAS_BNCHMRK_BOND_PX="&amp;W343),"--")</f>
        <v/>
      </c>
      <c r="Y343" s="7">
        <f>IFERROR(BDP(E343&amp;" Corp","BLOOMBERG_MID_G_SPREAD","YAS_BOND_PX="&amp;U343,"YAS_BNCHMRK_BOND_PX="&amp;W343),"--")</f>
        <v/>
      </c>
      <c r="Z343" s="7">
        <f>IFERROR(BDP(D343,"LAST_PRICE"),"--")</f>
        <v/>
      </c>
      <c r="AA343" s="7">
        <f>IFERROR(Z343-Y343,"--")</f>
        <v/>
      </c>
      <c r="AB343" s="8">
        <f>IFERROR((AA343-R343)/(S343-R343)*100,"--")</f>
        <v/>
      </c>
    </row>
    <row r="344">
      <c r="A344" t="inlineStr">
        <is>
          <t>TTMTIN</t>
        </is>
      </c>
      <c r="B344" t="inlineStr">
        <is>
          <t>XO</t>
        </is>
      </c>
      <c r="C344" t="inlineStr">
        <is>
          <t>TTMTIN 5 1/2 07/15/29</t>
        </is>
      </c>
      <c r="D344" t="inlineStr">
        <is>
          <t>JAGLN CDS EUR SR 5Y D14 Corp</t>
        </is>
      </c>
      <c r="E344" t="inlineStr">
        <is>
          <t>US47010BAM63</t>
        </is>
      </c>
      <c r="F344" s="2" t="n">
        <v>45659</v>
      </c>
      <c r="G344" s="2" t="n">
        <v>46225</v>
      </c>
      <c r="H344" s="2" t="n">
        <v>47472</v>
      </c>
      <c r="I344" s="3" t="n">
        <v>202.8327</v>
      </c>
      <c r="J344" s="3" t="n">
        <v>285.7139</v>
      </c>
      <c r="K344" s="3" t="n">
        <v>144.209</v>
      </c>
      <c r="L344" s="3" t="n">
        <v>142.819</v>
      </c>
      <c r="M344" s="3" t="n">
        <v>58.62369999999999</v>
      </c>
      <c r="N344" s="3" t="n">
        <v>-63.09980000000002</v>
      </c>
      <c r="O344" s="3" t="n">
        <v>86.6641</v>
      </c>
      <c r="P344" s="4" t="n">
        <v>81.27692988764313</v>
      </c>
      <c r="Q344" s="3" t="n">
        <v>141.5049</v>
      </c>
      <c r="R344" s="3" t="n">
        <v>-9.521000000000015</v>
      </c>
      <c r="S344" s="3" t="n">
        <v>152.5278</v>
      </c>
      <c r="T344" s="4" t="n">
        <v>93.19778980159063</v>
      </c>
      <c r="U344" s="5">
        <f>IFERROR(BDP(E344&amp;" Corp","LAST_PRICE"),"--")</f>
        <v/>
      </c>
      <c r="V344" s="6">
        <f>IFERROR(BDP(E344&amp;" Corp","YAS_BENCHMARK_BOND_ISIN"),"--")</f>
        <v/>
      </c>
      <c r="W344" s="5">
        <f>IFERROR(BDP(V344&amp;" CORP","LAST_PRICE"),"--")</f>
        <v/>
      </c>
      <c r="X344" s="7">
        <f>IFERROR(BDP(E344&amp;" Corp","YAS_YLD_SPREAD","YAS_BOND_PX="&amp;U344,"YAS_BNCHMRK_BOND_PX="&amp;W344),"--")</f>
        <v/>
      </c>
      <c r="Y344" s="7">
        <f>IFERROR(BDP(E344&amp;" Corp","BLOOMBERG_MID_G_SPREAD","YAS_BOND_PX="&amp;U344,"YAS_BNCHMRK_BOND_PX="&amp;W344),"--")</f>
        <v/>
      </c>
      <c r="Z344" s="7">
        <f>IFERROR(BDP(D344,"LAST_PRICE"),"--")</f>
        <v/>
      </c>
      <c r="AA344" s="7">
        <f>IFERROR(Z344-Y344,"--")</f>
        <v/>
      </c>
      <c r="AB344" s="8">
        <f>IFERROR((AA344-R344)/(S344-R344)*100,"--")</f>
        <v/>
      </c>
    </row>
    <row r="345">
      <c r="A345" t="inlineStr">
        <is>
          <t>TUICRU</t>
        </is>
      </c>
      <c r="B345" t="inlineStr">
        <is>
          <t>XO</t>
        </is>
      </c>
      <c r="C345" t="inlineStr">
        <is>
          <t>TUICRU 5 05/15/30</t>
        </is>
      </c>
      <c r="D345" t="inlineStr">
        <is>
          <t>TUICRU CDS EUR SR 5Y D14 Corp</t>
        </is>
      </c>
      <c r="E345" t="inlineStr">
        <is>
          <t>XS2941359288</t>
        </is>
      </c>
      <c r="F345" s="2" t="n">
        <v>46044</v>
      </c>
      <c r="G345" s="2" t="n">
        <v>46225</v>
      </c>
      <c r="H345" s="2" t="n">
        <v>47654</v>
      </c>
      <c r="I345" s="3" t="n">
        <v>230.6778</v>
      </c>
      <c r="J345" s="3" t="n">
        <v>283.5603</v>
      </c>
      <c r="K345" s="3" t="n">
        <v>162.486</v>
      </c>
      <c r="L345" s="3" t="n">
        <v>169.188</v>
      </c>
      <c r="M345" s="3" t="n">
        <v>68.1918</v>
      </c>
      <c r="N345" s="3" t="n">
        <v>5.053200000000004</v>
      </c>
      <c r="O345" s="3" t="n">
        <v>87.09550000000002</v>
      </c>
      <c r="P345" s="4" t="n">
        <v>76.9585933110115</v>
      </c>
      <c r="Q345" s="3" t="n">
        <v>121.0743</v>
      </c>
      <c r="R345" s="3" t="n">
        <v>53.73839999999998</v>
      </c>
      <c r="S345" s="3" t="n">
        <v>153.995</v>
      </c>
      <c r="T345" s="4" t="n">
        <v>67.16355830937813</v>
      </c>
      <c r="U345" s="5">
        <f>IFERROR(BDP(E345&amp;" Corp","LAST_PRICE"),"--")</f>
        <v/>
      </c>
      <c r="V345" s="6">
        <f>IFERROR(BDP(E345&amp;" Corp","YAS_BENCHMARK_BOND_ISIN"),"--")</f>
        <v/>
      </c>
      <c r="W345" s="5">
        <f>IFERROR(BDP(V345&amp;" CORP","LAST_PRICE"),"--")</f>
        <v/>
      </c>
      <c r="X345" s="7">
        <f>IFERROR(BDP(E345&amp;" Corp","YAS_YLD_SPREAD","YAS_BOND_PX="&amp;U345,"YAS_BNCHMRK_BOND_PX="&amp;W345),"--")</f>
        <v/>
      </c>
      <c r="Y345" s="7">
        <f>IFERROR(BDP(E345&amp;" Corp","BLOOMBERG_MID_G_SPREAD","YAS_BOND_PX="&amp;U345,"YAS_BNCHMRK_BOND_PX="&amp;W345),"--")</f>
        <v/>
      </c>
      <c r="Z345" s="7">
        <f>IFERROR(BDP(D345,"LAST_PRICE"),"--")</f>
        <v/>
      </c>
      <c r="AA345" s="7">
        <f>IFERROR(Z345-Y345,"--")</f>
        <v/>
      </c>
      <c r="AB345" s="8">
        <f>IFERROR((AA345-R345)/(S345-R345)*100,"--")</f>
        <v/>
      </c>
    </row>
    <row r="346">
      <c r="A346" t="inlineStr">
        <is>
          <t>TUIGR</t>
        </is>
      </c>
      <c r="B346" t="inlineStr">
        <is>
          <t>XO</t>
        </is>
      </c>
      <c r="C346" t="inlineStr">
        <is>
          <t>TUIGR 5 7/8 03/15/29</t>
        </is>
      </c>
      <c r="D346" t="inlineStr">
        <is>
          <t>TUIGR CDS EUR SR 5Y D14 Corp</t>
        </is>
      </c>
      <c r="E346" t="inlineStr">
        <is>
          <t>XS2776523669</t>
        </is>
      </c>
      <c r="F346" s="2" t="n">
        <v>45659</v>
      </c>
      <c r="G346" s="2" t="n">
        <v>46225</v>
      </c>
      <c r="H346" s="2" t="n">
        <v>47289</v>
      </c>
      <c r="I346" s="3" t="n">
        <v>153.3808</v>
      </c>
      <c r="J346" s="3" t="n">
        <v>257.7659</v>
      </c>
      <c r="K346" s="3" t="n">
        <v>125.03</v>
      </c>
      <c r="L346" s="3" t="n">
        <v>130.868</v>
      </c>
      <c r="M346" s="3" t="n">
        <v>28.35079999999999</v>
      </c>
      <c r="N346" s="3" t="n">
        <v>-111.5546</v>
      </c>
      <c r="O346" s="3" t="n">
        <v>391.0994</v>
      </c>
      <c r="P346" s="4" t="n">
        <v>27.83334062794685</v>
      </c>
      <c r="Q346" s="3" t="n">
        <v>132.7359</v>
      </c>
      <c r="R346" s="3" t="n">
        <v>-8.25079999999997</v>
      </c>
      <c r="S346" s="3" t="n">
        <v>483.0836</v>
      </c>
      <c r="T346" s="4" t="n">
        <v>28.69465276601841</v>
      </c>
      <c r="U346" s="5">
        <f>IFERROR(BDP(E346&amp;" Corp","LAST_PRICE"),"--")</f>
        <v/>
      </c>
      <c r="V346" s="6">
        <f>IFERROR(BDP(E346&amp;" Corp","YAS_BENCHMARK_BOND_ISIN"),"--")</f>
        <v/>
      </c>
      <c r="W346" s="5">
        <f>IFERROR(BDP(V346&amp;" CORP","LAST_PRICE"),"--")</f>
        <v/>
      </c>
      <c r="X346" s="7">
        <f>IFERROR(BDP(E346&amp;" Corp","YAS_YLD_SPREAD","YAS_BOND_PX="&amp;U346,"YAS_BNCHMRK_BOND_PX="&amp;W346),"--")</f>
        <v/>
      </c>
      <c r="Y346" s="7">
        <f>IFERROR(BDP(E346&amp;" Corp","BLOOMBERG_MID_G_SPREAD","YAS_BOND_PX="&amp;U346,"YAS_BNCHMRK_BOND_PX="&amp;W346),"--")</f>
        <v/>
      </c>
      <c r="Z346" s="7">
        <f>IFERROR(BDP(D346,"LAST_PRICE"),"--")</f>
        <v/>
      </c>
      <c r="AA346" s="7">
        <f>IFERROR(Z346-Y346,"--")</f>
        <v/>
      </c>
      <c r="AB346" s="8">
        <f>IFERROR((AA346-R346)/(S346-R346)*100,"--")</f>
        <v/>
      </c>
    </row>
    <row r="347">
      <c r="A347" t="inlineStr">
        <is>
          <t>VERISR</t>
        </is>
      </c>
      <c r="B347" t="inlineStr">
        <is>
          <t>XO</t>
        </is>
      </c>
      <c r="C347" t="inlineStr">
        <is>
          <t>VERISR 5 1/2 05/15/30</t>
        </is>
      </c>
      <c r="D347" t="inlineStr">
        <is>
          <t>VERISR CDS EUR SR 5Y D14 Corp</t>
        </is>
      </c>
      <c r="E347" t="inlineStr">
        <is>
          <t>XS2816753979</t>
        </is>
      </c>
      <c r="F347" s="2" t="n">
        <v>45659</v>
      </c>
      <c r="G347" s="2" t="n">
        <v>46225</v>
      </c>
      <c r="H347" s="2" t="n">
        <v>47654</v>
      </c>
      <c r="I347" s="3" t="n">
        <v>93.9282</v>
      </c>
      <c r="J347" s="3" t="n">
        <v>108.66</v>
      </c>
      <c r="K347" s="3" t="n">
        <v>132.912</v>
      </c>
      <c r="L347" s="3" t="n">
        <v>-11.318</v>
      </c>
      <c r="M347" s="3" t="n">
        <v>-38.9838</v>
      </c>
      <c r="N347" s="3" t="n">
        <v>-113.4783</v>
      </c>
      <c r="O347" s="3" t="n">
        <v>199.676</v>
      </c>
      <c r="P347" s="4" t="n">
        <v>23.78843273108497</v>
      </c>
      <c r="Q347" s="3" t="n">
        <v>-24.25200000000001</v>
      </c>
      <c r="R347" s="3" t="n">
        <v>-100.4313</v>
      </c>
      <c r="S347" s="3" t="n">
        <v>218.308</v>
      </c>
      <c r="T347" s="4" t="n">
        <v>23.90019053188609</v>
      </c>
      <c r="U347" s="5">
        <f>IFERROR(BDP(E347&amp;" Corp","LAST_PRICE"),"--")</f>
        <v/>
      </c>
      <c r="V347" s="6">
        <f>IFERROR(BDP(E347&amp;" Corp","YAS_BENCHMARK_BOND_ISIN"),"--")</f>
        <v/>
      </c>
      <c r="W347" s="5">
        <f>IFERROR(BDP(V347&amp;" CORP","LAST_PRICE"),"--")</f>
        <v/>
      </c>
      <c r="X347" s="7">
        <f>IFERROR(BDP(E347&amp;" Corp","YAS_YLD_SPREAD","YAS_BOND_PX="&amp;U347,"YAS_BNCHMRK_BOND_PX="&amp;W347),"--")</f>
        <v/>
      </c>
      <c r="Y347" s="7">
        <f>IFERROR(BDP(E347&amp;" Corp","BLOOMBERG_MID_G_SPREAD","YAS_BOND_PX="&amp;U347,"YAS_BNCHMRK_BOND_PX="&amp;W347),"--")</f>
        <v/>
      </c>
      <c r="Z347" s="7">
        <f>IFERROR(BDP(D347,"LAST_PRICE"),"--")</f>
        <v/>
      </c>
      <c r="AA347" s="7">
        <f>IFERROR(Z347-Y347,"--")</f>
        <v/>
      </c>
      <c r="AB347" s="8">
        <f>IFERROR((AA347-R347)/(S347-R347)*100,"--")</f>
        <v/>
      </c>
    </row>
    <row r="348">
      <c r="A348" t="inlineStr">
        <is>
          <t>VMED</t>
        </is>
      </c>
      <c r="B348" t="inlineStr">
        <is>
          <t>XO</t>
        </is>
      </c>
      <c r="C348" t="inlineStr">
        <is>
          <t>VMED 5 5/8 04/15/32</t>
        </is>
      </c>
      <c r="D348" t="inlineStr">
        <is>
          <t>VMED CDS EUR SR 5Y D14 Corp</t>
        </is>
      </c>
      <c r="E348" t="inlineStr">
        <is>
          <t>XS2796600307</t>
        </is>
      </c>
      <c r="F348" s="2" t="n">
        <v>45659</v>
      </c>
      <c r="G348" s="2" t="n">
        <v>46225</v>
      </c>
      <c r="H348" s="2" t="n">
        <v>48385</v>
      </c>
      <c r="I348" s="3" t="n">
        <v>1006.7813</v>
      </c>
      <c r="J348" s="3" t="n">
        <v>989.049</v>
      </c>
      <c r="K348" s="3" t="n">
        <v>582.7380000000001</v>
      </c>
      <c r="L348" s="3" t="n">
        <v>574.492</v>
      </c>
      <c r="M348" s="3" t="n">
        <v>424.0432999999999</v>
      </c>
      <c r="N348" s="3" t="n">
        <v>64.24399999999997</v>
      </c>
      <c r="O348" s="3" t="n">
        <v>424.0432999999999</v>
      </c>
      <c r="P348" s="4" t="n">
        <v>100</v>
      </c>
      <c r="Q348" s="3" t="n">
        <v>406.3109999999999</v>
      </c>
      <c r="R348" s="3" t="n">
        <v>17.4083</v>
      </c>
      <c r="S348" s="3" t="n">
        <v>406.3109999999999</v>
      </c>
      <c r="T348" s="4" t="n">
        <v>100</v>
      </c>
      <c r="U348" s="5">
        <f>IFERROR(BDP(E348&amp;" Corp","LAST_PRICE"),"--")</f>
        <v/>
      </c>
      <c r="V348" s="6">
        <f>IFERROR(BDP(E348&amp;" Corp","YAS_BENCHMARK_BOND_ISIN"),"--")</f>
        <v/>
      </c>
      <c r="W348" s="5">
        <f>IFERROR(BDP(V348&amp;" CORP","LAST_PRICE"),"--")</f>
        <v/>
      </c>
      <c r="X348" s="7">
        <f>IFERROR(BDP(E348&amp;" Corp","YAS_YLD_SPREAD","YAS_BOND_PX="&amp;U348,"YAS_BNCHMRK_BOND_PX="&amp;W348),"--")</f>
        <v/>
      </c>
      <c r="Y348" s="7">
        <f>IFERROR(BDP(E348&amp;" Corp","BLOOMBERG_MID_G_SPREAD","YAS_BOND_PX="&amp;U348,"YAS_BNCHMRK_BOND_PX="&amp;W348),"--")</f>
        <v/>
      </c>
      <c r="Z348" s="7">
        <f>IFERROR(BDP(D348,"LAST_PRICE"),"--")</f>
        <v/>
      </c>
      <c r="AA348" s="7">
        <f>IFERROR(Z348-Y348,"--")</f>
        <v/>
      </c>
      <c r="AB348" s="8">
        <f>IFERROR((AA348-R348)/(S348-R348)*100,"--")</f>
        <v/>
      </c>
    </row>
    <row r="349">
      <c r="A349" t="inlineStr">
        <is>
          <t>VOVCAB</t>
        </is>
      </c>
      <c r="B349" t="inlineStr">
        <is>
          <t>XO</t>
        </is>
      </c>
      <c r="C349" t="inlineStr">
        <is>
          <t>VOVCAB 4 3/4 05/08/30</t>
        </is>
      </c>
      <c r="D349" t="inlineStr">
        <is>
          <t>VOVCAB CDS EUR SR 5Y D14 Corp</t>
        </is>
      </c>
      <c r="E349" t="inlineStr">
        <is>
          <t>XS2811097075</t>
        </is>
      </c>
      <c r="F349" s="2" t="n">
        <v>45659</v>
      </c>
      <c r="G349" s="2" t="n">
        <v>46225</v>
      </c>
      <c r="H349" s="2" t="n">
        <v>47654</v>
      </c>
      <c r="I349" s="3" t="n">
        <v>141.6903</v>
      </c>
      <c r="J349" s="3" t="n">
        <v>184.6926</v>
      </c>
      <c r="K349" s="3" t="n">
        <v>99.694</v>
      </c>
      <c r="L349" s="3" t="n">
        <v>99.889</v>
      </c>
      <c r="M349" s="3" t="n">
        <v>41.99630000000001</v>
      </c>
      <c r="N349" s="3" t="n">
        <v>-33.97149999999999</v>
      </c>
      <c r="O349" s="3" t="n">
        <v>59.40030000000002</v>
      </c>
      <c r="P349" s="4" t="n">
        <v>81.36053926346069</v>
      </c>
      <c r="Q349" s="3" t="n">
        <v>84.9986</v>
      </c>
      <c r="R349" s="3" t="n">
        <v>6.867000000000019</v>
      </c>
      <c r="S349" s="3" t="n">
        <v>101.6786</v>
      </c>
      <c r="T349" s="4" t="n">
        <v>82.40721599466733</v>
      </c>
      <c r="U349" s="5">
        <f>IFERROR(BDP(E349&amp;" Corp","LAST_PRICE"),"--")</f>
        <v/>
      </c>
      <c r="V349" s="6">
        <f>IFERROR(BDP(E349&amp;" Corp","YAS_BENCHMARK_BOND_ISIN"),"--")</f>
        <v/>
      </c>
      <c r="W349" s="5">
        <f>IFERROR(BDP(V349&amp;" CORP","LAST_PRICE"),"--")</f>
        <v/>
      </c>
      <c r="X349" s="7">
        <f>IFERROR(BDP(E349&amp;" Corp","YAS_YLD_SPREAD","YAS_BOND_PX="&amp;U349,"YAS_BNCHMRK_BOND_PX="&amp;W349),"--")</f>
        <v/>
      </c>
      <c r="Y349" s="7">
        <f>IFERROR(BDP(E349&amp;" Corp","BLOOMBERG_MID_G_SPREAD","YAS_BOND_PX="&amp;U349,"YAS_BNCHMRK_BOND_PX="&amp;W349),"--")</f>
        <v/>
      </c>
      <c r="Z349" s="7">
        <f>IFERROR(BDP(D349,"LAST_PRICE"),"--")</f>
        <v/>
      </c>
      <c r="AA349" s="7">
        <f>IFERROR(Z349-Y349,"--")</f>
        <v/>
      </c>
      <c r="AB349" s="8">
        <f>IFERROR((AA349-R349)/(S349-R349)*100,"--")</f>
        <v/>
      </c>
    </row>
    <row r="350">
      <c r="A350" t="inlineStr">
        <is>
          <t>WLNFP</t>
        </is>
      </c>
      <c r="B350" t="inlineStr">
        <is>
          <t>XO</t>
        </is>
      </c>
      <c r="C350" t="inlineStr">
        <is>
          <t>WLNFP 5 1/2 06/10/30</t>
        </is>
      </c>
      <c r="D350" t="inlineStr">
        <is>
          <t>WLNFP CDS EUR SR 5Y D14 Corp</t>
        </is>
      </c>
      <c r="E350" t="inlineStr">
        <is>
          <t>FR0014010A08</t>
        </is>
      </c>
      <c r="F350" s="2" t="n">
        <v>46044</v>
      </c>
      <c r="G350" s="2" t="n">
        <v>46225</v>
      </c>
      <c r="H350" s="2" t="n">
        <v>47654</v>
      </c>
      <c r="I350" s="3" t="n">
        <v>1059.7867</v>
      </c>
      <c r="J350" s="3" t="n">
        <v>1035.5445</v>
      </c>
      <c r="K350" s="3" t="n">
        <v>626.785</v>
      </c>
      <c r="L350" s="3" t="n">
        <v>678.502</v>
      </c>
      <c r="M350" s="3" t="n">
        <v>433.0017000000001</v>
      </c>
      <c r="N350" s="3" t="n">
        <v>222.8665999999999</v>
      </c>
      <c r="O350" s="3" t="n">
        <v>516.4961</v>
      </c>
      <c r="P350" s="4" t="n">
        <v>71.56470994910259</v>
      </c>
      <c r="Q350" s="3" t="n">
        <v>408.7595</v>
      </c>
      <c r="R350" s="3" t="n">
        <v>193.1733</v>
      </c>
      <c r="S350" s="3" t="n">
        <v>508.4729000000001</v>
      </c>
      <c r="T350" s="4" t="n">
        <v>68.37503124012841</v>
      </c>
      <c r="U350" s="5">
        <f>IFERROR(BDP(E350&amp;" Corp","LAST_PRICE"),"--")</f>
        <v/>
      </c>
      <c r="V350" s="6">
        <f>IFERROR(BDP(E350&amp;" Corp","YAS_BENCHMARK_BOND_ISIN"),"--")</f>
        <v/>
      </c>
      <c r="W350" s="5">
        <f>IFERROR(BDP(V350&amp;" CORP","LAST_PRICE"),"--")</f>
        <v/>
      </c>
      <c r="X350" s="7">
        <f>IFERROR(BDP(E350&amp;" Corp","YAS_YLD_SPREAD","YAS_BOND_PX="&amp;U350,"YAS_BNCHMRK_BOND_PX="&amp;W350),"--")</f>
        <v/>
      </c>
      <c r="Y350" s="7">
        <f>IFERROR(BDP(E350&amp;" Corp","BLOOMBERG_MID_G_SPREAD","YAS_BOND_PX="&amp;U350,"YAS_BNCHMRK_BOND_PX="&amp;W350),"--")</f>
        <v/>
      </c>
      <c r="Z350" s="7">
        <f>IFERROR(BDP(D350,"LAST_PRICE"),"--")</f>
        <v/>
      </c>
      <c r="AA350" s="7">
        <f>IFERROR(Z350-Y350,"--")</f>
        <v/>
      </c>
      <c r="AB350" s="8">
        <f>IFERROR((AA350-R350)/(S350-R350)*100,"--")</f>
        <v/>
      </c>
    </row>
    <row r="351">
      <c r="A351" t="inlineStr">
        <is>
          <t>ZEGLN</t>
        </is>
      </c>
      <c r="B351" t="inlineStr">
        <is>
          <t>XO</t>
        </is>
      </c>
      <c r="C351" t="inlineStr">
        <is>
          <t>ZEGLN 4 1/4 01/15/32</t>
        </is>
      </c>
      <c r="D351" t="inlineStr">
        <is>
          <t>ZEGLN CDS EUR SR 5Y D14 Corp</t>
        </is>
      </c>
      <c r="E351" t="inlineStr">
        <is>
          <t>XS3430526346</t>
        </is>
      </c>
      <c r="F351" s="2" t="n">
        <v>46202</v>
      </c>
      <c r="G351" s="2" t="n">
        <v>46225</v>
      </c>
      <c r="H351" s="2" t="n">
        <v>48385</v>
      </c>
      <c r="I351" s="3" t="n">
        <v>189.687</v>
      </c>
      <c r="J351" s="3" t="n">
        <v>169.9228</v>
      </c>
      <c r="K351" s="3" t="n">
        <v>142.113</v>
      </c>
      <c r="L351" s="3" t="n">
        <v>141.738</v>
      </c>
      <c r="M351" s="3" t="n">
        <v>47.57400000000001</v>
      </c>
      <c r="N351" s="3" t="n">
        <v>15.2176</v>
      </c>
      <c r="O351" s="3" t="n">
        <v>47.57400000000001</v>
      </c>
      <c r="P351" s="4" t="n">
        <v>100</v>
      </c>
      <c r="Q351" s="3" t="n">
        <v>27.8098</v>
      </c>
      <c r="R351" s="3" t="n">
        <v>-3.546099999999996</v>
      </c>
      <c r="S351" s="3" t="n">
        <v>27.8098</v>
      </c>
      <c r="T351" s="4" t="n">
        <v>100</v>
      </c>
      <c r="U351" s="5">
        <f>IFERROR(BDP(E351&amp;" Corp","LAST_PRICE"),"--")</f>
        <v/>
      </c>
      <c r="V351" s="6">
        <f>IFERROR(BDP(E351&amp;" Corp","YAS_BENCHMARK_BOND_ISIN"),"--")</f>
        <v/>
      </c>
      <c r="W351" s="5">
        <f>IFERROR(BDP(V351&amp;" CORP","LAST_PRICE"),"--")</f>
        <v/>
      </c>
      <c r="X351" s="7">
        <f>IFERROR(BDP(E351&amp;" Corp","YAS_YLD_SPREAD","YAS_BOND_PX="&amp;U351,"YAS_BNCHMRK_BOND_PX="&amp;W351),"--")</f>
        <v/>
      </c>
      <c r="Y351" s="7">
        <f>IFERROR(BDP(E351&amp;" Corp","BLOOMBERG_MID_G_SPREAD","YAS_BOND_PX="&amp;U351,"YAS_BNCHMRK_BOND_PX="&amp;W351),"--")</f>
        <v/>
      </c>
      <c r="Z351" s="7">
        <f>IFERROR(BDP(D351,"LAST_PRICE"),"--")</f>
        <v/>
      </c>
      <c r="AA351" s="7">
        <f>IFERROR(Z351-Y351,"--")</f>
        <v/>
      </c>
      <c r="AB351" s="8">
        <f>IFERROR((AA351-R351)/(S351-R351)*100,"--")</f>
        <v/>
      </c>
    </row>
    <row r="352">
      <c r="A352" t="inlineStr">
        <is>
          <t>ZFFNGR</t>
        </is>
      </c>
      <c r="B352" t="inlineStr">
        <is>
          <t>XO</t>
        </is>
      </c>
      <c r="C352" t="inlineStr">
        <is>
          <t>ZFFNGR 5 1/2 02/17/32</t>
        </is>
      </c>
      <c r="D352" t="inlineStr">
        <is>
          <t>ZFFNGR B CDS EUR SR 5Y D14 Corp</t>
        </is>
      </c>
      <c r="E352" t="inlineStr">
        <is>
          <t>XS3296386264</t>
        </is>
      </c>
      <c r="F352" s="2" t="n">
        <v>46064</v>
      </c>
      <c r="G352" s="2" t="n">
        <v>46225</v>
      </c>
      <c r="H352" s="2" t="n">
        <v>48385</v>
      </c>
      <c r="I352" s="3" t="n">
        <v>303.0565</v>
      </c>
      <c r="J352" s="3" t="n">
        <v>280.6547</v>
      </c>
      <c r="K352" s="3" t="n">
        <v>281.845</v>
      </c>
      <c r="L352" s="3" t="n">
        <v>283.511</v>
      </c>
      <c r="M352" s="3" t="n">
        <v>21.2115</v>
      </c>
      <c r="N352" s="3" t="n">
        <v>-26.8014</v>
      </c>
      <c r="O352" s="3" t="n">
        <v>57.87130000000002</v>
      </c>
      <c r="P352" s="4" t="n">
        <v>56.70410888043016</v>
      </c>
      <c r="Q352" s="3" t="n">
        <v>-1.190300000000036</v>
      </c>
      <c r="R352" s="3" t="n">
        <v>-44.30500000000001</v>
      </c>
      <c r="S352" s="3" t="n">
        <v>34.46749999999997</v>
      </c>
      <c r="T352" s="4" t="n">
        <v>54.73318734329872</v>
      </c>
      <c r="U352" s="5">
        <f>IFERROR(BDP(E352&amp;" Corp","LAST_PRICE"),"--")</f>
        <v/>
      </c>
      <c r="V352" s="6">
        <f>IFERROR(BDP(E352&amp;" Corp","YAS_BENCHMARK_BOND_ISIN"),"--")</f>
        <v/>
      </c>
      <c r="W352" s="5">
        <f>IFERROR(BDP(V352&amp;" CORP","LAST_PRICE"),"--")</f>
        <v/>
      </c>
      <c r="X352" s="7">
        <f>IFERROR(BDP(E352&amp;" Corp","YAS_YLD_SPREAD","YAS_BOND_PX="&amp;U352,"YAS_BNCHMRK_BOND_PX="&amp;W352),"--")</f>
        <v/>
      </c>
      <c r="Y352" s="7">
        <f>IFERROR(BDP(E352&amp;" Corp","BLOOMBERG_MID_G_SPREAD","YAS_BOND_PX="&amp;U352,"YAS_BNCHMRK_BOND_PX="&amp;W352),"--")</f>
        <v/>
      </c>
      <c r="Z352" s="7">
        <f>IFERROR(BDP(D352,"LAST_PRICE"),"--")</f>
        <v/>
      </c>
      <c r="AA352" s="7">
        <f>IFERROR(Z352-Y352,"--")</f>
        <v/>
      </c>
      <c r="AB352" s="8">
        <f>IFERROR((AA352-R352)/(S352-R352)*100,"--")</f>
        <v/>
      </c>
    </row>
    <row r="353">
      <c r="A353" t="inlineStr">
        <is>
          <t>ZIGGO</t>
        </is>
      </c>
      <c r="B353" t="inlineStr">
        <is>
          <t>XO</t>
        </is>
      </c>
      <c r="C353" t="inlineStr">
        <is>
          <t>ZIGGO 6 1/8 11/15/32</t>
        </is>
      </c>
      <c r="D353" t="inlineStr">
        <is>
          <t>LGE HOLDCO VI CDS EUR SR 5Y D14 Corp</t>
        </is>
      </c>
      <c r="E353" t="inlineStr">
        <is>
          <t>XS2914769299</t>
        </is>
      </c>
      <c r="F353" s="2" t="n">
        <v>45659</v>
      </c>
      <c r="G353" s="2" t="n">
        <v>46225</v>
      </c>
      <c r="H353" s="2" t="n">
        <v>48568</v>
      </c>
      <c r="I353" s="3" t="n">
        <v>642.8445</v>
      </c>
      <c r="J353" s="3" t="n">
        <v>555.7486</v>
      </c>
      <c r="K353" s="3" t="n">
        <v>573.486</v>
      </c>
      <c r="L353" s="3" t="n">
        <v>583.501</v>
      </c>
      <c r="M353" s="3" t="n">
        <v>69.35850000000005</v>
      </c>
      <c r="N353" s="3" t="n">
        <v>7.049099999999953</v>
      </c>
      <c r="O353" s="3" t="n">
        <v>116.3285000000001</v>
      </c>
      <c r="P353" s="4" t="n">
        <v>57.01843165317528</v>
      </c>
      <c r="Q353" s="3" t="n">
        <v>-17.73739999999998</v>
      </c>
      <c r="R353" s="3" t="n">
        <v>-64.57010000000002</v>
      </c>
      <c r="S353" s="3" t="n">
        <v>64.31760000000003</v>
      </c>
      <c r="T353" s="4" t="n">
        <v>36.33605068598479</v>
      </c>
      <c r="U353" s="5">
        <f>IFERROR(BDP(E353&amp;" Corp","LAST_PRICE"),"--")</f>
        <v/>
      </c>
      <c r="V353" s="6">
        <f>IFERROR(BDP(E353&amp;" Corp","YAS_BENCHMARK_BOND_ISIN"),"--")</f>
        <v/>
      </c>
      <c r="W353" s="5">
        <f>IFERROR(BDP(V353&amp;" CORP","LAST_PRICE"),"--")</f>
        <v/>
      </c>
      <c r="X353" s="7">
        <f>IFERROR(BDP(E353&amp;" Corp","YAS_YLD_SPREAD","YAS_BOND_PX="&amp;U353,"YAS_BNCHMRK_BOND_PX="&amp;W353),"--")</f>
        <v/>
      </c>
      <c r="Y353" s="7">
        <f>IFERROR(BDP(E353&amp;" Corp","BLOOMBERG_MID_G_SPREAD","YAS_BOND_PX="&amp;U353,"YAS_BNCHMRK_BOND_PX="&amp;W353),"--")</f>
        <v/>
      </c>
      <c r="Z353" s="7">
        <f>IFERROR(BDP(D353,"LAST_PRICE"),"--")</f>
        <v/>
      </c>
      <c r="AA353" s="7">
        <f>IFERROR(Z353-Y353,"--")</f>
        <v/>
      </c>
      <c r="AB353" s="8">
        <f>IFERROR((AA353-R353)/(S353-R353)*100,"--")</f>
        <v/>
      </c>
    </row>
    <row r="354">
      <c r="A354" t="inlineStr">
        <is>
          <t>ADLERR</t>
        </is>
      </c>
      <c r="B354" t="inlineStr">
        <is>
          <t>XO_Legacy</t>
        </is>
      </c>
      <c r="C354" t="inlineStr">
        <is>
          <t>ADLERR 3 04/27/26</t>
        </is>
      </c>
      <c r="D354" t="inlineStr">
        <is>
          <t>ADLERR CDS EUR SR 5Y D14 Corp</t>
        </is>
      </c>
      <c r="E354" t="inlineStr">
        <is>
          <t>XS1713464524</t>
        </is>
      </c>
      <c r="F354" s="2" t="n">
        <v>45659</v>
      </c>
      <c r="G354" s="2" t="n">
        <v>46094</v>
      </c>
      <c r="H354" s="2" t="n">
        <v>46193</v>
      </c>
      <c r="I354" s="3" t="n">
        <v>192.6441</v>
      </c>
      <c r="J354" s="3" t="n">
        <v>230.0417</v>
      </c>
      <c r="K354" s="3" t="n">
        <v>1622.684</v>
      </c>
      <c r="L354" s="3" t="n">
        <v>1633.838</v>
      </c>
      <c r="M354" s="3" t="n">
        <v>-1430.0399</v>
      </c>
      <c r="N354" s="3" t="n">
        <v>-1430.0399</v>
      </c>
      <c r="O354" s="3" t="n">
        <v>300.6297</v>
      </c>
      <c r="P354" s="4" t="n">
        <v>0</v>
      </c>
      <c r="Q354" s="3" t="n">
        <v>-1430.5563</v>
      </c>
      <c r="R354" s="3" t="n">
        <v>-1435.1686</v>
      </c>
      <c r="S354" s="3" t="n">
        <v>160.9393</v>
      </c>
      <c r="T354" s="4" t="n">
        <v>0.2889716917008074</v>
      </c>
      <c r="U354" s="5">
        <f>IFERROR(BDP(E354&amp;" Corp","LAST_PRICE"),"--")</f>
        <v/>
      </c>
      <c r="V354" s="6">
        <f>IFERROR(BDP(E354&amp;" Corp","YAS_BENCHMARK_BOND_ISIN"),"--")</f>
        <v/>
      </c>
      <c r="W354" s="5">
        <f>IFERROR(BDP(V354&amp;" CORP","LAST_PRICE"),"--")</f>
        <v/>
      </c>
      <c r="X354" s="7">
        <f>IFERROR(BDP(E354&amp;" Corp","YAS_YLD_SPREAD","YAS_BOND_PX="&amp;U354,"YAS_BNCHMRK_BOND_PX="&amp;W354),"--")</f>
        <v/>
      </c>
      <c r="Y354" s="7">
        <f>IFERROR(BDP(E354&amp;" Corp","BLOOMBERG_MID_G_SPREAD","YAS_BOND_PX="&amp;U354,"YAS_BNCHMRK_BOND_PX="&amp;W354),"--")</f>
        <v/>
      </c>
      <c r="Z354" s="7">
        <f>IFERROR(BDP(D354,"LAST_PRICE"),"--")</f>
        <v/>
      </c>
      <c r="AA354" s="7">
        <f>IFERROR(Z354-Y354,"--")</f>
        <v/>
      </c>
      <c r="AB354" s="8">
        <f>IFERROR((AA354-R354)/(S354-R354)*100,"--")</f>
        <v/>
      </c>
    </row>
    <row r="355">
      <c r="A355" t="inlineStr">
        <is>
          <t>ALTICE</t>
        </is>
      </c>
      <c r="B355" t="inlineStr">
        <is>
          <t>XO_Legacy</t>
        </is>
      </c>
      <c r="C355" t="inlineStr">
        <is>
          <t>ALTICE 4 3/4 01/15/28</t>
        </is>
      </c>
      <c r="D355" t="inlineStr">
        <is>
          <t>ALTICE CDS EUR SR 5Y D14 Corp</t>
        </is>
      </c>
      <c r="E355" t="inlineStr">
        <is>
          <t>XS1577952440</t>
        </is>
      </c>
      <c r="F355" s="2" t="n">
        <v>45922</v>
      </c>
      <c r="G355" s="2" t="n">
        <v>46224</v>
      </c>
      <c r="H355" s="2" t="n">
        <v>46924</v>
      </c>
      <c r="I355" s="3" t="n">
        <v>0</v>
      </c>
      <c r="J355" s="3" t="n">
        <v>0</v>
      </c>
      <c r="K355" s="3" t="n">
        <v>18829.61</v>
      </c>
      <c r="L355" s="3" t="n">
        <v>18853.674</v>
      </c>
      <c r="M355" s="3" t="n">
        <v>-18829.61</v>
      </c>
      <c r="N355" s="3" t="n">
        <v>-20858.65</v>
      </c>
      <c r="O355" s="3" t="n">
        <v>943.8892000000005</v>
      </c>
      <c r="P355" s="4" t="n">
        <v>9.306438949092685</v>
      </c>
      <c r="Q355" s="3" t="n">
        <v>-18829.61</v>
      </c>
      <c r="R355" s="3" t="n">
        <v>-20858.65</v>
      </c>
      <c r="S355" s="3" t="n">
        <v>974.9014999999999</v>
      </c>
      <c r="T355" s="4" t="n">
        <v>9.293220115838693</v>
      </c>
      <c r="U355" s="5">
        <f>IFERROR(BDP(E355&amp;" Corp","LAST_PRICE"),"--")</f>
        <v/>
      </c>
      <c r="V355" s="6">
        <f>IFERROR(BDP(E355&amp;" Corp","YAS_BENCHMARK_BOND_ISIN"),"--")</f>
        <v/>
      </c>
      <c r="W355" s="5">
        <f>IFERROR(BDP(V355&amp;" CORP","LAST_PRICE"),"--")</f>
        <v/>
      </c>
      <c r="X355" s="7">
        <f>IFERROR(BDP(E355&amp;" Corp","YAS_YLD_SPREAD","YAS_BOND_PX="&amp;U355,"YAS_BNCHMRK_BOND_PX="&amp;W355),"--")</f>
        <v/>
      </c>
      <c r="Y355" s="7">
        <f>IFERROR(BDP(E355&amp;" Corp","BLOOMBERG_MID_G_SPREAD","YAS_BOND_PX="&amp;U355,"YAS_BNCHMRK_BOND_PX="&amp;W355),"--")</f>
        <v/>
      </c>
      <c r="Z355" s="7">
        <f>IFERROR(BDP(D355,"LAST_PRICE"),"--")</f>
        <v/>
      </c>
      <c r="AA355" s="7">
        <f>IFERROR(Z355-Y355,"--")</f>
        <v/>
      </c>
      <c r="AB355" s="8">
        <f>IFERROR((AA355-R355)/(S355-R355)*100,"--")</f>
        <v/>
      </c>
    </row>
    <row r="356">
      <c r="A356" t="inlineStr">
        <is>
          <t>BELRON</t>
        </is>
      </c>
      <c r="B356" t="inlineStr">
        <is>
          <t>XO_Legacy</t>
        </is>
      </c>
      <c r="C356" t="inlineStr">
        <is>
          <t>BELRON 4 5/8 10/15/29</t>
        </is>
      </c>
      <c r="D356" t="inlineStr">
        <is>
          <t>BELRON CDS EUR SR 5Y D14 Corp</t>
        </is>
      </c>
      <c r="E356" t="inlineStr">
        <is>
          <t>XS2915529783</t>
        </is>
      </c>
      <c r="F356" s="2" t="n">
        <v>45735</v>
      </c>
      <c r="G356" s="2" t="n">
        <v>46225</v>
      </c>
      <c r="H356" s="2" t="n">
        <v>47472</v>
      </c>
      <c r="I356" s="3" t="n">
        <v>71.9876</v>
      </c>
      <c r="J356" s="3" t="n">
        <v>104.9916</v>
      </c>
      <c r="K356" s="3" t="n">
        <v>94.971</v>
      </c>
      <c r="L356" s="3" t="n">
        <v>97.42</v>
      </c>
      <c r="M356" s="3" t="n">
        <v>-22.9834</v>
      </c>
      <c r="N356" s="3" t="n">
        <v>-63.77410000000002</v>
      </c>
      <c r="O356" s="3" t="n">
        <v>21.9521</v>
      </c>
      <c r="P356" s="4" t="n">
        <v>47.58253602749218</v>
      </c>
      <c r="Q356" s="3" t="n">
        <v>10.0206</v>
      </c>
      <c r="R356" s="3" t="n">
        <v>-31.33800000000001</v>
      </c>
      <c r="S356" s="3" t="n">
        <v>59.7209</v>
      </c>
      <c r="T356" s="4" t="n">
        <v>45.41961301970483</v>
      </c>
      <c r="U356" s="5">
        <f>IFERROR(BDP(E356&amp;" Corp","LAST_PRICE"),"--")</f>
        <v/>
      </c>
      <c r="V356" s="6">
        <f>IFERROR(BDP(E356&amp;" Corp","YAS_BENCHMARK_BOND_ISIN"),"--")</f>
        <v/>
      </c>
      <c r="W356" s="5">
        <f>IFERROR(BDP(V356&amp;" CORP","LAST_PRICE"),"--")</f>
        <v/>
      </c>
      <c r="X356" s="7">
        <f>IFERROR(BDP(E356&amp;" Corp","YAS_YLD_SPREAD","YAS_BOND_PX="&amp;U356,"YAS_BNCHMRK_BOND_PX="&amp;W356),"--")</f>
        <v/>
      </c>
      <c r="Y356" s="7">
        <f>IFERROR(BDP(E356&amp;" Corp","BLOOMBERG_MID_G_SPREAD","YAS_BOND_PX="&amp;U356,"YAS_BNCHMRK_BOND_PX="&amp;W356),"--")</f>
        <v/>
      </c>
      <c r="Z356" s="7">
        <f>IFERROR(BDP(D356,"LAST_PRICE"),"--")</f>
        <v/>
      </c>
      <c r="AA356" s="7">
        <f>IFERROR(Z356-Y356,"--")</f>
        <v/>
      </c>
      <c r="AB356" s="8">
        <f>IFERROR((AA356-R356)/(S356-R356)*100,"--")</f>
        <v/>
      </c>
    </row>
    <row r="357">
      <c r="A357" t="inlineStr">
        <is>
          <t>CITCON</t>
        </is>
      </c>
      <c r="B357" t="inlineStr">
        <is>
          <t>XO_Legacy</t>
        </is>
      </c>
      <c r="C357" t="inlineStr">
        <is>
          <t>CITCON 5 3/8 07/08/31</t>
        </is>
      </c>
      <c r="D357" t="inlineStr">
        <is>
          <t>CITCON CDS EUR SR 5Y D14 Corp</t>
        </is>
      </c>
      <c r="E357" t="inlineStr">
        <is>
          <t>XS3043331977</t>
        </is>
      </c>
      <c r="F357" s="2" t="inlineStr"/>
      <c r="G357" s="2" t="inlineStr"/>
      <c r="H357" s="2" t="n">
        <v>48202</v>
      </c>
      <c r="I357" s="3" t="inlineStr"/>
      <c r="J357" s="3" t="inlineStr"/>
      <c r="K357" s="3" t="inlineStr"/>
      <c r="L357" s="3" t="n">
        <v>347.209</v>
      </c>
      <c r="M357" s="3" t="inlineStr"/>
      <c r="N357" s="3" t="inlineStr"/>
      <c r="O357" s="3" t="inlineStr"/>
      <c r="P357" s="4" t="inlineStr"/>
      <c r="Q357" s="3" t="inlineStr"/>
      <c r="R357" s="3" t="inlineStr"/>
      <c r="S357" s="3" t="inlineStr"/>
      <c r="T357" s="4" t="inlineStr"/>
      <c r="U357" s="5">
        <f>IFERROR(BDP(E357&amp;" Corp","LAST_PRICE"),"--")</f>
        <v/>
      </c>
      <c r="V357" s="6">
        <f>IFERROR(BDP(E357&amp;" Corp","YAS_BENCHMARK_BOND_ISIN"),"--")</f>
        <v/>
      </c>
      <c r="W357" s="5">
        <f>IFERROR(BDP(V357&amp;" CORP","LAST_PRICE"),"--")</f>
        <v/>
      </c>
      <c r="X357" s="7">
        <f>IFERROR(BDP(E357&amp;" Corp","YAS_YLD_SPREAD","YAS_BOND_PX="&amp;U357,"YAS_BNCHMRK_BOND_PX="&amp;W357),"--")</f>
        <v/>
      </c>
      <c r="Y357" s="7">
        <f>IFERROR(BDP(E357&amp;" Corp","BLOOMBERG_MID_G_SPREAD","YAS_BOND_PX="&amp;U357,"YAS_BNCHMRK_BOND_PX="&amp;W357),"--")</f>
        <v/>
      </c>
      <c r="Z357" s="7">
        <f>IFERROR(BDP(D357,"LAST_PRICE"),"--")</f>
        <v/>
      </c>
      <c r="AA357" s="7">
        <f>IFERROR(Z357-Y357,"--")</f>
        <v/>
      </c>
      <c r="AB357" s="8">
        <f>IFERROR((AA357-R357)/(S357-R357)*100,"--")</f>
        <v/>
      </c>
    </row>
    <row r="358">
      <c r="A358" t="inlineStr">
        <is>
          <t>CLNVX</t>
        </is>
      </c>
      <c r="B358" t="inlineStr">
        <is>
          <t>XO_Legacy</t>
        </is>
      </c>
      <c r="C358" t="inlineStr">
        <is>
          <t>CLNVX 4 1/8 01/15/32</t>
        </is>
      </c>
      <c r="D358" t="inlineStr">
        <is>
          <t>CLNVX CDS EUR SR 5Y D14 Corp</t>
        </is>
      </c>
      <c r="E358" t="inlineStr">
        <is>
          <t>XS3311989787</t>
        </is>
      </c>
      <c r="F358" s="2" t="n">
        <v>46178</v>
      </c>
      <c r="G358" s="2" t="n">
        <v>46225</v>
      </c>
      <c r="H358" s="2" t="n">
        <v>48385</v>
      </c>
      <c r="I358" s="3" t="n">
        <v>111.7229</v>
      </c>
      <c r="J358" s="3" t="n">
        <v>92.4729</v>
      </c>
      <c r="K358" s="3" t="n">
        <v>144.062</v>
      </c>
      <c r="L358" s="3" t="n">
        <v>146.965</v>
      </c>
      <c r="M358" s="3" t="n">
        <v>-32.33910000000002</v>
      </c>
      <c r="N358" s="3" t="n">
        <v>-42.14930000000001</v>
      </c>
      <c r="O358" s="3" t="n">
        <v>-32.33910000000002</v>
      </c>
      <c r="P358" s="4" t="n">
        <v>100</v>
      </c>
      <c r="Q358" s="3" t="n">
        <v>-51.58910000000002</v>
      </c>
      <c r="R358" s="3" t="n">
        <v>-59.78070000000001</v>
      </c>
      <c r="S358" s="3" t="n">
        <v>-51.12309999999999</v>
      </c>
      <c r="T358" s="4" t="n">
        <v>94.61744594344829</v>
      </c>
      <c r="U358" s="5">
        <f>IFERROR(BDP(E358&amp;" Corp","LAST_PRICE"),"--")</f>
        <v/>
      </c>
      <c r="V358" s="6">
        <f>IFERROR(BDP(E358&amp;" Corp","YAS_BENCHMARK_BOND_ISIN"),"--")</f>
        <v/>
      </c>
      <c r="W358" s="5">
        <f>IFERROR(BDP(V358&amp;" CORP","LAST_PRICE"),"--")</f>
        <v/>
      </c>
      <c r="X358" s="7">
        <f>IFERROR(BDP(E358&amp;" Corp","YAS_YLD_SPREAD","YAS_BOND_PX="&amp;U358,"YAS_BNCHMRK_BOND_PX="&amp;W358),"--")</f>
        <v/>
      </c>
      <c r="Y358" s="7">
        <f>IFERROR(BDP(E358&amp;" Corp","BLOOMBERG_MID_G_SPREAD","YAS_BOND_PX="&amp;U358,"YAS_BNCHMRK_BOND_PX="&amp;W358),"--")</f>
        <v/>
      </c>
      <c r="Z358" s="7">
        <f>IFERROR(BDP(D358,"LAST_PRICE"),"--")</f>
        <v/>
      </c>
      <c r="AA358" s="7">
        <f>IFERROR(Z358-Y358,"--")</f>
        <v/>
      </c>
      <c r="AB358" s="8">
        <f>IFERROR((AA358-R358)/(S358-R358)*100,"--")</f>
        <v/>
      </c>
    </row>
    <row r="359">
      <c r="A359" t="inlineStr">
        <is>
          <t>CWCFIN</t>
        </is>
      </c>
      <c r="B359" t="inlineStr">
        <is>
          <t>XO_Legacy</t>
        </is>
      </c>
      <c r="C359" t="inlineStr">
        <is>
          <t>CWCFIN 9 01/15/33</t>
        </is>
      </c>
      <c r="D359" t="inlineStr">
        <is>
          <t>CY876602 Curncy</t>
        </is>
      </c>
      <c r="E359" t="inlineStr">
        <is>
          <t>USG3169MAA39</t>
        </is>
      </c>
      <c r="F359" s="2" t="n">
        <v>45695</v>
      </c>
      <c r="G359" s="2" t="n">
        <v>46225</v>
      </c>
      <c r="H359" s="2" t="n">
        <v>48750</v>
      </c>
      <c r="I359" s="3" t="n">
        <v>423.6165</v>
      </c>
      <c r="J359" s="3" t="n">
        <v>393.3923</v>
      </c>
      <c r="K359" s="3" t="n">
        <v>388.468</v>
      </c>
      <c r="L359" s="3" t="n">
        <v>388.16</v>
      </c>
      <c r="M359" s="3" t="n">
        <v>35.14849999999996</v>
      </c>
      <c r="N359" s="3" t="n">
        <v>-105.0628</v>
      </c>
      <c r="O359" s="3" t="n">
        <v>117.9737</v>
      </c>
      <c r="P359" s="4" t="n">
        <v>62.86473290246213</v>
      </c>
      <c r="Q359" s="3" t="n">
        <v>4.92429999999996</v>
      </c>
      <c r="R359" s="3" t="n">
        <v>-134.8009</v>
      </c>
      <c r="S359" s="3" t="n">
        <v>79.11400000000003</v>
      </c>
      <c r="T359" s="4" t="n">
        <v>65.31812416993859</v>
      </c>
      <c r="U359" s="5">
        <f>IFERROR(BDP(E359&amp;" Corp","LAST_PRICE"),"--")</f>
        <v/>
      </c>
      <c r="V359" s="6">
        <f>IFERROR(BDP(E359&amp;" Corp","YAS_BENCHMARK_BOND_ISIN"),"--")</f>
        <v/>
      </c>
      <c r="W359" s="5">
        <f>IFERROR(BDP(V359&amp;" CORP","LAST_PRICE"),"--")</f>
        <v/>
      </c>
      <c r="X359" s="7">
        <f>IFERROR(BDP(E359&amp;" Corp","YAS_YLD_SPREAD","YAS_BOND_PX="&amp;U359,"YAS_BNCHMRK_BOND_PX="&amp;W359),"--")</f>
        <v/>
      </c>
      <c r="Y359" s="7">
        <f>IFERROR(BDP(E359&amp;" Corp","BLOOMBERG_MID_G_SPREAD","YAS_BOND_PX="&amp;U359,"YAS_BNCHMRK_BOND_PX="&amp;W359),"--")</f>
        <v/>
      </c>
      <c r="Z359" s="7">
        <f>IFERROR(BDP(D359,"LAST_PRICE"),"--")</f>
        <v/>
      </c>
      <c r="AA359" s="7">
        <f>IFERROR(Z359-Y359,"--")</f>
        <v/>
      </c>
      <c r="AB359" s="8">
        <f>IFERROR((AA359-R359)/(S359-R359)*100,"--")</f>
        <v/>
      </c>
    </row>
    <row r="360">
      <c r="A360" t="inlineStr">
        <is>
          <t>ELISGP</t>
        </is>
      </c>
      <c r="B360" t="inlineStr">
        <is>
          <t>XO_Legacy</t>
        </is>
      </c>
      <c r="C360" t="inlineStr">
        <is>
          <t>ELISGP 3 3/4 03/21/30</t>
        </is>
      </c>
      <c r="D360" t="inlineStr">
        <is>
          <t>ELISGP CDS EUR SR 5Y D14 Corp</t>
        </is>
      </c>
      <c r="E360" t="inlineStr">
        <is>
          <t>FR001400OP33</t>
        </is>
      </c>
      <c r="F360" s="2" t="n">
        <v>45922</v>
      </c>
      <c r="G360" s="2" t="n">
        <v>46225</v>
      </c>
      <c r="H360" s="2" t="n">
        <v>47654</v>
      </c>
      <c r="I360" s="3" t="n">
        <v>64.73779999999999</v>
      </c>
      <c r="J360" s="3" t="n">
        <v>79.86360000000001</v>
      </c>
      <c r="K360" s="3" t="n">
        <v>74.121</v>
      </c>
      <c r="L360" s="3" t="n">
        <v>76.73399999999999</v>
      </c>
      <c r="M360" s="3" t="n">
        <v>-9.383200000000002</v>
      </c>
      <c r="N360" s="3" t="n">
        <v>-37.1525</v>
      </c>
      <c r="O360" s="3" t="n">
        <v>-3.004500000000007</v>
      </c>
      <c r="P360" s="4" t="n">
        <v>81.32042872203351</v>
      </c>
      <c r="Q360" s="3" t="n">
        <v>5.74260000000001</v>
      </c>
      <c r="R360" s="3" t="n">
        <v>-22.0193</v>
      </c>
      <c r="S360" s="3" t="n">
        <v>15.0844</v>
      </c>
      <c r="T360" s="4" t="n">
        <v>74.82245705953856</v>
      </c>
      <c r="U360" s="5">
        <f>IFERROR(BDP(E360&amp;" Corp","LAST_PRICE"),"--")</f>
        <v/>
      </c>
      <c r="V360" s="6">
        <f>IFERROR(BDP(E360&amp;" Corp","YAS_BENCHMARK_BOND_ISIN"),"--")</f>
        <v/>
      </c>
      <c r="W360" s="5">
        <f>IFERROR(BDP(V360&amp;" CORP","LAST_PRICE"),"--")</f>
        <v/>
      </c>
      <c r="X360" s="7">
        <f>IFERROR(BDP(E360&amp;" Corp","YAS_YLD_SPREAD","YAS_BOND_PX="&amp;U360,"YAS_BNCHMRK_BOND_PX="&amp;W360),"--")</f>
        <v/>
      </c>
      <c r="Y360" s="7">
        <f>IFERROR(BDP(E360&amp;" Corp","BLOOMBERG_MID_G_SPREAD","YAS_BOND_PX="&amp;U360,"YAS_BNCHMRK_BOND_PX="&amp;W360),"--")</f>
        <v/>
      </c>
      <c r="Z360" s="7">
        <f>IFERROR(BDP(D360,"LAST_PRICE"),"--")</f>
        <v/>
      </c>
      <c r="AA360" s="7">
        <f>IFERROR(Z360-Y360,"--")</f>
        <v/>
      </c>
      <c r="AB360" s="8">
        <f>IFERROR((AA360-R360)/(S360-R360)*100,"--")</f>
        <v/>
      </c>
    </row>
    <row r="361">
      <c r="A361" t="inlineStr">
        <is>
          <t>ELOFR</t>
        </is>
      </c>
      <c r="B361" t="inlineStr">
        <is>
          <t>XO_Legacy</t>
        </is>
      </c>
      <c r="C361" t="inlineStr">
        <is>
          <t>NIMMOH 6 03/22/29</t>
        </is>
      </c>
      <c r="D361" t="inlineStr">
        <is>
          <t>AUCHAN CDS EUR SR 5Y D14 Corp</t>
        </is>
      </c>
      <c r="E361" t="inlineStr">
        <is>
          <t>FR001400KWR6</t>
        </is>
      </c>
      <c r="F361" s="2" t="n">
        <v>45659</v>
      </c>
      <c r="G361" s="2" t="n">
        <v>46225</v>
      </c>
      <c r="H361" s="2" t="n">
        <v>47289</v>
      </c>
      <c r="I361" s="3" t="n">
        <v>51.9752</v>
      </c>
      <c r="J361" s="3" t="n">
        <v>64.7717</v>
      </c>
      <c r="K361" s="3" t="n">
        <v>181.46</v>
      </c>
      <c r="L361" s="3" t="n">
        <v>192.833</v>
      </c>
      <c r="M361" s="3" t="n">
        <v>-129.4848</v>
      </c>
      <c r="N361" s="3" t="n">
        <v>-267.3149</v>
      </c>
      <c r="O361" s="3" t="n">
        <v>-55.61220000000003</v>
      </c>
      <c r="P361" s="4" t="n">
        <v>65.10549936302183</v>
      </c>
      <c r="Q361" s="3" t="n">
        <v>-116.6883</v>
      </c>
      <c r="R361" s="3" t="n">
        <v>-252.2349</v>
      </c>
      <c r="S361" s="3" t="n">
        <v>-28.9135</v>
      </c>
      <c r="T361" s="4" t="n">
        <v>60.69575060876385</v>
      </c>
      <c r="U361" s="5">
        <f>IFERROR(BDP(E361&amp;" Corp","LAST_PRICE"),"--")</f>
        <v/>
      </c>
      <c r="V361" s="6">
        <f>IFERROR(BDP(E361&amp;" Corp","YAS_BENCHMARK_BOND_ISIN"),"--")</f>
        <v/>
      </c>
      <c r="W361" s="5">
        <f>IFERROR(BDP(V361&amp;" CORP","LAST_PRICE"),"--")</f>
        <v/>
      </c>
      <c r="X361" s="7">
        <f>IFERROR(BDP(E361&amp;" Corp","YAS_YLD_SPREAD","YAS_BOND_PX="&amp;U361,"YAS_BNCHMRK_BOND_PX="&amp;W361),"--")</f>
        <v/>
      </c>
      <c r="Y361" s="7">
        <f>IFERROR(BDP(E361&amp;" Corp","BLOOMBERG_MID_G_SPREAD","YAS_BOND_PX="&amp;U361,"YAS_BNCHMRK_BOND_PX="&amp;W361),"--")</f>
        <v/>
      </c>
      <c r="Z361" s="7">
        <f>IFERROR(BDP(D361,"LAST_PRICE"),"--")</f>
        <v/>
      </c>
      <c r="AA361" s="7">
        <f>IFERROR(Z361-Y361,"--")</f>
        <v/>
      </c>
      <c r="AB361" s="8">
        <f>IFERROR((AA361-R361)/(S361-R361)*100,"--")</f>
        <v/>
      </c>
    </row>
    <row r="362">
      <c r="A362" t="inlineStr">
        <is>
          <t>ENAPHO</t>
        </is>
      </c>
      <c r="B362" t="inlineStr">
        <is>
          <t>XO_Legacy</t>
        </is>
      </c>
      <c r="C362" t="inlineStr">
        <is>
          <t>ENAPHO 1.816 03/02/31</t>
        </is>
      </c>
      <c r="D362" t="inlineStr">
        <is>
          <t>ENAPHO CDS EUR SR 5Y D14 Corp</t>
        </is>
      </c>
      <c r="E362" t="inlineStr">
        <is>
          <t>XS2304675791</t>
        </is>
      </c>
      <c r="F362" s="2" t="n">
        <v>45922</v>
      </c>
      <c r="G362" s="2" t="n">
        <v>46225</v>
      </c>
      <c r="H362" s="2" t="n">
        <v>48019</v>
      </c>
      <c r="I362" s="3" t="n">
        <v>131.7151</v>
      </c>
      <c r="J362" s="3" t="n">
        <v>131.7151</v>
      </c>
      <c r="K362" s="3" t="n">
        <v>129.122</v>
      </c>
      <c r="L362" s="3" t="n">
        <v>135.966</v>
      </c>
      <c r="M362" s="3" t="n">
        <v>2.593099999999993</v>
      </c>
      <c r="N362" s="3" t="n">
        <v>-20.32730000000001</v>
      </c>
      <c r="O362" s="3" t="n">
        <v>4.020299999999992</v>
      </c>
      <c r="P362" s="4" t="n">
        <v>94.13823128357622</v>
      </c>
      <c r="Q362" s="3" t="n">
        <v>2.593099999999993</v>
      </c>
      <c r="R362" s="3" t="n">
        <v>-20.32730000000001</v>
      </c>
      <c r="S362" s="3" t="n">
        <v>4.020299999999992</v>
      </c>
      <c r="T362" s="4" t="n">
        <v>94.13823128357622</v>
      </c>
      <c r="U362" s="5">
        <f>IFERROR(BDP(E362&amp;" Corp","LAST_PRICE"),"--")</f>
        <v/>
      </c>
      <c r="V362" s="6">
        <f>IFERROR(BDP(E362&amp;" Corp","YAS_BENCHMARK_BOND_ISIN"),"--")</f>
        <v/>
      </c>
      <c r="W362" s="5">
        <f>IFERROR(BDP(V362&amp;" CORP","LAST_PRICE"),"--")</f>
        <v/>
      </c>
      <c r="X362" s="7">
        <f>IFERROR(BDP(E362&amp;" Corp","YAS_YLD_SPREAD","YAS_BOND_PX="&amp;U362,"YAS_BNCHMRK_BOND_PX="&amp;W362),"--")</f>
        <v/>
      </c>
      <c r="Y362" s="7">
        <f>IFERROR(BDP(E362&amp;" Corp","BLOOMBERG_MID_G_SPREAD","YAS_BOND_PX="&amp;U362,"YAS_BNCHMRK_BOND_PX="&amp;W362),"--")</f>
        <v/>
      </c>
      <c r="Z362" s="7">
        <f>IFERROR(BDP(D362,"LAST_PRICE"),"--")</f>
        <v/>
      </c>
      <c r="AA362" s="7">
        <f>IFERROR(Z362-Y362,"--")</f>
        <v/>
      </c>
      <c r="AB362" s="8">
        <f>IFERROR((AA362-R362)/(S362-R362)*100,"--")</f>
        <v/>
      </c>
    </row>
    <row r="363">
      <c r="A363" t="inlineStr">
        <is>
          <t>FTI</t>
        </is>
      </c>
      <c r="B363" t="inlineStr">
        <is>
          <t>XO_Legacy</t>
        </is>
      </c>
      <c r="C363" t="inlineStr">
        <is>
          <t>FTI 4 06/14/32</t>
        </is>
      </c>
      <c r="D363" t="inlineStr">
        <is>
          <t>FTI CDS EUR SR 5Y D14 Corp</t>
        </is>
      </c>
      <c r="E363" t="inlineStr">
        <is>
          <t>FR0011270487</t>
        </is>
      </c>
      <c r="F363" s="2" t="n">
        <v>45922</v>
      </c>
      <c r="G363" s="2" t="n">
        <v>46225</v>
      </c>
      <c r="H363" s="2" t="n">
        <v>48385</v>
      </c>
      <c r="I363" s="3" t="n">
        <v>73.41670000000001</v>
      </c>
      <c r="J363" s="3" t="n">
        <v>62.3004</v>
      </c>
      <c r="K363" s="3" t="n">
        <v>430.922</v>
      </c>
      <c r="L363" s="3" t="n">
        <v>430.197</v>
      </c>
      <c r="M363" s="3" t="n">
        <v>-357.5053</v>
      </c>
      <c r="N363" s="3" t="n">
        <v>-359.0842</v>
      </c>
      <c r="O363" s="3" t="n">
        <v>-313.0032</v>
      </c>
      <c r="P363" s="4" t="n">
        <v>3.426357934940595</v>
      </c>
      <c r="Q363" s="3" t="n">
        <v>-368.6216</v>
      </c>
      <c r="R363" s="3" t="n">
        <v>-369.7354</v>
      </c>
      <c r="S363" s="3" t="n">
        <v>-322.0607</v>
      </c>
      <c r="T363" s="4" t="n">
        <v>2.336249625063126</v>
      </c>
      <c r="U363" s="5">
        <f>IFERROR(BDP(E363&amp;" Corp","LAST_PRICE"),"--")</f>
        <v/>
      </c>
      <c r="V363" s="6">
        <f>IFERROR(BDP(E363&amp;" Corp","YAS_BENCHMARK_BOND_ISIN"),"--")</f>
        <v/>
      </c>
      <c r="W363" s="5">
        <f>IFERROR(BDP(V363&amp;" CORP","LAST_PRICE"),"--")</f>
        <v/>
      </c>
      <c r="X363" s="7">
        <f>IFERROR(BDP(E363&amp;" Corp","YAS_YLD_SPREAD","YAS_BOND_PX="&amp;U363,"YAS_BNCHMRK_BOND_PX="&amp;W363),"--")</f>
        <v/>
      </c>
      <c r="Y363" s="7">
        <f>IFERROR(BDP(E363&amp;" Corp","BLOOMBERG_MID_G_SPREAD","YAS_BOND_PX="&amp;U363,"YAS_BNCHMRK_BOND_PX="&amp;W363),"--")</f>
        <v/>
      </c>
      <c r="Z363" s="7">
        <f>IFERROR(BDP(D363,"LAST_PRICE"),"--")</f>
        <v/>
      </c>
      <c r="AA363" s="7">
        <f>IFERROR(Z363-Y363,"--")</f>
        <v/>
      </c>
      <c r="AB363" s="8">
        <f>IFERROR((AA363-R363)/(S363-R363)*100,"--")</f>
        <v/>
      </c>
    </row>
    <row r="364">
      <c r="A364" t="inlineStr">
        <is>
          <t>MERLLN</t>
        </is>
      </c>
      <c r="B364" t="inlineStr">
        <is>
          <t>XO_Legacy</t>
        </is>
      </c>
      <c r="C364" t="inlineStr">
        <is>
          <t>MERLLN 4 1/2 11/15/27</t>
        </is>
      </c>
      <c r="D364" t="inlineStr">
        <is>
          <t>MERLLN CDS EUR SR 5Y D14 Corp</t>
        </is>
      </c>
      <c r="E364" t="inlineStr">
        <is>
          <t>XS2064643484</t>
        </is>
      </c>
      <c r="F364" s="2" t="n">
        <v>45659</v>
      </c>
      <c r="G364" s="2" t="n">
        <v>46225</v>
      </c>
      <c r="H364" s="2" t="n">
        <v>46741</v>
      </c>
      <c r="I364" s="3" t="n">
        <v>322.8062</v>
      </c>
      <c r="J364" s="3" t="n">
        <v>243.1375</v>
      </c>
      <c r="K364" s="3" t="n">
        <v>559.074</v>
      </c>
      <c r="L364" s="3" t="n">
        <v>573.4930000000001</v>
      </c>
      <c r="M364" s="3" t="n">
        <v>-236.2678</v>
      </c>
      <c r="N364" s="3" t="n">
        <v>-542.9936</v>
      </c>
      <c r="O364" s="3" t="n">
        <v>-7.819699999999955</v>
      </c>
      <c r="P364" s="4" t="n">
        <v>57.31329573433982</v>
      </c>
      <c r="Q364" s="3" t="n">
        <v>-315.9365</v>
      </c>
      <c r="R364" s="3" t="n">
        <v>-346.7223</v>
      </c>
      <c r="S364" s="3" t="n">
        <v>197.6209</v>
      </c>
      <c r="T364" s="4" t="n">
        <v>5.655586402108091</v>
      </c>
      <c r="U364" s="5">
        <f>IFERROR(BDP(E364&amp;" Corp","LAST_PRICE"),"--")</f>
        <v/>
      </c>
      <c r="V364" s="6">
        <f>IFERROR(BDP(E364&amp;" Corp","YAS_BENCHMARK_BOND_ISIN"),"--")</f>
        <v/>
      </c>
      <c r="W364" s="5">
        <f>IFERROR(BDP(V364&amp;" CORP","LAST_PRICE"),"--")</f>
        <v/>
      </c>
      <c r="X364" s="7">
        <f>IFERROR(BDP(E364&amp;" Corp","YAS_YLD_SPREAD","YAS_BOND_PX="&amp;U364,"YAS_BNCHMRK_BOND_PX="&amp;W364),"--")</f>
        <v/>
      </c>
      <c r="Y364" s="7">
        <f>IFERROR(BDP(E364&amp;" Corp","BLOOMBERG_MID_G_SPREAD","YAS_BOND_PX="&amp;U364,"YAS_BNCHMRK_BOND_PX="&amp;W364),"--")</f>
        <v/>
      </c>
      <c r="Z364" s="7">
        <f>IFERROR(BDP(D364,"LAST_PRICE"),"--")</f>
        <v/>
      </c>
      <c r="AA364" s="7">
        <f>IFERROR(Z364-Y364,"--")</f>
        <v/>
      </c>
      <c r="AB364" s="8">
        <f>IFERROR((AA364-R364)/(S364-R364)*100,"--")</f>
        <v/>
      </c>
    </row>
    <row r="365">
      <c r="A365" t="inlineStr">
        <is>
          <t>PPFTEL</t>
        </is>
      </c>
      <c r="B365" t="inlineStr">
        <is>
          <t>XO_Legacy</t>
        </is>
      </c>
      <c r="C365" t="inlineStr">
        <is>
          <t>PPFTEL 3 1/4 09/29/27</t>
        </is>
      </c>
      <c r="D365" t="inlineStr">
        <is>
          <t>PPFTEL CDS EUR SR 5Y D14 Corp</t>
        </is>
      </c>
      <c r="E365" t="inlineStr">
        <is>
          <t>XS2238777374</t>
        </is>
      </c>
      <c r="F365" s="2" t="n">
        <v>45686</v>
      </c>
      <c r="G365" s="2" t="n">
        <v>46225</v>
      </c>
      <c r="H365" s="2" t="n">
        <v>46741</v>
      </c>
      <c r="I365" s="3" t="n">
        <v>33.2711</v>
      </c>
      <c r="J365" s="3" t="n">
        <v>49.8358</v>
      </c>
      <c r="K365" s="3" t="n">
        <v>27.877</v>
      </c>
      <c r="L365" s="3" t="n">
        <v>29.138</v>
      </c>
      <c r="M365" s="3" t="n">
        <v>5.394099999999998</v>
      </c>
      <c r="N365" s="3" t="n">
        <v>-165.3637</v>
      </c>
      <c r="O365" s="3" t="n">
        <v>5.394099999999998</v>
      </c>
      <c r="P365" s="4" t="n">
        <v>100</v>
      </c>
      <c r="Q365" s="3" t="n">
        <v>21.9588</v>
      </c>
      <c r="R365" s="3" t="n">
        <v>-144.3982</v>
      </c>
      <c r="S365" s="3" t="n">
        <v>21.9588</v>
      </c>
      <c r="T365" s="4" t="n">
        <v>100</v>
      </c>
      <c r="U365" s="5">
        <f>IFERROR(BDP(E365&amp;" Corp","LAST_PRICE"),"--")</f>
        <v/>
      </c>
      <c r="V365" s="6">
        <f>IFERROR(BDP(E365&amp;" Corp","YAS_BENCHMARK_BOND_ISIN"),"--")</f>
        <v/>
      </c>
      <c r="W365" s="5">
        <f>IFERROR(BDP(V365&amp;" CORP","LAST_PRICE"),"--")</f>
        <v/>
      </c>
      <c r="X365" s="7">
        <f>IFERROR(BDP(E365&amp;" Corp","YAS_YLD_SPREAD","YAS_BOND_PX="&amp;U365,"YAS_BNCHMRK_BOND_PX="&amp;W365),"--")</f>
        <v/>
      </c>
      <c r="Y365" s="7">
        <f>IFERROR(BDP(E365&amp;" Corp","BLOOMBERG_MID_G_SPREAD","YAS_BOND_PX="&amp;U365,"YAS_BNCHMRK_BOND_PX="&amp;W365),"--")</f>
        <v/>
      </c>
      <c r="Z365" s="7">
        <f>IFERROR(BDP(D365,"LAST_PRICE"),"--")</f>
        <v/>
      </c>
      <c r="AA365" s="7">
        <f>IFERROR(Z365-Y365,"--")</f>
        <v/>
      </c>
      <c r="AB365" s="8">
        <f>IFERROR((AA365-R365)/(S365-R365)*100,"--")</f>
        <v/>
      </c>
    </row>
    <row r="366">
      <c r="A366" t="inlineStr">
        <is>
          <t>ROSINI</t>
        </is>
      </c>
      <c r="B366" t="inlineStr">
        <is>
          <t>XO_Legacy</t>
        </is>
      </c>
      <c r="C366" t="inlineStr">
        <is>
          <t>ROSINI 6 3/4 12/31/29</t>
        </is>
      </c>
      <c r="D366" t="inlineStr">
        <is>
          <t>ROSINI CDS EUR SR 5Y D14 Corp</t>
        </is>
      </c>
      <c r="E366" t="inlineStr">
        <is>
          <t>XS2854303729</t>
        </is>
      </c>
      <c r="F366" s="2" t="n">
        <v>45659</v>
      </c>
      <c r="G366" s="2" t="n">
        <v>46225</v>
      </c>
      <c r="H366" s="2" t="n">
        <v>47654</v>
      </c>
      <c r="I366" s="3" t="n">
        <v>91.1571</v>
      </c>
      <c r="J366" s="3" t="n">
        <v>115.0087</v>
      </c>
      <c r="K366" s="3" t="n">
        <v>-784.8</v>
      </c>
      <c r="L366" s="3" t="n">
        <v>-1820.08</v>
      </c>
      <c r="M366" s="3" t="n">
        <v>875.9571</v>
      </c>
      <c r="N366" s="3" t="n">
        <v>-123.7155</v>
      </c>
      <c r="O366" s="3" t="n">
        <v>1821.4064</v>
      </c>
      <c r="P366" s="4" t="n">
        <v>51.39382781099734</v>
      </c>
      <c r="Q366" s="3" t="n">
        <v>899.8086999999999</v>
      </c>
      <c r="R366" s="3" t="n">
        <v>-71.97769999999997</v>
      </c>
      <c r="S366" s="3" t="n">
        <v>1848.0387</v>
      </c>
      <c r="T366" s="4" t="n">
        <v>50.6134426768438</v>
      </c>
      <c r="U366" s="5">
        <f>IFERROR(BDP(E366&amp;" Corp","LAST_PRICE"),"--")</f>
        <v/>
      </c>
      <c r="V366" s="6">
        <f>IFERROR(BDP(E366&amp;" Corp","YAS_BENCHMARK_BOND_ISIN"),"--")</f>
        <v/>
      </c>
      <c r="W366" s="5">
        <f>IFERROR(BDP(V366&amp;" CORP","LAST_PRICE"),"--")</f>
        <v/>
      </c>
      <c r="X366" s="7">
        <f>IFERROR(BDP(E366&amp;" Corp","YAS_YLD_SPREAD","YAS_BOND_PX="&amp;U366,"YAS_BNCHMRK_BOND_PX="&amp;W366),"--")</f>
        <v/>
      </c>
      <c r="Y366" s="7">
        <f>IFERROR(BDP(E366&amp;" Corp","BLOOMBERG_MID_G_SPREAD","YAS_BOND_PX="&amp;U366,"YAS_BNCHMRK_BOND_PX="&amp;W366),"--")</f>
        <v/>
      </c>
      <c r="Z366" s="7">
        <f>IFERROR(BDP(D366,"LAST_PRICE"),"--")</f>
        <v/>
      </c>
      <c r="AA366" s="7">
        <f>IFERROR(Z366-Y366,"--")</f>
        <v/>
      </c>
      <c r="AB366" s="8">
        <f>IFERROR((AA366-R366)/(S366-R366)*100,"--")</f>
        <v/>
      </c>
    </row>
    <row r="367">
      <c r="A367" t="inlineStr">
        <is>
          <t>SFRFP</t>
        </is>
      </c>
      <c r="B367" t="inlineStr">
        <is>
          <t>XO_Legacy</t>
        </is>
      </c>
      <c r="C367" t="inlineStr">
        <is>
          <t>SFRFP 5 1/2 10/15/29</t>
        </is>
      </c>
      <c r="D367" t="inlineStr">
        <is>
          <t>SFRFP CDS EUR SR 5Y D14 Corp</t>
        </is>
      </c>
      <c r="E367" t="inlineStr">
        <is>
          <t>USF0265PEF11</t>
        </is>
      </c>
      <c r="F367" s="2" t="n">
        <v>45659</v>
      </c>
      <c r="G367" s="2" t="n">
        <v>46225</v>
      </c>
      <c r="H367" s="2" t="n">
        <v>47472</v>
      </c>
      <c r="I367" s="3" t="n">
        <v>232.8421</v>
      </c>
      <c r="J367" s="3" t="n">
        <v>274.4986</v>
      </c>
      <c r="K367" s="3" t="n">
        <v>863.422</v>
      </c>
      <c r="L367" s="3" t="n">
        <v>855.0069999999999</v>
      </c>
      <c r="M367" s="3" t="n">
        <v>-630.5799000000001</v>
      </c>
      <c r="N367" s="3" t="n">
        <v>-667.1102</v>
      </c>
      <c r="O367" s="3" t="n">
        <v>615.6570999999999</v>
      </c>
      <c r="P367" s="4" t="n">
        <v>2.847772935901928</v>
      </c>
      <c r="Q367" s="3" t="n">
        <v>-588.9234</v>
      </c>
      <c r="R367" s="3" t="n">
        <v>-632.6492999999999</v>
      </c>
      <c r="S367" s="3" t="n">
        <v>464.1313</v>
      </c>
      <c r="T367" s="4" t="n">
        <v>3.986749947984119</v>
      </c>
      <c r="U367" s="5">
        <f>IFERROR(BDP(E367&amp;" Corp","LAST_PRICE"),"--")</f>
        <v/>
      </c>
      <c r="V367" s="6">
        <f>IFERROR(BDP(E367&amp;" Corp","YAS_BENCHMARK_BOND_ISIN"),"--")</f>
        <v/>
      </c>
      <c r="W367" s="5">
        <f>IFERROR(BDP(V367&amp;" CORP","LAST_PRICE"),"--")</f>
        <v/>
      </c>
      <c r="X367" s="7">
        <f>IFERROR(BDP(E367&amp;" Corp","YAS_YLD_SPREAD","YAS_BOND_PX="&amp;U367,"YAS_BNCHMRK_BOND_PX="&amp;W367),"--")</f>
        <v/>
      </c>
      <c r="Y367" s="7">
        <f>IFERROR(BDP(E367&amp;" Corp","BLOOMBERG_MID_G_SPREAD","YAS_BOND_PX="&amp;U367,"YAS_BNCHMRK_BOND_PX="&amp;W367),"--")</f>
        <v/>
      </c>
      <c r="Z367" s="7">
        <f>IFERROR(BDP(D367,"LAST_PRICE"),"--")</f>
        <v/>
      </c>
      <c r="AA367" s="7">
        <f>IFERROR(Z367-Y367,"--")</f>
        <v/>
      </c>
      <c r="AB367" s="8">
        <f>IFERROR((AA367-R367)/(S367-R367)*100,"--")</f>
        <v/>
      </c>
    </row>
    <row r="368">
      <c r="A368" t="inlineStr">
        <is>
          <t>SYNNVX</t>
        </is>
      </c>
      <c r="B368" t="inlineStr">
        <is>
          <t>XO_Legacy</t>
        </is>
      </c>
      <c r="C368" t="inlineStr">
        <is>
          <t>SYNNVX 5.182 04/24/28</t>
        </is>
      </c>
      <c r="D368" t="inlineStr">
        <is>
          <t>SYNNVX CDS EUR SR 5Y D14 Corp</t>
        </is>
      </c>
      <c r="E368" t="inlineStr">
        <is>
          <t>USN84413CG11</t>
        </is>
      </c>
      <c r="F368" s="2" t="n">
        <v>45659</v>
      </c>
      <c r="G368" s="2" t="n">
        <v>46225</v>
      </c>
      <c r="H368" s="2" t="n">
        <v>46924</v>
      </c>
      <c r="I368" s="3" t="n">
        <v>38.1418</v>
      </c>
      <c r="J368" s="3" t="n">
        <v>80.59869999999999</v>
      </c>
      <c r="K368" s="3" t="n">
        <v>69.758</v>
      </c>
      <c r="L368" s="3" t="n">
        <v>58.581</v>
      </c>
      <c r="M368" s="3" t="n">
        <v>-31.61619999999999</v>
      </c>
      <c r="N368" s="3" t="n">
        <v>-64.4556</v>
      </c>
      <c r="O368" s="3" t="n">
        <v>-9.157399999999996</v>
      </c>
      <c r="P368" s="4" t="n">
        <v>59.38601979811279</v>
      </c>
      <c r="Q368" s="3" t="n">
        <v>10.8407</v>
      </c>
      <c r="R368" s="3" t="n">
        <v>-12.8301</v>
      </c>
      <c r="S368" s="3" t="n">
        <v>48.3228</v>
      </c>
      <c r="T368" s="4" t="n">
        <v>38.70756742525702</v>
      </c>
      <c r="U368" s="5">
        <f>IFERROR(BDP(E368&amp;" Corp","LAST_PRICE"),"--")</f>
        <v/>
      </c>
      <c r="V368" s="6">
        <f>IFERROR(BDP(E368&amp;" Corp","YAS_BENCHMARK_BOND_ISIN"),"--")</f>
        <v/>
      </c>
      <c r="W368" s="5">
        <f>IFERROR(BDP(V368&amp;" CORP","LAST_PRICE"),"--")</f>
        <v/>
      </c>
      <c r="X368" s="7">
        <f>IFERROR(BDP(E368&amp;" Corp","YAS_YLD_SPREAD","YAS_BOND_PX="&amp;U368,"YAS_BNCHMRK_BOND_PX="&amp;W368),"--")</f>
        <v/>
      </c>
      <c r="Y368" s="7">
        <f>IFERROR(BDP(E368&amp;" Corp","BLOOMBERG_MID_G_SPREAD","YAS_BOND_PX="&amp;U368,"YAS_BNCHMRK_BOND_PX="&amp;W368),"--")</f>
        <v/>
      </c>
      <c r="Z368" s="7">
        <f>IFERROR(BDP(D368,"LAST_PRICE"),"--")</f>
        <v/>
      </c>
      <c r="AA368" s="7">
        <f>IFERROR(Z368-Y368,"--")</f>
        <v/>
      </c>
      <c r="AB368" s="8">
        <f>IFERROR((AA368-R368)/(S368-R368)*100,"--")</f>
        <v/>
      </c>
    </row>
    <row r="369">
      <c r="A369" t="inlineStr">
        <is>
          <t>TCHEN</t>
        </is>
      </c>
      <c r="B369" t="inlineStr">
        <is>
          <t>XO_Legacy</t>
        </is>
      </c>
      <c r="C369" t="inlineStr">
        <is>
          <t>TCHEN 5 3/8 07/15/29</t>
        </is>
      </c>
      <c r="D369" t="inlineStr">
        <is>
          <t>TCHEN A CDS EUR SR 5Y D14 Corp</t>
        </is>
      </c>
      <c r="E369" t="inlineStr">
        <is>
          <t>XS2767965853</t>
        </is>
      </c>
      <c r="F369" s="2" t="n">
        <v>45735</v>
      </c>
      <c r="G369" s="2" t="n">
        <v>46225</v>
      </c>
      <c r="H369" s="2" t="n">
        <v>47472</v>
      </c>
      <c r="I369" s="3" t="n">
        <v>147.3032</v>
      </c>
      <c r="J369" s="3" t="n">
        <v>203.1585</v>
      </c>
      <c r="K369" s="3" t="n">
        <v>124.513</v>
      </c>
      <c r="L369" s="3" t="n">
        <v>118.911</v>
      </c>
      <c r="M369" s="3" t="n">
        <v>22.7902</v>
      </c>
      <c r="N369" s="3" t="n">
        <v>-113.9961</v>
      </c>
      <c r="O369" s="3" t="n">
        <v>121.1401</v>
      </c>
      <c r="P369" s="4" t="n">
        <v>58.17322045690965</v>
      </c>
      <c r="Q369" s="3" t="n">
        <v>78.6455</v>
      </c>
      <c r="R369" s="3" t="n">
        <v>-34.90519999999998</v>
      </c>
      <c r="S369" s="3" t="n">
        <v>174.6975</v>
      </c>
      <c r="T369" s="4" t="n">
        <v>54.17425443469956</v>
      </c>
      <c r="U369" s="5">
        <f>IFERROR(BDP(E369&amp;" Corp","LAST_PRICE"),"--")</f>
        <v/>
      </c>
      <c r="V369" s="6">
        <f>IFERROR(BDP(E369&amp;" Corp","YAS_BENCHMARK_BOND_ISIN"),"--")</f>
        <v/>
      </c>
      <c r="W369" s="5">
        <f>IFERROR(BDP(V369&amp;" CORP","LAST_PRICE"),"--")</f>
        <v/>
      </c>
      <c r="X369" s="7">
        <f>IFERROR(BDP(E369&amp;" Corp","YAS_YLD_SPREAD","YAS_BOND_PX="&amp;U369,"YAS_BNCHMRK_BOND_PX="&amp;W369),"--")</f>
        <v/>
      </c>
      <c r="Y369" s="7">
        <f>IFERROR(BDP(E369&amp;" Corp","BLOOMBERG_MID_G_SPREAD","YAS_BOND_PX="&amp;U369,"YAS_BNCHMRK_BOND_PX="&amp;W369),"--")</f>
        <v/>
      </c>
      <c r="Z369" s="7">
        <f>IFERROR(BDP(D369,"LAST_PRICE"),"--")</f>
        <v/>
      </c>
      <c r="AA369" s="7">
        <f>IFERROR(Z369-Y369,"--")</f>
        <v/>
      </c>
      <c r="AB369" s="8">
        <f>IFERROR((AA369-R369)/(S369-R369)*100,"--")</f>
        <v/>
      </c>
    </row>
    <row r="370">
      <c r="A370" t="inlineStr">
        <is>
          <t>THYELE</t>
        </is>
      </c>
      <c r="B370" t="inlineStr">
        <is>
          <t>XO_Legacy</t>
        </is>
      </c>
      <c r="C370" t="inlineStr">
        <is>
          <t>THYELE 4 3/8 07/15/27</t>
        </is>
      </c>
      <c r="D370" t="inlineStr">
        <is>
          <t>THYELE CDS EUR SR 5Y D14 Corp</t>
        </is>
      </c>
      <c r="E370" t="inlineStr">
        <is>
          <t>XS2199597456</t>
        </is>
      </c>
      <c r="F370" s="2" t="n">
        <v>45659</v>
      </c>
      <c r="G370" s="2" t="n">
        <v>46225</v>
      </c>
      <c r="H370" s="2" t="n">
        <v>46741</v>
      </c>
      <c r="I370" s="3" t="n">
        <v>39.9493</v>
      </c>
      <c r="J370" s="3" t="n">
        <v>92.5167</v>
      </c>
      <c r="K370" s="3" t="n">
        <v>-1144.455</v>
      </c>
      <c r="L370" s="3" t="n">
        <v>-1636.919</v>
      </c>
      <c r="M370" s="3" t="n">
        <v>1184.4043</v>
      </c>
      <c r="N370" s="3" t="n">
        <v>-253.0267</v>
      </c>
      <c r="O370" s="3" t="n">
        <v>4161.0424</v>
      </c>
      <c r="P370" s="4" t="n">
        <v>32.56475980405472</v>
      </c>
      <c r="Q370" s="3" t="n">
        <v>1236.9717</v>
      </c>
      <c r="R370" s="3" t="n">
        <v>-161.5457</v>
      </c>
      <c r="S370" s="3" t="n">
        <v>4249.3196</v>
      </c>
      <c r="T370" s="4" t="n">
        <v>31.70619152663764</v>
      </c>
      <c r="U370" s="5">
        <f>IFERROR(BDP(E370&amp;" Corp","LAST_PRICE"),"--")</f>
        <v/>
      </c>
      <c r="V370" s="6">
        <f>IFERROR(BDP(E370&amp;" Corp","YAS_BENCHMARK_BOND_ISIN"),"--")</f>
        <v/>
      </c>
      <c r="W370" s="5">
        <f>IFERROR(BDP(V370&amp;" CORP","LAST_PRICE"),"--")</f>
        <v/>
      </c>
      <c r="X370" s="7">
        <f>IFERROR(BDP(E370&amp;" Corp","YAS_YLD_SPREAD","YAS_BOND_PX="&amp;U370,"YAS_BNCHMRK_BOND_PX="&amp;W370),"--")</f>
        <v/>
      </c>
      <c r="Y370" s="7">
        <f>IFERROR(BDP(E370&amp;" Corp","BLOOMBERG_MID_G_SPREAD","YAS_BOND_PX="&amp;U370,"YAS_BNCHMRK_BOND_PX="&amp;W370),"--")</f>
        <v/>
      </c>
      <c r="Z370" s="7">
        <f>IFERROR(BDP(D370,"LAST_PRICE"),"--")</f>
        <v/>
      </c>
      <c r="AA370" s="7">
        <f>IFERROR(Z370-Y370,"--")</f>
        <v/>
      </c>
      <c r="AB370" s="8">
        <f>IFERROR((AA370-R370)/(S370-R370)*100,"--")</f>
        <v/>
      </c>
    </row>
    <row r="371">
      <c r="A371" t="inlineStr">
        <is>
          <t>TKAGR</t>
        </is>
      </c>
      <c r="B371" t="inlineStr">
        <is>
          <t>XO_Legacy</t>
        </is>
      </c>
      <c r="C371" t="inlineStr">
        <is>
          <t>TKAGR 4 1/8 01/26/26</t>
        </is>
      </c>
      <c r="D371" t="inlineStr">
        <is>
          <t>TKAGR CDS EUR SR 5Y D14 Corp</t>
        </is>
      </c>
      <c r="E371" t="inlineStr">
        <is>
          <t>XS1173293561</t>
        </is>
      </c>
      <c r="F371" s="2" t="n">
        <v>45946</v>
      </c>
      <c r="G371" s="2" t="n">
        <v>46043</v>
      </c>
      <c r="H371" s="2" t="n">
        <v>46193</v>
      </c>
      <c r="I371" s="3" t="n">
        <v>16.69</v>
      </c>
      <c r="J371" s="3" t="n">
        <v>82.837</v>
      </c>
      <c r="K371" s="3" t="n">
        <v>227.671</v>
      </c>
      <c r="L371" s="3" t="n">
        <v>221.06</v>
      </c>
      <c r="M371" s="3" t="n">
        <v>-210.981</v>
      </c>
      <c r="N371" s="3" t="n">
        <v>-210.981</v>
      </c>
      <c r="O371" s="3" t="n">
        <v>-174.9588</v>
      </c>
      <c r="P371" s="4" t="n">
        <v>0</v>
      </c>
      <c r="Q371" s="3" t="n">
        <v>-133.2052</v>
      </c>
      <c r="R371" s="3" t="n">
        <v>-134.7868</v>
      </c>
      <c r="S371" s="3" t="n">
        <v>-105.4855</v>
      </c>
      <c r="T371" s="4" t="n">
        <v>5.397712729469369</v>
      </c>
      <c r="U371" s="5">
        <f>IFERROR(BDP(E371&amp;" Corp","LAST_PRICE"),"--")</f>
        <v/>
      </c>
      <c r="V371" s="6">
        <f>IFERROR(BDP(E371&amp;" Corp","YAS_BENCHMARK_BOND_ISIN"),"--")</f>
        <v/>
      </c>
      <c r="W371" s="5">
        <f>IFERROR(BDP(V371&amp;" CORP","LAST_PRICE"),"--")</f>
        <v/>
      </c>
      <c r="X371" s="7">
        <f>IFERROR(BDP(E371&amp;" Corp","YAS_YLD_SPREAD","YAS_BOND_PX="&amp;U371,"YAS_BNCHMRK_BOND_PX="&amp;W371),"--")</f>
        <v/>
      </c>
      <c r="Y371" s="7">
        <f>IFERROR(BDP(E371&amp;" Corp","BLOOMBERG_MID_G_SPREAD","YAS_BOND_PX="&amp;U371,"YAS_BNCHMRK_BOND_PX="&amp;W371),"--")</f>
        <v/>
      </c>
      <c r="Z371" s="7">
        <f>IFERROR(BDP(D371,"LAST_PRICE"),"--")</f>
        <v/>
      </c>
      <c r="AA371" s="7">
        <f>IFERROR(Z371-Y371,"--")</f>
        <v/>
      </c>
      <c r="AB371" s="8">
        <f>IFERROR((AA371-R371)/(S371-R371)*100,"--")</f>
        <v/>
      </c>
    </row>
  </sheetData>
  <autoFilter ref="A1:AB371"/>
  <conditionalFormatting sqref="P2:P371">
    <cfRule type="colorScale" priority="1">
      <colorScale>
        <cfvo type="num" val="0"/>
        <cfvo type="num" val="50"/>
        <cfvo type="num" val="100"/>
        <color rgb="00F8696B"/>
        <color rgb="00FFFFFF"/>
        <color rgb="005A8AC6"/>
      </colorScale>
    </cfRule>
  </conditionalFormatting>
  <conditionalFormatting sqref="T2:T371">
    <cfRule type="colorScale" priority="2">
      <colorScale>
        <cfvo type="num" val="0"/>
        <cfvo type="num" val="50"/>
        <cfvo type="num" val="100"/>
        <color rgb="00F8696B"/>
        <color rgb="00FFFFFF"/>
        <color rgb="005A8AC6"/>
      </colorScale>
    </cfRule>
  </conditionalFormatting>
  <conditionalFormatting sqref="AB2:AB371">
    <cfRule type="colorScale" priority="3">
      <colorScale>
        <cfvo type="num" val="0"/>
        <cfvo type="num" val="50"/>
        <cfvo type="num" val="100"/>
        <color rgb="00F8696B"/>
        <color rgb="00FFFFFF"/>
        <color rgb="005A8AC6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2026-07-23T22:43:11Z</dcterms:created>
  <dcterms:modified xsi:type="dcterms:W3CDTF">2026-07-23T22:43:12Z</dcterms:modified>
</cp:coreProperties>
</file>