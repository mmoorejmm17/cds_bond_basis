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7">
    <font>
      <name val="Calibri"/>
      <family val="2"/>
      <color theme="1"/>
      <sz val="11"/>
      <scheme val="minor"/>
    </font>
    <font>
      <name val="Calibri"/>
      <b val="1"/>
      <i val="1"/>
      <sz val="8"/>
    </font>
    <font>
      <name val="Calibri"/>
      <b val="1"/>
      <sz val="8"/>
    </font>
    <font>
      <name val="Calibri"/>
      <b val="1"/>
      <color rgb="001F3864"/>
      <sz val="8"/>
    </font>
    <font>
      <name val="Calibri"/>
      <color rgb="001F3864"/>
      <sz val="8"/>
    </font>
    <font>
      <name val="Calibri"/>
      <sz val="8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1F3864"/>
        <bgColor rgb="001F3864"/>
      </patternFill>
    </fill>
  </fills>
  <borders count="11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/>
    </border>
    <border>
      <left/>
      <right/>
      <top style="thin">
        <color rgb="00B0B0B0"/>
      </top>
      <bottom/>
    </border>
    <border>
      <left/>
      <right style="thin">
        <color rgb="00B0B0B0"/>
      </right>
      <top style="thin">
        <color rgb="00B0B0B0"/>
      </top>
      <bottom/>
    </border>
    <border>
      <left style="thin">
        <color rgb="00B0B0B0"/>
      </left>
      <right/>
      <top/>
      <bottom/>
    </border>
    <border>
      <left/>
      <right/>
      <top/>
      <bottom/>
    </border>
    <border>
      <left/>
      <right style="thin">
        <color rgb="00B0B0B0"/>
      </right>
      <top/>
      <bottom/>
    </border>
    <border>
      <left style="thin">
        <color rgb="00B0B0B0"/>
      </left>
      <right/>
      <top/>
      <bottom style="thin">
        <color rgb="00B0B0B0"/>
      </bottom>
    </border>
    <border>
      <left/>
      <right/>
      <top/>
      <bottom style="thin">
        <color rgb="00B0B0B0"/>
      </bottom>
    </border>
    <border>
      <left/>
      <right style="thin">
        <color rgb="00B0B0B0"/>
      </right>
      <top/>
      <bottom style="thin">
        <color rgb="00B0B0B0"/>
      </bottom>
    </border>
    <border>
      <left style="medium">
        <color rgb="00808080"/>
      </left>
    </border>
  </borders>
  <cellStyleXfs count="1">
    <xf numFmtId="0" fontId="0" fillId="0" borderId="0"/>
  </cellStyleXfs>
  <cellXfs count="41">
    <xf numFmtId="0" fontId="0" fillId="0" borderId="0" pivotButton="0" quotePrefix="0" xfId="0"/>
    <xf numFmtId="166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167" fontId="5" fillId="0" borderId="5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5" borderId="1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166" fontId="5" fillId="2" borderId="5" applyAlignment="1" pivotButton="0" quotePrefix="0" xfId="0">
      <alignment horizontal="center" vertical="center"/>
    </xf>
    <xf numFmtId="167" fontId="5" fillId="2" borderId="5" applyAlignment="1" pivotButton="0" quotePrefix="0" xfId="0">
      <alignment horizontal="center" vertical="center"/>
    </xf>
    <xf numFmtId="167" fontId="5" fillId="2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6" fontId="5" fillId="2" borderId="7" applyAlignment="1" pivotButton="0" quotePrefix="0" xfId="0">
      <alignment horizontal="center" vertical="center"/>
    </xf>
    <xf numFmtId="166" fontId="5" fillId="2" borderId="8" applyAlignment="1" pivotButton="0" quotePrefix="0" xfId="0">
      <alignment horizontal="center" vertical="center"/>
    </xf>
    <xf numFmtId="167" fontId="5" fillId="2" borderId="8" applyAlignment="1" pivotButton="0" quotePrefix="0" xfId="0">
      <alignment horizontal="center" vertical="center"/>
    </xf>
    <xf numFmtId="167" fontId="5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4:AE368" headerRowCount="1">
  <autoFilter ref="A4:AE368"/>
  <tableColumns count="31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obs"/>
    <tableColumn id="14" name="basis"/>
    <tableColumn id="15" name="min"/>
    <tableColumn id="16" name="max"/>
    <tableColumn id="17" name="range_pct"/>
    <tableColumn id="18" name="basis_5y"/>
    <tableColumn id="19" name="min_5y"/>
    <tableColumn id="20" name="max_5y"/>
    <tableColumn id="21" name="range_5y_pct"/>
    <tableColumn id="22" name="bond_live"/>
    <tableColumn id="23" name="bond_bench"/>
    <tableColumn id="24" name="bench_price"/>
    <tableColumn id="25" name="spread_live"/>
    <tableColumn id="26" name="g_live"/>
    <tableColumn id="27" name="live_cds_5y"/>
    <tableColumn id="28" name="cds_override"/>
    <tableColumn id="29" name="cds_5y"/>
    <tableColumn id="30" name="live_basis"/>
    <tableColumn id="31" name="live_range_p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hidden="1" outlineLevel="1" width="22" customWidth="1" min="23" max="23"/>
    <col hidden="1" outlineLevel="1" width="14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/>
    <row r="2">
      <c r="AD2" s="1">
        <f>AVERAGE(AD5:AD368)</f>
        <v/>
      </c>
    </row>
    <row r="3">
      <c r="A3" s="2" t="inlineStr">
        <is>
          <t>CDS Bond Basis Historical results</t>
        </is>
      </c>
      <c r="N3" s="3" t="inlineStr">
        <is>
          <t>Basis Stats</t>
        </is>
      </c>
      <c r="O3" s="4" t="n"/>
      <c r="P3" s="4" t="n"/>
      <c r="Q3" s="4" t="n"/>
      <c r="R3" s="4" t="n"/>
      <c r="S3" s="4" t="n"/>
      <c r="T3" s="4" t="n"/>
      <c r="U3" s="5" t="n"/>
      <c r="V3" s="2" t="inlineStr">
        <is>
          <t>*Live Basis vs 5y CDS</t>
        </is>
      </c>
    </row>
    <row r="4">
      <c r="A4" s="6" t="inlineStr">
        <is>
          <t>CDS_Ticker</t>
        </is>
      </c>
      <c r="B4" s="6" t="inlineStr">
        <is>
          <t>CDS_Index</t>
        </is>
      </c>
      <c r="C4" s="6" t="inlineStr">
        <is>
          <t>bond_name</t>
        </is>
      </c>
      <c r="D4" s="6" t="inlineStr">
        <is>
          <t>bbg_cds_ticker</t>
        </is>
      </c>
      <c r="E4" s="6" t="inlineStr">
        <is>
          <t>bond_ISIN</t>
        </is>
      </c>
      <c r="F4" s="6" t="inlineStr">
        <is>
          <t>date_start</t>
        </is>
      </c>
      <c r="G4" s="6" t="inlineStr">
        <is>
          <t>date_end</t>
        </is>
      </c>
      <c r="H4" s="6" t="inlineStr">
        <is>
          <t>cds_mat</t>
        </is>
      </c>
      <c r="I4" s="6" t="inlineStr">
        <is>
          <t>latest_CDS</t>
        </is>
      </c>
      <c r="J4" s="6" t="inlineStr">
        <is>
          <t>latest_5y</t>
        </is>
      </c>
      <c r="K4" s="6" t="inlineStr">
        <is>
          <t>latest_bond_g</t>
        </is>
      </c>
      <c r="L4" s="6" t="inlineStr">
        <is>
          <t>latest_benchmark</t>
        </is>
      </c>
      <c r="M4" s="6" t="inlineStr">
        <is>
          <t>obs</t>
        </is>
      </c>
      <c r="N4" s="7" t="inlineStr">
        <is>
          <t>basis</t>
        </is>
      </c>
      <c r="O4" s="8" t="inlineStr">
        <is>
          <t>min</t>
        </is>
      </c>
      <c r="P4" s="8" t="inlineStr">
        <is>
          <t>max</t>
        </is>
      </c>
      <c r="Q4" s="8" t="inlineStr">
        <is>
          <t>range_pct</t>
        </is>
      </c>
      <c r="R4" s="8" t="inlineStr">
        <is>
          <t>basis_5y</t>
        </is>
      </c>
      <c r="S4" s="8" t="inlineStr">
        <is>
          <t>min_5y</t>
        </is>
      </c>
      <c r="T4" s="8" t="inlineStr">
        <is>
          <t>max_5y</t>
        </is>
      </c>
      <c r="U4" s="9" t="inlineStr">
        <is>
          <t>range_5y_pct</t>
        </is>
      </c>
      <c r="V4" s="10" t="inlineStr">
        <is>
          <t>bond_live</t>
        </is>
      </c>
      <c r="W4" s="6" t="inlineStr">
        <is>
          <t>bond_bench</t>
        </is>
      </c>
      <c r="X4" s="6" t="inlineStr">
        <is>
          <t>bench_price</t>
        </is>
      </c>
      <c r="Y4" s="6" t="inlineStr">
        <is>
          <t>spread_live</t>
        </is>
      </c>
      <c r="Z4" s="6" t="inlineStr">
        <is>
          <t>g_live</t>
        </is>
      </c>
      <c r="AA4" s="6" t="inlineStr">
        <is>
          <t>live_cds_5y</t>
        </is>
      </c>
      <c r="AB4" s="6" t="inlineStr">
        <is>
          <t>cds_override</t>
        </is>
      </c>
      <c r="AC4" s="6" t="inlineStr">
        <is>
          <t>cds_5y</t>
        </is>
      </c>
      <c r="AD4" s="6" t="inlineStr">
        <is>
          <t>live_basis</t>
        </is>
      </c>
      <c r="AE4" s="6" t="inlineStr">
        <is>
          <t>live_range_pct</t>
        </is>
      </c>
    </row>
    <row r="5">
      <c r="A5" s="11" t="inlineStr">
        <is>
          <t>BAC</t>
        </is>
      </c>
      <c r="B5" s="12" t="inlineStr">
        <is>
          <t>Banks</t>
        </is>
      </c>
      <c r="C5" s="11" t="inlineStr">
        <is>
          <t>BAC 4.695 04/23/32</t>
        </is>
      </c>
      <c r="D5" s="12" t="inlineStr">
        <is>
          <t>BOFA CDS USD SR 5Y D14 Corp</t>
        </is>
      </c>
      <c r="E5" s="12" t="inlineStr">
        <is>
          <t>US06051GNA30</t>
        </is>
      </c>
      <c r="F5" s="13" t="n">
        <v>46129</v>
      </c>
      <c r="G5" s="13" t="n">
        <v>46225</v>
      </c>
      <c r="H5" s="13" t="n">
        <v>48385</v>
      </c>
      <c r="I5" s="14" t="n">
        <v>63.1156005859375</v>
      </c>
      <c r="J5" s="14" t="n">
        <v>54.96279907226562</v>
      </c>
      <c r="K5" s="14" t="n">
        <v>73.22199999999999</v>
      </c>
      <c r="L5" s="14" t="n">
        <v>73.53700000000001</v>
      </c>
      <c r="M5" s="15" t="n">
        <v>66</v>
      </c>
      <c r="N5" s="16" t="n">
        <v>-10.10639941406249</v>
      </c>
      <c r="O5" s="17" t="n">
        <v>-13.04010171508789</v>
      </c>
      <c r="P5" s="17" t="n">
        <v>0.3361996459960963</v>
      </c>
      <c r="Q5" s="18" t="n">
        <v>21.932088862475</v>
      </c>
      <c r="R5" s="17" t="n">
        <v>-18.25920092773437</v>
      </c>
      <c r="S5" s="17" t="n">
        <v>-21.1309983215332</v>
      </c>
      <c r="T5" s="17" t="n">
        <v>-7.909398193359372</v>
      </c>
      <c r="U5" s="19" t="n">
        <v>21.7204980180828</v>
      </c>
      <c r="V5" s="20">
        <f>IFERROR(BDP(E5&amp;" Corp","LAST_PRICE"),"--")</f>
        <v/>
      </c>
      <c r="W5" s="21">
        <f>IFERROR(BDP(E5&amp;" Corp","YAS_BENCHMARK_BOND_ISIN"),"--")</f>
        <v/>
      </c>
      <c r="X5" s="22">
        <f>IFERROR(BDP(W5&amp;" CORP","LAST_PRICE"),"--")</f>
        <v/>
      </c>
      <c r="Y5" s="23">
        <f>IFERROR(BDP(E5&amp;" Corp","YAS_YLD_SPREAD","YAS_BOND_PX="&amp;V5,"YAS_BNCHMRK_BOND_PX="&amp;X5),"--")</f>
        <v/>
      </c>
      <c r="Z5" s="23">
        <f>IFERROR(BDP(E5&amp;" Corp","BLOOMBERG_MID_G_SPREAD","YAS_BOND_PX="&amp;V5,"YAS_BNCHMRK_BOND_PX="&amp;X5),"--")</f>
        <v/>
      </c>
      <c r="AA5" s="23">
        <f>IFERROR(BDP(D5,"LAST_PRICE"),"--")</f>
        <v/>
      </c>
      <c r="AB5" s="24" t="n"/>
      <c r="AC5" s="23">
        <f>IFERROR(IF(ISBLANK(AB5),AA5,AB5),"--")</f>
        <v/>
      </c>
      <c r="AD5" s="23">
        <f>IFERROR(MAX(-500,MIN(500,AC5-Z5)),"--")</f>
        <v/>
      </c>
      <c r="AE5" s="25">
        <f>IFERROR((AD5-S5)/(T5-S5)*100,"--")</f>
        <v/>
      </c>
    </row>
    <row r="6">
      <c r="A6" s="26" t="inlineStr">
        <is>
          <t>C</t>
        </is>
      </c>
      <c r="B6" s="27" t="inlineStr">
        <is>
          <t>Banks</t>
        </is>
      </c>
      <c r="C6" s="26" t="inlineStr">
        <is>
          <t>C 4.846 06/18/32</t>
        </is>
      </c>
      <c r="D6" s="27" t="inlineStr">
        <is>
          <t>CINC CDS USD SR 5Y D14 Corp</t>
        </is>
      </c>
      <c r="E6" s="27" t="inlineStr">
        <is>
          <t>US17325FBV94</t>
        </is>
      </c>
      <c r="F6" s="28" t="n">
        <v>46185</v>
      </c>
      <c r="G6" s="28" t="n">
        <v>46225</v>
      </c>
      <c r="H6" s="28" t="n">
        <v>48385</v>
      </c>
      <c r="I6" s="29" t="n">
        <v>61.97850036621094</v>
      </c>
      <c r="J6" s="29" t="n">
        <v>52.75400161743164</v>
      </c>
      <c r="K6" s="29" t="n">
        <v>69.67700000000001</v>
      </c>
      <c r="L6" s="29" t="n">
        <v>70.968</v>
      </c>
      <c r="M6" s="30" t="n">
        <v>27</v>
      </c>
      <c r="N6" s="31" t="n">
        <v>-7.698499633789069</v>
      </c>
      <c r="O6" s="32" t="n">
        <v>-9.026600158691409</v>
      </c>
      <c r="P6" s="32" t="n">
        <v>-2.267899993896485</v>
      </c>
      <c r="Q6" s="33" t="n">
        <v>19.65023588145277</v>
      </c>
      <c r="R6" s="32" t="n">
        <v>-16.92299838256837</v>
      </c>
      <c r="S6" s="32" t="n">
        <v>-18.13789886474609</v>
      </c>
      <c r="T6" s="32" t="n">
        <v>-10.80100012207031</v>
      </c>
      <c r="U6" s="34" t="n">
        <v>16.55877401048402</v>
      </c>
      <c r="V6" s="20">
        <f>IFERROR(BDP(E6&amp;" Corp","LAST_PRICE"),"--")</f>
        <v/>
      </c>
      <c r="W6" s="21">
        <f>IFERROR(BDP(E6&amp;" Corp","YAS_BENCHMARK_BOND_ISIN"),"--")</f>
        <v/>
      </c>
      <c r="X6" s="22">
        <f>IFERROR(BDP(W6&amp;" CORP","LAST_PRICE"),"--")</f>
        <v/>
      </c>
      <c r="Y6" s="23">
        <f>IFERROR(BDP(E6&amp;" Corp","YAS_YLD_SPREAD","YAS_BOND_PX="&amp;V6,"YAS_BNCHMRK_BOND_PX="&amp;X6),"--")</f>
        <v/>
      </c>
      <c r="Z6" s="23">
        <f>IFERROR(BDP(E6&amp;" Corp","BLOOMBERG_MID_G_SPREAD","YAS_BOND_PX="&amp;V6,"YAS_BNCHMRK_BOND_PX="&amp;X6),"--")</f>
        <v/>
      </c>
      <c r="AA6" s="23">
        <f>IFERROR(BDP(D6,"LAST_PRICE"),"--")</f>
        <v/>
      </c>
      <c r="AB6" s="24" t="n"/>
      <c r="AC6" s="23">
        <f>IFERROR(IF(ISBLANK(AB6),AA6,AB6),"--")</f>
        <v/>
      </c>
      <c r="AD6" s="23">
        <f>IFERROR(MAX(-500,MIN(500,AC6-Z6)),"--")</f>
        <v/>
      </c>
      <c r="AE6" s="25">
        <f>IFERROR((AD6-S6)/(T6-S6)*100,"--")</f>
        <v/>
      </c>
    </row>
    <row r="7">
      <c r="A7" s="11" t="inlineStr">
        <is>
          <t>GS</t>
        </is>
      </c>
      <c r="B7" s="12" t="inlineStr">
        <is>
          <t>Banks</t>
        </is>
      </c>
      <c r="C7" s="11" t="inlineStr">
        <is>
          <t>GS 4.972 06/03/32</t>
        </is>
      </c>
      <c r="D7" s="12" t="inlineStr">
        <is>
          <t>GS CDS USD SR 5Y D14 Corp</t>
        </is>
      </c>
      <c r="E7" s="12" t="inlineStr">
        <is>
          <t>US38141GF335</t>
        </is>
      </c>
      <c r="F7" s="13" t="n">
        <v>46170</v>
      </c>
      <c r="G7" s="13" t="n">
        <v>46225</v>
      </c>
      <c r="H7" s="13" t="n">
        <v>48385</v>
      </c>
      <c r="I7" s="14" t="n">
        <v>62.25009918212891</v>
      </c>
      <c r="J7" s="14" t="n">
        <v>54.79999923706055</v>
      </c>
      <c r="K7" s="14" t="n">
        <v>86.753</v>
      </c>
      <c r="L7" s="14" t="n">
        <v>88.258</v>
      </c>
      <c r="M7" s="15" t="n">
        <v>38</v>
      </c>
      <c r="N7" s="16" t="n">
        <v>-24.50290081787109</v>
      </c>
      <c r="O7" s="17" t="n">
        <v>-27.81730072021485</v>
      </c>
      <c r="P7" s="17" t="n">
        <v>-13.32019879150391</v>
      </c>
      <c r="Q7" s="18" t="n">
        <v>22.86249981991032</v>
      </c>
      <c r="R7" s="17" t="n">
        <v>-31.95300076293945</v>
      </c>
      <c r="S7" s="17" t="n">
        <v>-35.73880187988281</v>
      </c>
      <c r="T7" s="17" t="n">
        <v>-21.29300000000001</v>
      </c>
      <c r="U7" s="19" t="n">
        <v>26.20692951781001</v>
      </c>
      <c r="V7" s="20">
        <f>IFERROR(BDP(E7&amp;" Corp","LAST_PRICE"),"--")</f>
        <v/>
      </c>
      <c r="W7" s="21">
        <f>IFERROR(BDP(E7&amp;" Corp","YAS_BENCHMARK_BOND_ISIN"),"--")</f>
        <v/>
      </c>
      <c r="X7" s="22">
        <f>IFERROR(BDP(W7&amp;" CORP","LAST_PRICE"),"--")</f>
        <v/>
      </c>
      <c r="Y7" s="23">
        <f>IFERROR(BDP(E7&amp;" Corp","YAS_YLD_SPREAD","YAS_BOND_PX="&amp;V7,"YAS_BNCHMRK_BOND_PX="&amp;X7),"--")</f>
        <v/>
      </c>
      <c r="Z7" s="23">
        <f>IFERROR(BDP(E7&amp;" Corp","BLOOMBERG_MID_G_SPREAD","YAS_BOND_PX="&amp;V7,"YAS_BNCHMRK_BOND_PX="&amp;X7),"--")</f>
        <v/>
      </c>
      <c r="AA7" s="23">
        <f>IFERROR(BDP(D7,"LAST_PRICE"),"--")</f>
        <v/>
      </c>
      <c r="AB7" s="24" t="n"/>
      <c r="AC7" s="23">
        <f>IFERROR(IF(ISBLANK(AB7),AA7,AB7),"--")</f>
        <v/>
      </c>
      <c r="AD7" s="23">
        <f>IFERROR(MAX(-500,MIN(500,AC7-Z7)),"--")</f>
        <v/>
      </c>
      <c r="AE7" s="25">
        <f>IFERROR((AD7-S7)/(T7-S7)*100,"--")</f>
        <v/>
      </c>
    </row>
    <row r="8">
      <c r="A8" s="26" t="inlineStr">
        <is>
          <t>JPM</t>
        </is>
      </c>
      <c r="B8" s="27" t="inlineStr">
        <is>
          <t>Banks</t>
        </is>
      </c>
      <c r="C8" s="26" t="inlineStr">
        <is>
          <t>JPM 4.622 04/23/32</t>
        </is>
      </c>
      <c r="D8" s="27" t="inlineStr">
        <is>
          <t>JPMCC CDS USD SR 5Y D14 Corp</t>
        </is>
      </c>
      <c r="E8" s="27" t="inlineStr">
        <is>
          <t>US46647PFM32</t>
        </is>
      </c>
      <c r="F8" s="28" t="n">
        <v>46128</v>
      </c>
      <c r="G8" s="28" t="n">
        <v>46225</v>
      </c>
      <c r="H8" s="28" t="n">
        <v>48385</v>
      </c>
      <c r="I8" s="29" t="n">
        <v>47.7400016784668</v>
      </c>
      <c r="J8" s="29" t="n">
        <v>40.59999847412109</v>
      </c>
      <c r="K8" s="29" t="n">
        <v>74.741</v>
      </c>
      <c r="L8" s="29" t="n">
        <v>74.104</v>
      </c>
      <c r="M8" s="30" t="n">
        <v>67</v>
      </c>
      <c r="N8" s="31" t="n">
        <v>-27.0009983215332</v>
      </c>
      <c r="O8" s="32" t="n">
        <v>-28.11549981689453</v>
      </c>
      <c r="P8" s="32" t="n">
        <v>-14.51359939575195</v>
      </c>
      <c r="Q8" s="33" t="n">
        <v>8.193718972011888</v>
      </c>
      <c r="R8" s="32" t="n">
        <v>-34.14100152587891</v>
      </c>
      <c r="S8" s="32" t="n">
        <v>-35.69469985961913</v>
      </c>
      <c r="T8" s="32" t="n">
        <v>-22.07310104370117</v>
      </c>
      <c r="U8" s="34" t="n">
        <v>11.40613781639644</v>
      </c>
      <c r="V8" s="20">
        <f>IFERROR(BDP(E8&amp;" Corp","LAST_PRICE"),"--")</f>
        <v/>
      </c>
      <c r="W8" s="21">
        <f>IFERROR(BDP(E8&amp;" Corp","YAS_BENCHMARK_BOND_ISIN"),"--")</f>
        <v/>
      </c>
      <c r="X8" s="22">
        <f>IFERROR(BDP(W8&amp;" CORP","LAST_PRICE"),"--")</f>
        <v/>
      </c>
      <c r="Y8" s="23">
        <f>IFERROR(BDP(E8&amp;" Corp","YAS_YLD_SPREAD","YAS_BOND_PX="&amp;V8,"YAS_BNCHMRK_BOND_PX="&amp;X8),"--")</f>
        <v/>
      </c>
      <c r="Z8" s="23">
        <f>IFERROR(BDP(E8&amp;" Corp","BLOOMBERG_MID_G_SPREAD","YAS_BOND_PX="&amp;V8,"YAS_BNCHMRK_BOND_PX="&amp;X8),"--")</f>
        <v/>
      </c>
      <c r="AA8" s="23">
        <f>IFERROR(BDP(D8,"LAST_PRICE"),"--")</f>
        <v/>
      </c>
      <c r="AB8" s="24" t="n"/>
      <c r="AC8" s="23">
        <f>IFERROR(IF(ISBLANK(AB8),AA8,AB8),"--")</f>
        <v/>
      </c>
      <c r="AD8" s="23">
        <f>IFERROR(MAX(-500,MIN(500,AC8-Z8)),"--")</f>
        <v/>
      </c>
      <c r="AE8" s="25">
        <f>IFERROR((AD8-S8)/(T8-S8)*100,"--")</f>
        <v/>
      </c>
    </row>
    <row r="9">
      <c r="A9" s="11" t="inlineStr">
        <is>
          <t>MS</t>
        </is>
      </c>
      <c r="B9" s="12" t="inlineStr">
        <is>
          <t>Banks</t>
        </is>
      </c>
      <c r="C9" s="11" t="inlineStr">
        <is>
          <t>MS 4.809 04/16/32</t>
        </is>
      </c>
      <c r="D9" s="12" t="inlineStr">
        <is>
          <t>MS CDS USD SR 5Y D14 Corp</t>
        </is>
      </c>
      <c r="E9" s="12" t="inlineStr">
        <is>
          <t>US61748UAW27</t>
        </is>
      </c>
      <c r="F9" s="13" t="n">
        <v>46128</v>
      </c>
      <c r="G9" s="13" t="n">
        <v>46225</v>
      </c>
      <c r="H9" s="13" t="n">
        <v>48385</v>
      </c>
      <c r="I9" s="14" t="n">
        <v>66.85810089111328</v>
      </c>
      <c r="J9" s="14" t="n">
        <v>57.46730041503906</v>
      </c>
      <c r="K9" s="14" t="n">
        <v>85.238</v>
      </c>
      <c r="L9" s="14" t="n">
        <v>83.107</v>
      </c>
      <c r="M9" s="15" t="n">
        <v>67</v>
      </c>
      <c r="N9" s="16" t="n">
        <v>-18.37989910888672</v>
      </c>
      <c r="O9" s="17" t="n">
        <v>-24.09529650878906</v>
      </c>
      <c r="P9" s="17" t="n">
        <v>-8.768101379394537</v>
      </c>
      <c r="Q9" s="18" t="n">
        <v>37.28925841716038</v>
      </c>
      <c r="R9" s="17" t="n">
        <v>-27.77069958496094</v>
      </c>
      <c r="S9" s="17" t="n">
        <v>-33.1158996887207</v>
      </c>
      <c r="T9" s="17" t="n">
        <v>-17.91069857788086</v>
      </c>
      <c r="U9" s="19" t="n">
        <v>35.15376130046155</v>
      </c>
      <c r="V9" s="20">
        <f>IFERROR(BDP(E9&amp;" Corp","LAST_PRICE"),"--")</f>
        <v/>
      </c>
      <c r="W9" s="21">
        <f>IFERROR(BDP(E9&amp;" Corp","YAS_BENCHMARK_BOND_ISIN"),"--")</f>
        <v/>
      </c>
      <c r="X9" s="22">
        <f>IFERROR(BDP(W9&amp;" CORP","LAST_PRICE"),"--")</f>
        <v/>
      </c>
      <c r="Y9" s="23">
        <f>IFERROR(BDP(E9&amp;" Corp","YAS_YLD_SPREAD","YAS_BOND_PX="&amp;V9,"YAS_BNCHMRK_BOND_PX="&amp;X9),"--")</f>
        <v/>
      </c>
      <c r="Z9" s="23">
        <f>IFERROR(BDP(E9&amp;" Corp","BLOOMBERG_MID_G_SPREAD","YAS_BOND_PX="&amp;V9,"YAS_BNCHMRK_BOND_PX="&amp;X9),"--")</f>
        <v/>
      </c>
      <c r="AA9" s="23">
        <f>IFERROR(BDP(D9,"LAST_PRICE"),"--")</f>
        <v/>
      </c>
      <c r="AB9" s="24" t="n"/>
      <c r="AC9" s="23">
        <f>IFERROR(IF(ISBLANK(AB9),AA9,AB9),"--")</f>
        <v/>
      </c>
      <c r="AD9" s="23">
        <f>IFERROR(MAX(-500,MIN(500,AC9-Z9)),"--")</f>
        <v/>
      </c>
      <c r="AE9" s="25">
        <f>IFERROR((AD9-S9)/(T9-S9)*100,"--")</f>
        <v/>
      </c>
    </row>
    <row r="10">
      <c r="A10" s="26" t="inlineStr">
        <is>
          <t>WFC</t>
        </is>
      </c>
      <c r="B10" s="27" t="inlineStr">
        <is>
          <t>Banks</t>
        </is>
      </c>
      <c r="C10" s="26" t="inlineStr">
        <is>
          <t>WFC 4.844 05/20/32</t>
        </is>
      </c>
      <c r="D10" s="27" t="inlineStr">
        <is>
          <t>WELLFARGO CDS USD SR 5Y D14 Corp</t>
        </is>
      </c>
      <c r="E10" s="27" t="inlineStr">
        <is>
          <t>US95000U4J91</t>
        </is>
      </c>
      <c r="F10" s="28" t="n">
        <v>46156</v>
      </c>
      <c r="G10" s="28" t="n">
        <v>46225</v>
      </c>
      <c r="H10" s="28" t="n">
        <v>48385</v>
      </c>
      <c r="I10" s="29" t="n">
        <v>57.37469863891602</v>
      </c>
      <c r="J10" s="29" t="n">
        <v>49.1338005065918</v>
      </c>
      <c r="K10" s="29" t="n">
        <v>75.88500000000001</v>
      </c>
      <c r="L10" s="29" t="n">
        <v>74.771</v>
      </c>
      <c r="M10" s="30" t="n">
        <v>47</v>
      </c>
      <c r="N10" s="31" t="n">
        <v>-18.51030136108399</v>
      </c>
      <c r="O10" s="32" t="n">
        <v>-20.57170169067383</v>
      </c>
      <c r="P10" s="32" t="n">
        <v>-10.42249969482423</v>
      </c>
      <c r="Q10" s="33" t="n">
        <v>20.31095972306817</v>
      </c>
      <c r="R10" s="32" t="n">
        <v>-26.75119949340821</v>
      </c>
      <c r="S10" s="32" t="n">
        <v>-28.58839868164063</v>
      </c>
      <c r="T10" s="32" t="n">
        <v>-18.5675016784668</v>
      </c>
      <c r="U10" s="34" t="n">
        <v>18.33367998543981</v>
      </c>
      <c r="V10" s="20">
        <f>IFERROR(BDP(E10&amp;" Corp","LAST_PRICE"),"--")</f>
        <v/>
      </c>
      <c r="W10" s="21">
        <f>IFERROR(BDP(E10&amp;" Corp","YAS_BENCHMARK_BOND_ISIN"),"--")</f>
        <v/>
      </c>
      <c r="X10" s="22">
        <f>IFERROR(BDP(W10&amp;" CORP","LAST_PRICE"),"--")</f>
        <v/>
      </c>
      <c r="Y10" s="23">
        <f>IFERROR(BDP(E10&amp;" Corp","YAS_YLD_SPREAD","YAS_BOND_PX="&amp;V10,"YAS_BNCHMRK_BOND_PX="&amp;X10),"--")</f>
        <v/>
      </c>
      <c r="Z10" s="23">
        <f>IFERROR(BDP(E10&amp;" Corp","BLOOMBERG_MID_G_SPREAD","YAS_BOND_PX="&amp;V10,"YAS_BNCHMRK_BOND_PX="&amp;X10),"--")</f>
        <v/>
      </c>
      <c r="AA10" s="23">
        <f>IFERROR(BDP(D10,"LAST_PRICE"),"--")</f>
        <v/>
      </c>
      <c r="AB10" s="24" t="n"/>
      <c r="AC10" s="23">
        <f>IFERROR(IF(ISBLANK(AB10),AA10,AB10),"--")</f>
        <v/>
      </c>
      <c r="AD10" s="23">
        <f>IFERROR(MAX(-500,MIN(500,AC10-Z10)),"--")</f>
        <v/>
      </c>
      <c r="AE10" s="25">
        <f>IFERROR((AD10-S10)/(T10-S10)*100,"--")</f>
        <v/>
      </c>
    </row>
    <row r="11">
      <c r="A11" s="11" t="inlineStr">
        <is>
          <t>ENTLN</t>
        </is>
      </c>
      <c r="B11" s="12" t="inlineStr">
        <is>
          <t>Euro_NonIndex</t>
        </is>
      </c>
      <c r="C11" s="11" t="inlineStr">
        <is>
          <t>ENTLN 4 7/8 11/30/31</t>
        </is>
      </c>
      <c r="D11" s="12" t="inlineStr">
        <is>
          <t>ENTLN CDS EUR SR 5Y D14 Corp</t>
        </is>
      </c>
      <c r="E11" s="12" t="inlineStr">
        <is>
          <t>XS3229426138</t>
        </is>
      </c>
      <c r="F11" s="13" t="n">
        <v>45975</v>
      </c>
      <c r="G11" s="13" t="n">
        <v>46225</v>
      </c>
      <c r="H11" s="13" t="n">
        <v>48202</v>
      </c>
      <c r="I11" s="14" t="n">
        <v>218.0675964355469</v>
      </c>
      <c r="J11" s="14" t="n">
        <v>202.2348022460938</v>
      </c>
      <c r="K11" s="14" t="n">
        <v>178.014</v>
      </c>
      <c r="L11" s="14" t="n">
        <v>169.388</v>
      </c>
      <c r="M11" s="15" t="n">
        <v>173</v>
      </c>
      <c r="N11" s="16" t="n">
        <v>40.05359643554686</v>
      </c>
      <c r="O11" s="17" t="n">
        <v>-98.3548942871094</v>
      </c>
      <c r="P11" s="17" t="n">
        <v>40.05359643554686</v>
      </c>
      <c r="Q11" s="18" t="n">
        <v>100</v>
      </c>
      <c r="R11" s="17" t="n">
        <v>24.22080224609374</v>
      </c>
      <c r="S11" s="17" t="n">
        <v>-111.608693725586</v>
      </c>
      <c r="T11" s="17" t="n">
        <v>24.22080224609374</v>
      </c>
      <c r="U11" s="19" t="n">
        <v>100</v>
      </c>
      <c r="V11" s="20">
        <f>IFERROR(BDP(E11&amp;" Corp","LAST_PRICE"),"--")</f>
        <v/>
      </c>
      <c r="W11" s="21">
        <f>IFERROR(BDP(E11&amp;" Corp","YAS_BENCHMARK_BOND_ISIN"),"--")</f>
        <v/>
      </c>
      <c r="X11" s="22">
        <f>IFERROR(BDP(W11&amp;" CORP","LAST_PRICE"),"--")</f>
        <v/>
      </c>
      <c r="Y11" s="23">
        <f>IFERROR(BDP(E11&amp;" Corp","YAS_YLD_SPREAD","YAS_BOND_PX="&amp;V11,"YAS_BNCHMRK_BOND_PX="&amp;X11),"--")</f>
        <v/>
      </c>
      <c r="Z11" s="23">
        <f>IFERROR(BDP(E11&amp;" Corp","BLOOMBERG_MID_G_SPREAD","YAS_BOND_PX="&amp;V11,"YAS_BNCHMRK_BOND_PX="&amp;X11),"--")</f>
        <v/>
      </c>
      <c r="AA11" s="23">
        <f>IFERROR(BDP(D11,"LAST_PRICE"),"--")</f>
        <v/>
      </c>
      <c r="AB11" s="24" t="n"/>
      <c r="AC11" s="23">
        <f>IFERROR(IF(ISBLANK(AB11),AA11,AB11),"--")</f>
        <v/>
      </c>
      <c r="AD11" s="23">
        <f>IFERROR(MAX(-500,MIN(500,AC11-Z11)),"--")</f>
        <v/>
      </c>
      <c r="AE11" s="25">
        <f>IFERROR((AD11-S11)/(T11-S11)*100,"--")</f>
        <v/>
      </c>
    </row>
    <row r="12">
      <c r="A12" s="26" t="inlineStr">
        <is>
          <t>SDFGR</t>
        </is>
      </c>
      <c r="B12" s="27" t="inlineStr">
        <is>
          <t>Euro_NonIndex</t>
        </is>
      </c>
      <c r="C12" s="26" t="inlineStr">
        <is>
          <t>SDFGR 4 1/4 06/19/29</t>
        </is>
      </c>
      <c r="D12" s="27" t="inlineStr">
        <is>
          <t>SDFGR CDS EUR SR 5Y D14 Corp</t>
        </is>
      </c>
      <c r="E12" s="27" t="inlineStr">
        <is>
          <t>XS2844398482</t>
        </is>
      </c>
      <c r="F12" s="28" t="n">
        <v>45659</v>
      </c>
      <c r="G12" s="28" t="n">
        <v>46225</v>
      </c>
      <c r="H12" s="28" t="n">
        <v>47289</v>
      </c>
      <c r="I12" s="29" t="n">
        <v>90.92630004882812</v>
      </c>
      <c r="J12" s="29" t="n">
        <v>131.5110931396484</v>
      </c>
      <c r="K12" s="29" t="n">
        <v>76.56399999999999</v>
      </c>
      <c r="L12" s="29" t="n">
        <v>78.863</v>
      </c>
      <c r="M12" s="30" t="n">
        <v>396</v>
      </c>
      <c r="N12" s="31" t="n">
        <v>14.36230004882813</v>
      </c>
      <c r="O12" s="32" t="n">
        <v>-29.58819830322267</v>
      </c>
      <c r="P12" s="32" t="n">
        <v>43.84370361328126</v>
      </c>
      <c r="Q12" s="33" t="n">
        <v>59.85204959286619</v>
      </c>
      <c r="R12" s="32" t="n">
        <v>54.94709313964844</v>
      </c>
      <c r="S12" s="32" t="n">
        <v>12.71359765624999</v>
      </c>
      <c r="T12" s="32" t="n">
        <v>95.54420410156251</v>
      </c>
      <c r="U12" s="34" t="n">
        <v>50.98778977464373</v>
      </c>
      <c r="V12" s="20">
        <f>IFERROR(BDP(E12&amp;" Corp","LAST_PRICE"),"--")</f>
        <v/>
      </c>
      <c r="W12" s="21">
        <f>IFERROR(BDP(E12&amp;" Corp","YAS_BENCHMARK_BOND_ISIN"),"--")</f>
        <v/>
      </c>
      <c r="X12" s="22">
        <f>IFERROR(BDP(W12&amp;" CORP","LAST_PRICE"),"--")</f>
        <v/>
      </c>
      <c r="Y12" s="23">
        <f>IFERROR(BDP(E12&amp;" Corp","YAS_YLD_SPREAD","YAS_BOND_PX="&amp;V12,"YAS_BNCHMRK_BOND_PX="&amp;X12),"--")</f>
        <v/>
      </c>
      <c r="Z12" s="23">
        <f>IFERROR(BDP(E12&amp;" Corp","BLOOMBERG_MID_G_SPREAD","YAS_BOND_PX="&amp;V12,"YAS_BNCHMRK_BOND_PX="&amp;X12),"--")</f>
        <v/>
      </c>
      <c r="AA12" s="23">
        <f>IFERROR(BDP(D12,"LAST_PRICE"),"--")</f>
        <v/>
      </c>
      <c r="AB12" s="24" t="n"/>
      <c r="AC12" s="23">
        <f>IFERROR(IF(ISBLANK(AB12),AA12,AB12),"--")</f>
        <v/>
      </c>
      <c r="AD12" s="23">
        <f>IFERROR(MAX(-500,MIN(500,AC12-Z12)),"--")</f>
        <v/>
      </c>
      <c r="AE12" s="25">
        <f>IFERROR((AD12-S12)/(T12-S12)*100,"--")</f>
        <v/>
      </c>
    </row>
    <row r="13">
      <c r="A13" s="11" t="inlineStr">
        <is>
          <t>APODS</t>
        </is>
      </c>
      <c r="B13" s="12" t="inlineStr">
        <is>
          <t>Fin</t>
        </is>
      </c>
      <c r="C13" s="11" t="inlineStr">
        <is>
          <t>APODS 6.7 07/29/31</t>
        </is>
      </c>
      <c r="D13" s="12" t="inlineStr">
        <is>
          <t>CZ061134 Curncy</t>
        </is>
      </c>
      <c r="E13" s="12" t="inlineStr">
        <is>
          <t>US03770DAD57</t>
        </is>
      </c>
      <c r="F13" s="13" t="n">
        <v>46121</v>
      </c>
      <c r="G13" s="13" t="n">
        <v>46225</v>
      </c>
      <c r="H13" s="13" t="n">
        <v>48202</v>
      </c>
      <c r="I13" s="14" t="n">
        <v>218.2709045410156</v>
      </c>
      <c r="J13" s="14" t="n">
        <v>210.1121978759766</v>
      </c>
      <c r="K13" s="14" t="n">
        <v>197.834</v>
      </c>
      <c r="L13" s="14" t="n">
        <v>197.938</v>
      </c>
      <c r="M13" s="15" t="n">
        <v>70</v>
      </c>
      <c r="N13" s="16" t="n">
        <v>20.43690454101562</v>
      </c>
      <c r="O13" s="17" t="n">
        <v>14.68000061035156</v>
      </c>
      <c r="P13" s="17" t="n">
        <v>64.45259008789063</v>
      </c>
      <c r="Q13" s="18" t="n">
        <v>11.56641434792536</v>
      </c>
      <c r="R13" s="17" t="n">
        <v>12.27819787597656</v>
      </c>
      <c r="S13" s="17" t="n">
        <v>5.5396016845703</v>
      </c>
      <c r="T13" s="17" t="n">
        <v>56.929</v>
      </c>
      <c r="U13" s="19" t="n">
        <v>13.11281395054394</v>
      </c>
      <c r="V13" s="20">
        <f>IFERROR(BDP(E13&amp;" Corp","LAST_PRICE"),"--")</f>
        <v/>
      </c>
      <c r="W13" s="21">
        <f>IFERROR(BDP(E13&amp;" Corp","YAS_BENCHMARK_BOND_ISIN"),"--")</f>
        <v/>
      </c>
      <c r="X13" s="22">
        <f>IFERROR(BDP(W13&amp;" CORP","LAST_PRICE"),"--")</f>
        <v/>
      </c>
      <c r="Y13" s="23">
        <f>IFERROR(BDP(E13&amp;" Corp","YAS_YLD_SPREAD","YAS_BOND_PX="&amp;V13,"YAS_BNCHMRK_BOND_PX="&amp;X13),"--")</f>
        <v/>
      </c>
      <c r="Z13" s="23">
        <f>IFERROR(BDP(E13&amp;" Corp","BLOOMBERG_MID_G_SPREAD","YAS_BOND_PX="&amp;V13,"YAS_BNCHMRK_BOND_PX="&amp;X13),"--")</f>
        <v/>
      </c>
      <c r="AA13" s="23">
        <f>IFERROR(BDP(D13,"LAST_PRICE"),"--")</f>
        <v/>
      </c>
      <c r="AB13" s="24" t="n"/>
      <c r="AC13" s="23">
        <f>IFERROR(IF(ISBLANK(AB13),AA13,AB13),"--")</f>
        <v/>
      </c>
      <c r="AD13" s="23">
        <f>IFERROR(MAX(-500,MIN(500,AC13-Z13)),"--")</f>
        <v/>
      </c>
      <c r="AE13" s="25">
        <f>IFERROR((AD13-S13)/(T13-S13)*100,"--")</f>
        <v/>
      </c>
    </row>
    <row r="14">
      <c r="A14" s="26" t="inlineStr">
        <is>
          <t>ARCC</t>
        </is>
      </c>
      <c r="B14" s="27" t="inlineStr">
        <is>
          <t>Fin</t>
        </is>
      </c>
      <c r="C14" s="26" t="inlineStr">
        <is>
          <t>ARCC 5.8 03/08/32</t>
        </is>
      </c>
      <c r="D14" s="27" t="inlineStr">
        <is>
          <t>CZ061117 Curncy</t>
        </is>
      </c>
      <c r="E14" s="27" t="inlineStr">
        <is>
          <t>US04010LBH50</t>
        </is>
      </c>
      <c r="F14" s="28" t="n">
        <v>46125</v>
      </c>
      <c r="G14" s="28" t="n">
        <v>46225</v>
      </c>
      <c r="H14" s="28" t="n">
        <v>48385</v>
      </c>
      <c r="I14" s="29" t="n">
        <v>230.9093017578125</v>
      </c>
      <c r="J14" s="29" t="n">
        <v>209.0511016845703</v>
      </c>
      <c r="K14" s="29" t="n">
        <v>162.53</v>
      </c>
      <c r="L14" s="29" t="n">
        <v>168.63</v>
      </c>
      <c r="M14" s="30" t="n">
        <v>70</v>
      </c>
      <c r="N14" s="31" t="n">
        <v>68.3793017578125</v>
      </c>
      <c r="O14" s="32" t="n">
        <v>49.30389575195312</v>
      </c>
      <c r="P14" s="32" t="n">
        <v>80.06091113281249</v>
      </c>
      <c r="Q14" s="33" t="n">
        <v>62.01969134407734</v>
      </c>
      <c r="R14" s="32" t="n">
        <v>46.52110168457031</v>
      </c>
      <c r="S14" s="32" t="n">
        <v>37.05870227050781</v>
      </c>
      <c r="T14" s="32" t="n">
        <v>71.97660717773437</v>
      </c>
      <c r="U14" s="34" t="n">
        <v>27.09898958486533</v>
      </c>
      <c r="V14" s="20">
        <f>IFERROR(BDP(E14&amp;" Corp","LAST_PRICE"),"--")</f>
        <v/>
      </c>
      <c r="W14" s="21">
        <f>IFERROR(BDP(E14&amp;" Corp","YAS_BENCHMARK_BOND_ISIN"),"--")</f>
        <v/>
      </c>
      <c r="X14" s="22">
        <f>IFERROR(BDP(W14&amp;" CORP","LAST_PRICE"),"--")</f>
        <v/>
      </c>
      <c r="Y14" s="23">
        <f>IFERROR(BDP(E14&amp;" Corp","YAS_YLD_SPREAD","YAS_BOND_PX="&amp;V14,"YAS_BNCHMRK_BOND_PX="&amp;X14),"--")</f>
        <v/>
      </c>
      <c r="Z14" s="23">
        <f>IFERROR(BDP(E14&amp;" Corp","BLOOMBERG_MID_G_SPREAD","YAS_BOND_PX="&amp;V14,"YAS_BNCHMRK_BOND_PX="&amp;X14),"--")</f>
        <v/>
      </c>
      <c r="AA14" s="23">
        <f>IFERROR(BDP(D14,"LAST_PRICE"),"--")</f>
        <v/>
      </c>
      <c r="AB14" s="24" t="n"/>
      <c r="AC14" s="23">
        <f>IFERROR(IF(ISBLANK(AB14),AA14,AB14),"--")</f>
        <v/>
      </c>
      <c r="AD14" s="23">
        <f>IFERROR(MAX(-500,MIN(500,AC14-Z14)),"--")</f>
        <v/>
      </c>
      <c r="AE14" s="25">
        <f>IFERROR((AD14-S14)/(T14-S14)*100,"--")</f>
        <v/>
      </c>
    </row>
    <row r="15">
      <c r="A15" s="11" t="inlineStr">
        <is>
          <t>BCRED</t>
        </is>
      </c>
      <c r="B15" s="12" t="inlineStr">
        <is>
          <t>Fin</t>
        </is>
      </c>
      <c r="C15" s="11" t="inlineStr">
        <is>
          <t>BCRED 6 01/29/32</t>
        </is>
      </c>
      <c r="D15" s="12" t="inlineStr">
        <is>
          <t>CZ061066 Curncy</t>
        </is>
      </c>
      <c r="E15" s="12" t="inlineStr">
        <is>
          <t>US09261HBX44</t>
        </is>
      </c>
      <c r="F15" s="13" t="n">
        <v>46121</v>
      </c>
      <c r="G15" s="13" t="n">
        <v>46225</v>
      </c>
      <c r="H15" s="13" t="n">
        <v>48385</v>
      </c>
      <c r="I15" s="14" t="n">
        <v>239.5500030517578</v>
      </c>
      <c r="J15" s="14" t="n">
        <v>218.4808044433594</v>
      </c>
      <c r="K15" s="14" t="n">
        <v>203.151</v>
      </c>
      <c r="L15" s="14" t="n">
        <v>206.341</v>
      </c>
      <c r="M15" s="15" t="n">
        <v>72</v>
      </c>
      <c r="N15" s="16" t="n">
        <v>36.3990030517578</v>
      </c>
      <c r="O15" s="17" t="n">
        <v>22.59500659179687</v>
      </c>
      <c r="P15" s="17" t="n">
        <v>111.6314890136719</v>
      </c>
      <c r="Q15" s="18" t="n">
        <v>15.50375316328701</v>
      </c>
      <c r="R15" s="17" t="n">
        <v>15.32980444335936</v>
      </c>
      <c r="S15" s="17" t="n">
        <v>6.452304687500003</v>
      </c>
      <c r="T15" s="17" t="n">
        <v>99.63231298828126</v>
      </c>
      <c r="U15" s="19" t="n">
        <v>9.527257957740416</v>
      </c>
      <c r="V15" s="20">
        <f>IFERROR(BDP(E15&amp;" Corp","LAST_PRICE"),"--")</f>
        <v/>
      </c>
      <c r="W15" s="21">
        <f>IFERROR(BDP(E15&amp;" Corp","YAS_BENCHMARK_BOND_ISIN"),"--")</f>
        <v/>
      </c>
      <c r="X15" s="22">
        <f>IFERROR(BDP(W15&amp;" CORP","LAST_PRICE"),"--")</f>
        <v/>
      </c>
      <c r="Y15" s="23">
        <f>IFERROR(BDP(E15&amp;" Corp","YAS_YLD_SPREAD","YAS_BOND_PX="&amp;V15,"YAS_BNCHMRK_BOND_PX="&amp;X15),"--")</f>
        <v/>
      </c>
      <c r="Z15" s="23">
        <f>IFERROR(BDP(E15&amp;" Corp","BLOOMBERG_MID_G_SPREAD","YAS_BOND_PX="&amp;V15,"YAS_BNCHMRK_BOND_PX="&amp;X15),"--")</f>
        <v/>
      </c>
      <c r="AA15" s="23">
        <f>IFERROR(BDP(D15,"LAST_PRICE"),"--")</f>
        <v/>
      </c>
      <c r="AB15" s="24" t="n"/>
      <c r="AC15" s="23">
        <f>IFERROR(IF(ISBLANK(AB15),AA15,AB15),"--")</f>
        <v/>
      </c>
      <c r="AD15" s="23">
        <f>IFERROR(MAX(-500,MIN(500,AC15-Z15)),"--")</f>
        <v/>
      </c>
      <c r="AE15" s="25">
        <f>IFERROR((AD15-S15)/(T15-S15)*100,"--")</f>
        <v/>
      </c>
    </row>
    <row r="16">
      <c r="A16" s="26" t="inlineStr">
        <is>
          <t>CFG</t>
        </is>
      </c>
      <c r="B16" s="27" t="inlineStr">
        <is>
          <t>Fin</t>
        </is>
      </c>
      <c r="C16" s="26" t="inlineStr">
        <is>
          <t>CFG 5.253 03/05/31</t>
        </is>
      </c>
      <c r="D16" s="27" t="inlineStr">
        <is>
          <t>CZ023012 Curncy</t>
        </is>
      </c>
      <c r="E16" s="27" t="inlineStr">
        <is>
          <t>US174610BJ37</t>
        </is>
      </c>
      <c r="F16" s="28" t="n">
        <v>46121</v>
      </c>
      <c r="G16" s="28" t="n">
        <v>46225</v>
      </c>
      <c r="H16" s="28" t="n">
        <v>48019</v>
      </c>
      <c r="I16" s="29" t="n">
        <v>80.50209808349609</v>
      </c>
      <c r="J16" s="29" t="n">
        <v>80.50209808349609</v>
      </c>
      <c r="K16" s="29" t="n">
        <v>76.596</v>
      </c>
      <c r="L16" s="29" t="n">
        <v>72.405</v>
      </c>
      <c r="M16" s="30" t="n">
        <v>72</v>
      </c>
      <c r="N16" s="31" t="n">
        <v>3.90609808349609</v>
      </c>
      <c r="O16" s="32" t="n">
        <v>-11.2456030883789</v>
      </c>
      <c r="P16" s="32" t="n">
        <v>6.562601989746099</v>
      </c>
      <c r="Q16" s="33" t="n">
        <v>85.08269702310892</v>
      </c>
      <c r="R16" s="32" t="n">
        <v>3.90609808349609</v>
      </c>
      <c r="S16" s="32" t="n">
        <v>-11.2456030883789</v>
      </c>
      <c r="T16" s="32" t="n">
        <v>6.562601989746099</v>
      </c>
      <c r="U16" s="34" t="n">
        <v>85.08269702310892</v>
      </c>
      <c r="V16" s="20">
        <f>IFERROR(BDP(E16&amp;" Corp","LAST_PRICE"),"--")</f>
        <v/>
      </c>
      <c r="W16" s="21">
        <f>IFERROR(BDP(E16&amp;" Corp","YAS_BENCHMARK_BOND_ISIN"),"--")</f>
        <v/>
      </c>
      <c r="X16" s="22">
        <f>IFERROR(BDP(W16&amp;" CORP","LAST_PRICE"),"--")</f>
        <v/>
      </c>
      <c r="Y16" s="23">
        <f>IFERROR(BDP(E16&amp;" Corp","YAS_YLD_SPREAD","YAS_BOND_PX="&amp;V16,"YAS_BNCHMRK_BOND_PX="&amp;X16),"--")</f>
        <v/>
      </c>
      <c r="Z16" s="23">
        <f>IFERROR(BDP(E16&amp;" Corp","BLOOMBERG_MID_G_SPREAD","YAS_BOND_PX="&amp;V16,"YAS_BNCHMRK_BOND_PX="&amp;X16),"--")</f>
        <v/>
      </c>
      <c r="AA16" s="23">
        <f>IFERROR(BDP(D16,"LAST_PRICE"),"--")</f>
        <v/>
      </c>
      <c r="AB16" s="24" t="n"/>
      <c r="AC16" s="23">
        <f>IFERROR(IF(ISBLANK(AB16),AA16,AB16),"--")</f>
        <v/>
      </c>
      <c r="AD16" s="23">
        <f>IFERROR(MAX(-500,MIN(500,AC16-Z16)),"--")</f>
        <v/>
      </c>
      <c r="AE16" s="25">
        <f>IFERROR((AD16-S16)/(T16-S16)*100,"--")</f>
        <v/>
      </c>
    </row>
    <row r="17">
      <c r="A17" s="11" t="inlineStr">
        <is>
          <t>CM</t>
        </is>
      </c>
      <c r="B17" s="12" t="inlineStr">
        <is>
          <t>Fin</t>
        </is>
      </c>
      <c r="C17" s="11" t="inlineStr">
        <is>
          <t>CM 4.58 09/08/31</t>
        </is>
      </c>
      <c r="D17" s="12" t="inlineStr">
        <is>
          <t>CT718565 Curncy</t>
        </is>
      </c>
      <c r="E17" s="12" t="inlineStr">
        <is>
          <t>US13607QFE70</t>
        </is>
      </c>
      <c r="F17" s="13" t="n">
        <v>46121</v>
      </c>
      <c r="G17" s="13" t="n">
        <v>46225</v>
      </c>
      <c r="H17" s="13" t="n">
        <v>48202</v>
      </c>
      <c r="I17" s="14" t="n">
        <v>68.03800201416016</v>
      </c>
      <c r="J17" s="14" t="n">
        <v>62.17129898071289</v>
      </c>
      <c r="K17" s="14" t="n">
        <v>67.76300000000001</v>
      </c>
      <c r="L17" s="14" t="n">
        <v>65.518</v>
      </c>
      <c r="M17" s="15" t="n">
        <v>72</v>
      </c>
      <c r="N17" s="16" t="n">
        <v>0.275002014160151</v>
      </c>
      <c r="O17" s="17" t="n">
        <v>-9.229099182128905</v>
      </c>
      <c r="P17" s="17" t="n">
        <v>4.687396545410152</v>
      </c>
      <c r="Q17" s="18" t="n">
        <v>68.29378158383358</v>
      </c>
      <c r="R17" s="17" t="n">
        <v>-5.591701019287115</v>
      </c>
      <c r="S17" s="17" t="n">
        <v>-15.35269918823242</v>
      </c>
      <c r="T17" s="17" t="n">
        <v>-1.838301544189449</v>
      </c>
      <c r="U17" s="19" t="n">
        <v>72.22666097329072</v>
      </c>
      <c r="V17" s="20">
        <f>IFERROR(BDP(E17&amp;" Corp","LAST_PRICE"),"--")</f>
        <v/>
      </c>
      <c r="W17" s="21">
        <f>IFERROR(BDP(E17&amp;" Corp","YAS_BENCHMARK_BOND_ISIN"),"--")</f>
        <v/>
      </c>
      <c r="X17" s="22">
        <f>IFERROR(BDP(W17&amp;" CORP","LAST_PRICE"),"--")</f>
        <v/>
      </c>
      <c r="Y17" s="23">
        <f>IFERROR(BDP(E17&amp;" Corp","YAS_YLD_SPREAD","YAS_BOND_PX="&amp;V17,"YAS_BNCHMRK_BOND_PX="&amp;X17),"--")</f>
        <v/>
      </c>
      <c r="Z17" s="23">
        <f>IFERROR(BDP(E17&amp;" Corp","BLOOMBERG_MID_G_SPREAD","YAS_BOND_PX="&amp;V17,"YAS_BNCHMRK_BOND_PX="&amp;X17),"--")</f>
        <v/>
      </c>
      <c r="AA17" s="23">
        <f>IFERROR(BDP(D17,"LAST_PRICE"),"--")</f>
        <v/>
      </c>
      <c r="AB17" s="24" t="n"/>
      <c r="AC17" s="23">
        <f>IFERROR(IF(ISBLANK(AB17),AA17,AB17),"--")</f>
        <v/>
      </c>
      <c r="AD17" s="23">
        <f>IFERROR(MAX(-500,MIN(500,AC17-Z17)),"--")</f>
        <v/>
      </c>
      <c r="AE17" s="25">
        <f>IFERROR((AD17-S17)/(T17-S17)*100,"--")</f>
        <v/>
      </c>
    </row>
    <row r="18">
      <c r="A18" s="26" t="inlineStr">
        <is>
          <t>EQR</t>
        </is>
      </c>
      <c r="B18" s="27" t="inlineStr">
        <is>
          <t>Fin</t>
        </is>
      </c>
      <c r="C18" s="26" t="inlineStr">
        <is>
          <t>EQR 4.95 06/15/32</t>
        </is>
      </c>
      <c r="D18" s="27" t="inlineStr">
        <is>
          <t>CT426366 Curncy</t>
        </is>
      </c>
      <c r="E18" s="27" t="inlineStr">
        <is>
          <t>US26884ABQ58</t>
        </is>
      </c>
      <c r="F18" s="28" t="n">
        <v>45779</v>
      </c>
      <c r="G18" s="28" t="n">
        <v>46225</v>
      </c>
      <c r="H18" s="28" t="n">
        <v>48385</v>
      </c>
      <c r="I18" s="29" t="n">
        <v>65.08779907226562</v>
      </c>
      <c r="J18" s="29" t="n">
        <v>55.70949935913086</v>
      </c>
      <c r="K18" s="29" t="n">
        <v>56.101</v>
      </c>
      <c r="L18" s="29" t="n">
        <v>63.347</v>
      </c>
      <c r="M18" s="30" t="n">
        <v>306</v>
      </c>
      <c r="N18" s="31" t="n">
        <v>8.986799072265626</v>
      </c>
      <c r="O18" s="32" t="n">
        <v>-15.28240063476562</v>
      </c>
      <c r="P18" s="32" t="n">
        <v>14.29339813232422</v>
      </c>
      <c r="Q18" s="33" t="n">
        <v>82.05763062614743</v>
      </c>
      <c r="R18" s="32" t="n">
        <v>-0.3915006408691397</v>
      </c>
      <c r="S18" s="32" t="n">
        <v>-22.48639920043945</v>
      </c>
      <c r="T18" s="32" t="n">
        <v>5.070200195312502</v>
      </c>
      <c r="U18" s="34" t="n">
        <v>80.18006228655484</v>
      </c>
      <c r="V18" s="20">
        <f>IFERROR(BDP(E18&amp;" Corp","LAST_PRICE"),"--")</f>
        <v/>
      </c>
      <c r="W18" s="21">
        <f>IFERROR(BDP(E18&amp;" Corp","YAS_BENCHMARK_BOND_ISIN"),"--")</f>
        <v/>
      </c>
      <c r="X18" s="22">
        <f>IFERROR(BDP(W18&amp;" CORP","LAST_PRICE"),"--")</f>
        <v/>
      </c>
      <c r="Y18" s="23">
        <f>IFERROR(BDP(E18&amp;" Corp","YAS_YLD_SPREAD","YAS_BOND_PX="&amp;V18,"YAS_BNCHMRK_BOND_PX="&amp;X18),"--")</f>
        <v/>
      </c>
      <c r="Z18" s="23">
        <f>IFERROR(BDP(E18&amp;" Corp","BLOOMBERG_MID_G_SPREAD","YAS_BOND_PX="&amp;V18,"YAS_BNCHMRK_BOND_PX="&amp;X18),"--")</f>
        <v/>
      </c>
      <c r="AA18" s="23">
        <f>IFERROR(BDP(D18,"LAST_PRICE"),"--")</f>
        <v/>
      </c>
      <c r="AB18" s="24" t="n"/>
      <c r="AC18" s="23">
        <f>IFERROR(IF(ISBLANK(AB18),AA18,AB18),"--")</f>
        <v/>
      </c>
      <c r="AD18" s="23">
        <f>IFERROR(MAX(-500,MIN(500,AC18-Z18)),"--")</f>
        <v/>
      </c>
      <c r="AE18" s="25">
        <f>IFERROR((AD18-S18)/(T18-S18)*100,"--")</f>
        <v/>
      </c>
    </row>
    <row r="19">
      <c r="A19" s="11" t="inlineStr">
        <is>
          <t>HIG</t>
        </is>
      </c>
      <c r="B19" s="12" t="inlineStr">
        <is>
          <t>Fin</t>
        </is>
      </c>
      <c r="C19" s="11" t="inlineStr">
        <is>
          <t>HIG 2.8 08/19/29</t>
        </is>
      </c>
      <c r="D19" s="12" t="inlineStr">
        <is>
          <t>CHIG1U5 Curncy</t>
        </is>
      </c>
      <c r="E19" s="12" t="inlineStr">
        <is>
          <t>US416515BE33</t>
        </is>
      </c>
      <c r="F19" s="13" t="n">
        <v>45712</v>
      </c>
      <c r="G19" s="13" t="n">
        <v>46225</v>
      </c>
      <c r="H19" s="13" t="n">
        <v>47472</v>
      </c>
      <c r="I19" s="14" t="n">
        <v>36.43730163574219</v>
      </c>
      <c r="J19" s="14" t="n">
        <v>51.75960159301758</v>
      </c>
      <c r="K19" s="14" t="n">
        <v>52.405</v>
      </c>
      <c r="L19" s="14" t="n">
        <v>52.088</v>
      </c>
      <c r="M19" s="15" t="n">
        <v>354</v>
      </c>
      <c r="N19" s="16" t="n">
        <v>-15.96769836425781</v>
      </c>
      <c r="O19" s="17" t="n">
        <v>-57.65679858398437</v>
      </c>
      <c r="P19" s="17" t="n">
        <v>4.956800354003903</v>
      </c>
      <c r="Q19" s="18" t="n">
        <v>66.58154287060695</v>
      </c>
      <c r="R19" s="17" t="n">
        <v>-0.645398406982423</v>
      </c>
      <c r="S19" s="17" t="n">
        <v>-43.52369998168945</v>
      </c>
      <c r="T19" s="17" t="n">
        <v>19.99540127563476</v>
      </c>
      <c r="U19" s="19" t="n">
        <v>67.50457850623768</v>
      </c>
      <c r="V19" s="20">
        <f>IFERROR(BDP(E19&amp;" Corp","LAST_PRICE"),"--")</f>
        <v/>
      </c>
      <c r="W19" s="21">
        <f>IFERROR(BDP(E19&amp;" Corp","YAS_BENCHMARK_BOND_ISIN"),"--")</f>
        <v/>
      </c>
      <c r="X19" s="22">
        <f>IFERROR(BDP(W19&amp;" CORP","LAST_PRICE"),"--")</f>
        <v/>
      </c>
      <c r="Y19" s="23">
        <f>IFERROR(BDP(E19&amp;" Corp","YAS_YLD_SPREAD","YAS_BOND_PX="&amp;V19,"YAS_BNCHMRK_BOND_PX="&amp;X19),"--")</f>
        <v/>
      </c>
      <c r="Z19" s="23">
        <f>IFERROR(BDP(E19&amp;" Corp","BLOOMBERG_MID_G_SPREAD","YAS_BOND_PX="&amp;V19,"YAS_BNCHMRK_BOND_PX="&amp;X19),"--")</f>
        <v/>
      </c>
      <c r="AA19" s="23">
        <f>IFERROR(BDP(D19,"LAST_PRICE"),"--")</f>
        <v/>
      </c>
      <c r="AB19" s="24" t="n"/>
      <c r="AC19" s="23">
        <f>IFERROR(IF(ISBLANK(AB19),AA19,AB19),"--")</f>
        <v/>
      </c>
      <c r="AD19" s="23">
        <f>IFERROR(MAX(-500,MIN(500,AC19-Z19)),"--")</f>
        <v/>
      </c>
      <c r="AE19" s="25">
        <f>IFERROR((AD19-S19)/(T19-S19)*100,"--")</f>
        <v/>
      </c>
    </row>
    <row r="20">
      <c r="A20" s="26" t="inlineStr">
        <is>
          <t>JEF</t>
        </is>
      </c>
      <c r="B20" s="27" t="inlineStr">
        <is>
          <t>Fin</t>
        </is>
      </c>
      <c r="C20" s="26" t="inlineStr">
        <is>
          <t>JEF 2 5/8 10/15/31</t>
        </is>
      </c>
      <c r="D20" s="27" t="inlineStr">
        <is>
          <t>CY090578 Curncy</t>
        </is>
      </c>
      <c r="E20" s="27" t="inlineStr">
        <is>
          <t>US47233JGT97</t>
        </is>
      </c>
      <c r="F20" s="28" t="n">
        <v>46121</v>
      </c>
      <c r="G20" s="28" t="n">
        <v>46225</v>
      </c>
      <c r="H20" s="28" t="n">
        <v>48202</v>
      </c>
      <c r="I20" s="29" t="n">
        <v>155.5303039550781</v>
      </c>
      <c r="J20" s="29" t="n">
        <v>149.1667022705078</v>
      </c>
      <c r="K20" s="29" t="n">
        <v>115.095</v>
      </c>
      <c r="L20" s="29" t="n">
        <v>117.074</v>
      </c>
      <c r="M20" s="30" t="n">
        <v>71</v>
      </c>
      <c r="N20" s="31" t="n">
        <v>40.43530395507813</v>
      </c>
      <c r="O20" s="32" t="n">
        <v>32.73620654296874</v>
      </c>
      <c r="P20" s="32" t="n">
        <v>60.55000305175781</v>
      </c>
      <c r="Q20" s="33" t="n">
        <v>27.68085762645345</v>
      </c>
      <c r="R20" s="32" t="n">
        <v>34.07170227050781</v>
      </c>
      <c r="S20" s="32" t="n">
        <v>25.77870227050781</v>
      </c>
      <c r="T20" s="32" t="n">
        <v>48.89099389648437</v>
      </c>
      <c r="U20" s="34" t="n">
        <v>35.88134025913408</v>
      </c>
      <c r="V20" s="20">
        <f>IFERROR(BDP(E20&amp;" Corp","LAST_PRICE"),"--")</f>
        <v/>
      </c>
      <c r="W20" s="21">
        <f>IFERROR(BDP(E20&amp;" Corp","YAS_BENCHMARK_BOND_ISIN"),"--")</f>
        <v/>
      </c>
      <c r="X20" s="22">
        <f>IFERROR(BDP(W20&amp;" CORP","LAST_PRICE"),"--")</f>
        <v/>
      </c>
      <c r="Y20" s="23">
        <f>IFERROR(BDP(E20&amp;" Corp","YAS_YLD_SPREAD","YAS_BOND_PX="&amp;V20,"YAS_BNCHMRK_BOND_PX="&amp;X20),"--")</f>
        <v/>
      </c>
      <c r="Z20" s="23">
        <f>IFERROR(BDP(E20&amp;" Corp","BLOOMBERG_MID_G_SPREAD","YAS_BOND_PX="&amp;V20,"YAS_BNCHMRK_BOND_PX="&amp;X20),"--")</f>
        <v/>
      </c>
      <c r="AA20" s="23">
        <f>IFERROR(BDP(D20,"LAST_PRICE"),"--")</f>
        <v/>
      </c>
      <c r="AB20" s="24" t="n"/>
      <c r="AC20" s="23">
        <f>IFERROR(IF(ISBLANK(AB20),AA20,AB20),"--")</f>
        <v/>
      </c>
      <c r="AD20" s="23">
        <f>IFERROR(MAX(-500,MIN(500,AC20-Z20)),"--")</f>
        <v/>
      </c>
      <c r="AE20" s="25">
        <f>IFERROR((AD20-S20)/(T20-S20)*100,"--")</f>
        <v/>
      </c>
    </row>
    <row r="21">
      <c r="A21" s="11" t="inlineStr">
        <is>
          <t>MMC</t>
        </is>
      </c>
      <c r="B21" s="12" t="inlineStr">
        <is>
          <t>Fin</t>
        </is>
      </c>
      <c r="C21" s="11" t="inlineStr">
        <is>
          <t>MRSH 4.85 11/15/31</t>
        </is>
      </c>
      <c r="D21" s="12" t="inlineStr">
        <is>
          <t>CMMC1U5  Curncy</t>
        </is>
      </c>
      <c r="E21" s="12" t="inlineStr">
        <is>
          <t>US571748CB69</t>
        </is>
      </c>
      <c r="F21" s="13" t="n">
        <v>45659</v>
      </c>
      <c r="G21" s="13" t="n">
        <v>46225</v>
      </c>
      <c r="H21" s="13" t="n">
        <v>48202</v>
      </c>
      <c r="I21" s="14" t="n">
        <v>52.32120132446289</v>
      </c>
      <c r="J21" s="14" t="n">
        <v>49.34420013427734</v>
      </c>
      <c r="K21" s="14" t="n">
        <v>60.166</v>
      </c>
      <c r="L21" s="14" t="n">
        <v>62.689</v>
      </c>
      <c r="M21" s="15" t="n">
        <v>388</v>
      </c>
      <c r="N21" s="16" t="n">
        <v>-7.844798675537106</v>
      </c>
      <c r="O21" s="17" t="n">
        <v>-38.75020129394531</v>
      </c>
      <c r="P21" s="17" t="n">
        <v>0.5848001098632807</v>
      </c>
      <c r="Q21" s="18" t="n">
        <v>78.56972547461459</v>
      </c>
      <c r="R21" s="17" t="n">
        <v>-10.82179986572265</v>
      </c>
      <c r="S21" s="17" t="n">
        <v>-41.20479876708984</v>
      </c>
      <c r="T21" s="17" t="n">
        <v>-2.773201599121094</v>
      </c>
      <c r="U21" s="19" t="n">
        <v>79.0573411991585</v>
      </c>
      <c r="V21" s="20">
        <f>IFERROR(BDP(E21&amp;" Corp","LAST_PRICE"),"--")</f>
        <v/>
      </c>
      <c r="W21" s="21">
        <f>IFERROR(BDP(E21&amp;" Corp","YAS_BENCHMARK_BOND_ISIN"),"--")</f>
        <v/>
      </c>
      <c r="X21" s="22">
        <f>IFERROR(BDP(W21&amp;" CORP","LAST_PRICE"),"--")</f>
        <v/>
      </c>
      <c r="Y21" s="23">
        <f>IFERROR(BDP(E21&amp;" Corp","YAS_YLD_SPREAD","YAS_BOND_PX="&amp;V21,"YAS_BNCHMRK_BOND_PX="&amp;X21),"--")</f>
        <v/>
      </c>
      <c r="Z21" s="23">
        <f>IFERROR(BDP(E21&amp;" Corp","BLOOMBERG_MID_G_SPREAD","YAS_BOND_PX="&amp;V21,"YAS_BNCHMRK_BOND_PX="&amp;X21),"--")</f>
        <v/>
      </c>
      <c r="AA21" s="23">
        <f>IFERROR(BDP(D21,"LAST_PRICE"),"--")</f>
        <v/>
      </c>
      <c r="AB21" s="24" t="n"/>
      <c r="AC21" s="23">
        <f>IFERROR(IF(ISBLANK(AB21),AA21,AB21),"--")</f>
        <v/>
      </c>
      <c r="AD21" s="23">
        <f>IFERROR(MAX(-500,MIN(500,AC21-Z21)),"--")</f>
        <v/>
      </c>
      <c r="AE21" s="25">
        <f>IFERROR((AD21-S21)/(T21-S21)*100,"--")</f>
        <v/>
      </c>
    </row>
    <row r="22">
      <c r="A22" s="26" t="inlineStr">
        <is>
          <t>MTB</t>
        </is>
      </c>
      <c r="B22" s="27" t="inlineStr">
        <is>
          <t>Fin</t>
        </is>
      </c>
      <c r="C22" s="26" t="inlineStr">
        <is>
          <t>MTB 5.179 07/08/31</t>
        </is>
      </c>
      <c r="D22" s="27" t="inlineStr">
        <is>
          <t>CT718525 Curncy</t>
        </is>
      </c>
      <c r="E22" s="27" t="inlineStr">
        <is>
          <t>US55261FAY07</t>
        </is>
      </c>
      <c r="F22" s="28" t="n">
        <v>46121</v>
      </c>
      <c r="G22" s="28" t="n">
        <v>46225</v>
      </c>
      <c r="H22" s="28" t="n">
        <v>48202</v>
      </c>
      <c r="I22" s="29" t="n">
        <v>72.80130004882812</v>
      </c>
      <c r="J22" s="29" t="n">
        <v>70.33670043945312</v>
      </c>
      <c r="K22" s="29" t="n">
        <v>76.986</v>
      </c>
      <c r="L22" s="29" t="n">
        <v>73.557</v>
      </c>
      <c r="M22" s="30" t="n">
        <v>72</v>
      </c>
      <c r="N22" s="31" t="n">
        <v>-4.184699951171879</v>
      </c>
      <c r="O22" s="32" t="n">
        <v>-14.08080029296875</v>
      </c>
      <c r="P22" s="32" t="n">
        <v>1.187902893066408</v>
      </c>
      <c r="Q22" s="33" t="n">
        <v>64.8129721379868</v>
      </c>
      <c r="R22" s="32" t="n">
        <v>-6.649299560546879</v>
      </c>
      <c r="S22" s="32" t="n">
        <v>-17.422</v>
      </c>
      <c r="T22" s="32" t="n">
        <v>-1.166299377441405</v>
      </c>
      <c r="U22" s="34" t="n">
        <v>66.27029304724937</v>
      </c>
      <c r="V22" s="20">
        <f>IFERROR(BDP(E22&amp;" Corp","LAST_PRICE"),"--")</f>
        <v/>
      </c>
      <c r="W22" s="21">
        <f>IFERROR(BDP(E22&amp;" Corp","YAS_BENCHMARK_BOND_ISIN"),"--")</f>
        <v/>
      </c>
      <c r="X22" s="22">
        <f>IFERROR(BDP(W22&amp;" CORP","LAST_PRICE"),"--")</f>
        <v/>
      </c>
      <c r="Y22" s="23">
        <f>IFERROR(BDP(E22&amp;" Corp","YAS_YLD_SPREAD","YAS_BOND_PX="&amp;V22,"YAS_BNCHMRK_BOND_PX="&amp;X22),"--")</f>
        <v/>
      </c>
      <c r="Z22" s="23">
        <f>IFERROR(BDP(E22&amp;" Corp","BLOOMBERG_MID_G_SPREAD","YAS_BOND_PX="&amp;V22,"YAS_BNCHMRK_BOND_PX="&amp;X22),"--")</f>
        <v/>
      </c>
      <c r="AA22" s="23">
        <f>IFERROR(BDP(D22,"LAST_PRICE"),"--")</f>
        <v/>
      </c>
      <c r="AB22" s="24" t="n"/>
      <c r="AC22" s="23">
        <f>IFERROR(IF(ISBLANK(AB22),AA22,AB22),"--")</f>
        <v/>
      </c>
      <c r="AD22" s="23">
        <f>IFERROR(MAX(-500,MIN(500,AC22-Z22)),"--")</f>
        <v/>
      </c>
      <c r="AE22" s="25">
        <f>IFERROR((AD22-S22)/(T22-S22)*100,"--")</f>
        <v/>
      </c>
    </row>
    <row r="23">
      <c r="A23" s="11" t="inlineStr">
        <is>
          <t>SYF</t>
        </is>
      </c>
      <c r="B23" s="12" t="inlineStr">
        <is>
          <t>Fin</t>
        </is>
      </c>
      <c r="C23" s="11" t="inlineStr">
        <is>
          <t>SYF 4.947 02/25/32</t>
        </is>
      </c>
      <c r="D23" s="12" t="inlineStr">
        <is>
          <t>CZ061100 Curncy</t>
        </is>
      </c>
      <c r="E23" s="12" t="inlineStr">
        <is>
          <t>US87165BAZ67</t>
        </is>
      </c>
      <c r="F23" s="13" t="n">
        <v>46121</v>
      </c>
      <c r="G23" s="13" t="n">
        <v>46225</v>
      </c>
      <c r="H23" s="13" t="n">
        <v>48385</v>
      </c>
      <c r="I23" s="14" t="n">
        <v>163.75390625</v>
      </c>
      <c r="J23" s="14" t="n">
        <v>150.6596069335938</v>
      </c>
      <c r="K23" s="14" t="n">
        <v>137.284</v>
      </c>
      <c r="L23" s="14" t="n">
        <v>137.483</v>
      </c>
      <c r="M23" s="15" t="n">
        <v>69</v>
      </c>
      <c r="N23" s="16" t="n">
        <v>26.46990625000001</v>
      </c>
      <c r="O23" s="17" t="n">
        <v>-31.96679803466796</v>
      </c>
      <c r="P23" s="17" t="n">
        <v>39.98430224609376</v>
      </c>
      <c r="Q23" s="18" t="n">
        <v>81.2172490158469</v>
      </c>
      <c r="R23" s="17" t="n">
        <v>13.37560693359376</v>
      </c>
      <c r="S23" s="17" t="n">
        <v>-48.53910180664062</v>
      </c>
      <c r="T23" s="17" t="n">
        <v>26.0410927734375</v>
      </c>
      <c r="U23" s="19" t="n">
        <v>83.0176283245754</v>
      </c>
      <c r="V23" s="20">
        <f>IFERROR(BDP(E23&amp;" Corp","LAST_PRICE"),"--")</f>
        <v/>
      </c>
      <c r="W23" s="21">
        <f>IFERROR(BDP(E23&amp;" Corp","YAS_BENCHMARK_BOND_ISIN"),"--")</f>
        <v/>
      </c>
      <c r="X23" s="22">
        <f>IFERROR(BDP(W23&amp;" CORP","LAST_PRICE"),"--")</f>
        <v/>
      </c>
      <c r="Y23" s="23">
        <f>IFERROR(BDP(E23&amp;" Corp","YAS_YLD_SPREAD","YAS_BOND_PX="&amp;V23,"YAS_BNCHMRK_BOND_PX="&amp;X23),"--")</f>
        <v/>
      </c>
      <c r="Z23" s="23">
        <f>IFERROR(BDP(E23&amp;" Corp","BLOOMBERG_MID_G_SPREAD","YAS_BOND_PX="&amp;V23,"YAS_BNCHMRK_BOND_PX="&amp;X23),"--")</f>
        <v/>
      </c>
      <c r="AA23" s="23">
        <f>IFERROR(BDP(D23,"LAST_PRICE"),"--")</f>
        <v/>
      </c>
      <c r="AB23" s="24" t="n"/>
      <c r="AC23" s="23">
        <f>IFERROR(IF(ISBLANK(AB23),AA23,AB23),"--")</f>
        <v/>
      </c>
      <c r="AD23" s="23">
        <f>IFERROR(MAX(-500,MIN(500,AC23-Z23)),"--")</f>
        <v/>
      </c>
      <c r="AE23" s="25">
        <f>IFERROR((AD23-S23)/(T23-S23)*100,"--")</f>
        <v/>
      </c>
    </row>
    <row r="24">
      <c r="A24" s="26" t="inlineStr">
        <is>
          <t>TFC</t>
        </is>
      </c>
      <c r="B24" s="27" t="inlineStr">
        <is>
          <t>Fin</t>
        </is>
      </c>
      <c r="C24" s="26" t="inlineStr">
        <is>
          <t>TFC 5.071 05/20/31</t>
        </is>
      </c>
      <c r="D24" s="27" t="inlineStr">
        <is>
          <t>CT406031 Curncy</t>
        </is>
      </c>
      <c r="E24" s="27" t="inlineStr">
        <is>
          <t>US89788MAU62</t>
        </is>
      </c>
      <c r="F24" s="28" t="n">
        <v>46121</v>
      </c>
      <c r="G24" s="28" t="n">
        <v>46225</v>
      </c>
      <c r="H24" s="28" t="n">
        <v>48019</v>
      </c>
      <c r="I24" s="29" t="n">
        <v>59.5</v>
      </c>
      <c r="J24" s="29" t="n">
        <v>59.5</v>
      </c>
      <c r="K24" s="29" t="n">
        <v>67.09</v>
      </c>
      <c r="L24" s="29" t="n">
        <v>63.723</v>
      </c>
      <c r="M24" s="30" t="n">
        <v>72</v>
      </c>
      <c r="N24" s="31" t="n">
        <v>-7.590000000000003</v>
      </c>
      <c r="O24" s="32" t="n">
        <v>-17.97189837646485</v>
      </c>
      <c r="P24" s="32" t="n">
        <v>-0.09269845581054881</v>
      </c>
      <c r="Q24" s="33" t="n">
        <v>58.06690692278423</v>
      </c>
      <c r="R24" s="32" t="n">
        <v>-7.590000000000003</v>
      </c>
      <c r="S24" s="32" t="n">
        <v>-17.97189837646485</v>
      </c>
      <c r="T24" s="32" t="n">
        <v>-0.09269845581054881</v>
      </c>
      <c r="U24" s="34" t="n">
        <v>58.06690692278423</v>
      </c>
      <c r="V24" s="20">
        <f>IFERROR(BDP(E24&amp;" Corp","LAST_PRICE"),"--")</f>
        <v/>
      </c>
      <c r="W24" s="21">
        <f>IFERROR(BDP(E24&amp;" Corp","YAS_BENCHMARK_BOND_ISIN"),"--")</f>
        <v/>
      </c>
      <c r="X24" s="22">
        <f>IFERROR(BDP(W24&amp;" CORP","LAST_PRICE"),"--")</f>
        <v/>
      </c>
      <c r="Y24" s="23">
        <f>IFERROR(BDP(E24&amp;" Corp","YAS_YLD_SPREAD","YAS_BOND_PX="&amp;V24,"YAS_BNCHMRK_BOND_PX="&amp;X24),"--")</f>
        <v/>
      </c>
      <c r="Z24" s="23">
        <f>IFERROR(BDP(E24&amp;" Corp","BLOOMBERG_MID_G_SPREAD","YAS_BOND_PX="&amp;V24,"YAS_BNCHMRK_BOND_PX="&amp;X24),"--")</f>
        <v/>
      </c>
      <c r="AA24" s="23">
        <f>IFERROR(BDP(D24,"LAST_PRICE"),"--")</f>
        <v/>
      </c>
      <c r="AB24" s="24" t="n"/>
      <c r="AC24" s="23">
        <f>IFERROR(IF(ISBLANK(AB24),AA24,AB24),"--")</f>
        <v/>
      </c>
      <c r="AD24" s="23">
        <f>IFERROR(MAX(-500,MIN(500,AC24-Z24)),"--")</f>
        <v/>
      </c>
      <c r="AE24" s="25">
        <f>IFERROR((AD24-S24)/(T24-S24)*100,"--")</f>
        <v/>
      </c>
    </row>
    <row r="25">
      <c r="A25" s="11" t="inlineStr">
        <is>
          <t>USB</t>
        </is>
      </c>
      <c r="B25" s="12" t="inlineStr">
        <is>
          <t>Fin</t>
        </is>
      </c>
      <c r="C25" s="11" t="inlineStr">
        <is>
          <t>USB 5.083 05/15/31</t>
        </is>
      </c>
      <c r="D25" s="12" t="inlineStr">
        <is>
          <t>CX376136 Curncy</t>
        </is>
      </c>
      <c r="E25" s="12" t="inlineStr">
        <is>
          <t>US91159HJV33</t>
        </is>
      </c>
      <c r="F25" s="13" t="n">
        <v>46121</v>
      </c>
      <c r="G25" s="13" t="n">
        <v>46225</v>
      </c>
      <c r="H25" s="13" t="n">
        <v>48019</v>
      </c>
      <c r="I25" s="14" t="n">
        <v>56.48440170288086</v>
      </c>
      <c r="J25" s="14" t="n">
        <v>56.48440170288086</v>
      </c>
      <c r="K25" s="14" t="n">
        <v>63.24</v>
      </c>
      <c r="L25" s="14" t="n">
        <v>59.696</v>
      </c>
      <c r="M25" s="15" t="n">
        <v>72</v>
      </c>
      <c r="N25" s="16" t="n">
        <v>-6.755598297119143</v>
      </c>
      <c r="O25" s="17" t="n">
        <v>-22.11279946899414</v>
      </c>
      <c r="P25" s="17" t="n">
        <v>0.9777006835937527</v>
      </c>
      <c r="Q25" s="18" t="n">
        <v>66.5087419951526</v>
      </c>
      <c r="R25" s="17" t="n">
        <v>-6.755598297119143</v>
      </c>
      <c r="S25" s="17" t="n">
        <v>-22.11279946899414</v>
      </c>
      <c r="T25" s="17" t="n">
        <v>0.9777006835937527</v>
      </c>
      <c r="U25" s="19" t="n">
        <v>66.5087419951526</v>
      </c>
      <c r="V25" s="20">
        <f>IFERROR(BDP(E25&amp;" Corp","LAST_PRICE"),"--")</f>
        <v/>
      </c>
      <c r="W25" s="21">
        <f>IFERROR(BDP(E25&amp;" Corp","YAS_BENCHMARK_BOND_ISIN"),"--")</f>
        <v/>
      </c>
      <c r="X25" s="22">
        <f>IFERROR(BDP(W25&amp;" CORP","LAST_PRICE"),"--")</f>
        <v/>
      </c>
      <c r="Y25" s="23">
        <f>IFERROR(BDP(E25&amp;" Corp","YAS_YLD_SPREAD","YAS_BOND_PX="&amp;V25,"YAS_BNCHMRK_BOND_PX="&amp;X25),"--")</f>
        <v/>
      </c>
      <c r="Z25" s="23">
        <f>IFERROR(BDP(E25&amp;" Corp","BLOOMBERG_MID_G_SPREAD","YAS_BOND_PX="&amp;V25,"YAS_BNCHMRK_BOND_PX="&amp;X25),"--")</f>
        <v/>
      </c>
      <c r="AA25" s="23">
        <f>IFERROR(BDP(D25,"LAST_PRICE"),"--")</f>
        <v/>
      </c>
      <c r="AB25" s="24" t="n"/>
      <c r="AC25" s="23">
        <f>IFERROR(IF(ISBLANK(AB25),AA25,AB25),"--")</f>
        <v/>
      </c>
      <c r="AD25" s="23">
        <f>IFERROR(MAX(-500,MIN(500,AC25-Z25)),"--")</f>
        <v/>
      </c>
      <c r="AE25" s="25">
        <f>IFERROR((AD25-S25)/(T25-S25)*100,"--")</f>
        <v/>
      </c>
    </row>
    <row r="26">
      <c r="A26" s="26" t="inlineStr">
        <is>
          <t>AAL</t>
        </is>
      </c>
      <c r="B26" s="27" t="inlineStr">
        <is>
          <t>HY</t>
        </is>
      </c>
      <c r="C26" s="26" t="inlineStr">
        <is>
          <t>AAL 7 1/4 02/15/28</t>
        </is>
      </c>
      <c r="D26" s="27" t="inlineStr">
        <is>
          <t>AMR/AMERICAN CDS USD SR 5Y D14 Corp</t>
        </is>
      </c>
      <c r="E26" s="27" t="inlineStr">
        <is>
          <t>US023771T329</t>
        </is>
      </c>
      <c r="F26" s="28" t="n">
        <v>45659</v>
      </c>
      <c r="G26" s="28" t="n">
        <v>46225</v>
      </c>
      <c r="H26" s="28" t="n">
        <v>46924</v>
      </c>
      <c r="I26" s="29" t="n">
        <v>212.1986999511719</v>
      </c>
      <c r="J26" s="29" t="n">
        <v>427.9508972167969</v>
      </c>
      <c r="K26" s="29" t="n">
        <v>103.504</v>
      </c>
      <c r="L26" s="29" t="n">
        <v>90.8</v>
      </c>
      <c r="M26" s="30" t="n">
        <v>387</v>
      </c>
      <c r="N26" s="31" t="n">
        <v>108.6946999511719</v>
      </c>
      <c r="O26" s="32" t="n">
        <v>-25.03870874023437</v>
      </c>
      <c r="P26" s="32" t="n">
        <v>634.5749931640626</v>
      </c>
      <c r="Q26" s="33" t="n">
        <v>20.27450435085255</v>
      </c>
      <c r="R26" s="32" t="n">
        <v>324.4468972167969</v>
      </c>
      <c r="S26" s="32" t="n">
        <v>223.5991882324219</v>
      </c>
      <c r="T26" s="32" t="n">
        <v>808.7418937988282</v>
      </c>
      <c r="U26" s="34" t="n">
        <v>17.23472035539714</v>
      </c>
      <c r="V26" s="20">
        <f>IFERROR(BDP(E26&amp;" Corp","LAST_PRICE"),"--")</f>
        <v/>
      </c>
      <c r="W26" s="21">
        <f>IFERROR(BDP(E26&amp;" Corp","YAS_BENCHMARK_BOND_ISIN"),"--")</f>
        <v/>
      </c>
      <c r="X26" s="22">
        <f>IFERROR(BDP(W26&amp;" CORP","LAST_PRICE"),"--")</f>
        <v/>
      </c>
      <c r="Y26" s="23">
        <f>IFERROR(BDP(E26&amp;" Corp","YAS_YLD_SPREAD","YAS_BOND_PX="&amp;V26,"YAS_BNCHMRK_BOND_PX="&amp;X26),"--")</f>
        <v/>
      </c>
      <c r="Z26" s="23">
        <f>IFERROR(BDP(E26&amp;" Corp","BLOOMBERG_MID_G_SPREAD","YAS_BOND_PX="&amp;V26,"YAS_BNCHMRK_BOND_PX="&amp;X26),"--")</f>
        <v/>
      </c>
      <c r="AA26" s="23">
        <f>IFERROR(BDP(D26,"LAST_PRICE"),"--")</f>
        <v/>
      </c>
      <c r="AB26" s="24" t="n"/>
      <c r="AC26" s="23">
        <f>IFERROR(IF(ISBLANK(AB26),AA26,AB26),"--")</f>
        <v/>
      </c>
      <c r="AD26" s="23">
        <f>IFERROR(MAX(-500,MIN(500,AC26-Z26)),"--")</f>
        <v/>
      </c>
      <c r="AE26" s="25">
        <f>IFERROR((AD26-S26)/(T26-S26)*100,"--")</f>
        <v/>
      </c>
    </row>
    <row r="27">
      <c r="A27" s="11" t="inlineStr">
        <is>
          <t>ADT</t>
        </is>
      </c>
      <c r="B27" s="12" t="inlineStr">
        <is>
          <t>HY</t>
        </is>
      </c>
      <c r="C27" s="11" t="inlineStr">
        <is>
          <t>ADT 4 7/8 07/15/32</t>
        </is>
      </c>
      <c r="D27" s="12" t="inlineStr">
        <is>
          <t>ADT CDS USD SR 5Y D14 Corp</t>
        </is>
      </c>
      <c r="E27" s="12" t="inlineStr">
        <is>
          <t>US74166NAA28</t>
        </is>
      </c>
      <c r="F27" s="13" t="n">
        <v>45659</v>
      </c>
      <c r="G27" s="13" t="n">
        <v>46225</v>
      </c>
      <c r="H27" s="13" t="n">
        <v>48568</v>
      </c>
      <c r="I27" s="14" t="n">
        <v>151.8589935302734</v>
      </c>
      <c r="J27" s="14" t="n">
        <v>122.9598007202148</v>
      </c>
      <c r="K27" s="14" t="n">
        <v>162.967</v>
      </c>
      <c r="L27" s="14" t="n">
        <v>173.942</v>
      </c>
      <c r="M27" s="15" t="n">
        <v>389</v>
      </c>
      <c r="N27" s="16" t="n">
        <v>-11.10800646972658</v>
      </c>
      <c r="O27" s="17" t="n">
        <v>-47.10889831542968</v>
      </c>
      <c r="P27" s="17" t="n">
        <v>6.070202392578125</v>
      </c>
      <c r="Q27" s="18" t="n">
        <v>67.69744385745513</v>
      </c>
      <c r="R27" s="17" t="n">
        <v>-40.00719927978517</v>
      </c>
      <c r="S27" s="17" t="n">
        <v>-69.56800500488282</v>
      </c>
      <c r="T27" s="17" t="n">
        <v>-7.684393432617185</v>
      </c>
      <c r="U27" s="19" t="n">
        <v>47.76839129787621</v>
      </c>
      <c r="V27" s="20">
        <f>IFERROR(BDP(E27&amp;" Corp","LAST_PRICE"),"--")</f>
        <v/>
      </c>
      <c r="W27" s="21">
        <f>IFERROR(BDP(E27&amp;" Corp","YAS_BENCHMARK_BOND_ISIN"),"--")</f>
        <v/>
      </c>
      <c r="X27" s="22">
        <f>IFERROR(BDP(W27&amp;" CORP","LAST_PRICE"),"--")</f>
        <v/>
      </c>
      <c r="Y27" s="23">
        <f>IFERROR(BDP(E27&amp;" Corp","YAS_YLD_SPREAD","YAS_BOND_PX="&amp;V27,"YAS_BNCHMRK_BOND_PX="&amp;X27),"--")</f>
        <v/>
      </c>
      <c r="Z27" s="23">
        <f>IFERROR(BDP(E27&amp;" Corp","BLOOMBERG_MID_G_SPREAD","YAS_BOND_PX="&amp;V27,"YAS_BNCHMRK_BOND_PX="&amp;X27),"--")</f>
        <v/>
      </c>
      <c r="AA27" s="23">
        <f>IFERROR(BDP(D27,"LAST_PRICE"),"--")</f>
        <v/>
      </c>
      <c r="AB27" s="24" t="n"/>
      <c r="AC27" s="23">
        <f>IFERROR(IF(ISBLANK(AB27),AA27,AB27),"--")</f>
        <v/>
      </c>
      <c r="AD27" s="23">
        <f>IFERROR(MAX(-500,MIN(500,AC27-Z27)),"--")</f>
        <v/>
      </c>
      <c r="AE27" s="25">
        <f>IFERROR((AD27-S27)/(T27-S27)*100,"--")</f>
        <v/>
      </c>
    </row>
    <row r="28">
      <c r="A28" s="26" t="inlineStr">
        <is>
          <t>ALIANT</t>
        </is>
      </c>
      <c r="B28" s="27" t="inlineStr">
        <is>
          <t>HY</t>
        </is>
      </c>
      <c r="C28" s="26" t="inlineStr">
        <is>
          <t>ALIANT 7 3/8 10/01/32</t>
        </is>
      </c>
      <c r="D28" s="27" t="inlineStr">
        <is>
          <t>CY907103 Curncy</t>
        </is>
      </c>
      <c r="E28" s="27" t="inlineStr">
        <is>
          <t>US01883LAH69</t>
        </is>
      </c>
      <c r="F28" s="28" t="n">
        <v>45659</v>
      </c>
      <c r="G28" s="28" t="n">
        <v>46225</v>
      </c>
      <c r="H28" s="28" t="n">
        <v>48568</v>
      </c>
      <c r="I28" s="29" t="n">
        <v>263.7362976074219</v>
      </c>
      <c r="J28" s="29" t="n">
        <v>248.7519073486328</v>
      </c>
      <c r="K28" s="29" t="n">
        <v>274.518</v>
      </c>
      <c r="L28" s="29" t="n">
        <v>291.741</v>
      </c>
      <c r="M28" s="30" t="n">
        <v>388</v>
      </c>
      <c r="N28" s="31" t="n">
        <v>-10.7817023925781</v>
      </c>
      <c r="O28" s="32" t="n">
        <v>-173.2269947509766</v>
      </c>
      <c r="P28" s="32" t="n">
        <v>-6.594389404296862</v>
      </c>
      <c r="Q28" s="33" t="n">
        <v>97.48709865060951</v>
      </c>
      <c r="R28" s="32" t="n">
        <v>-25.76609265136716</v>
      </c>
      <c r="S28" s="32" t="n">
        <v>-183.8100025634766</v>
      </c>
      <c r="T28" s="32" t="n">
        <v>-21.58599707031249</v>
      </c>
      <c r="U28" s="34" t="n">
        <v>97.42325707693685</v>
      </c>
      <c r="V28" s="20">
        <f>IFERROR(BDP(E28&amp;" Corp","LAST_PRICE"),"--")</f>
        <v/>
      </c>
      <c r="W28" s="21">
        <f>IFERROR(BDP(E28&amp;" Corp","YAS_BENCHMARK_BOND_ISIN"),"--")</f>
        <v/>
      </c>
      <c r="X28" s="22">
        <f>IFERROR(BDP(W28&amp;" CORP","LAST_PRICE"),"--")</f>
        <v/>
      </c>
      <c r="Y28" s="23">
        <f>IFERROR(BDP(E28&amp;" Corp","YAS_YLD_SPREAD","YAS_BOND_PX="&amp;V28,"YAS_BNCHMRK_BOND_PX="&amp;X28),"--")</f>
        <v/>
      </c>
      <c r="Z28" s="23">
        <f>IFERROR(BDP(E28&amp;" Corp","BLOOMBERG_MID_G_SPREAD","YAS_BOND_PX="&amp;V28,"YAS_BNCHMRK_BOND_PX="&amp;X28),"--")</f>
        <v/>
      </c>
      <c r="AA28" s="23">
        <f>IFERROR(BDP(D28,"LAST_PRICE"),"--")</f>
        <v/>
      </c>
      <c r="AB28" s="24" t="n"/>
      <c r="AC28" s="23">
        <f>IFERROR(IF(ISBLANK(AB28),AA28,AB28),"--")</f>
        <v/>
      </c>
      <c r="AD28" s="23">
        <f>IFERROR(MAX(-500,MIN(500,AC28-Z28)),"--")</f>
        <v/>
      </c>
      <c r="AE28" s="25">
        <f>IFERROR((AD28-S28)/(T28-S28)*100,"--")</f>
        <v/>
      </c>
    </row>
    <row r="29">
      <c r="A29" s="11" t="inlineStr">
        <is>
          <t>AMKR</t>
        </is>
      </c>
      <c r="B29" s="12" t="inlineStr">
        <is>
          <t>HY</t>
        </is>
      </c>
      <c r="C29" s="11" t="inlineStr">
        <is>
          <t>AMKR 5 7/8 10/01/33</t>
        </is>
      </c>
      <c r="D29" s="12" t="inlineStr">
        <is>
          <t>AMKR CDS USD SR 5Y D14 Corp</t>
        </is>
      </c>
      <c r="E29" s="12" t="inlineStr">
        <is>
          <t>US031652BL34</t>
        </is>
      </c>
      <c r="F29" s="13" t="n">
        <v>45908</v>
      </c>
      <c r="G29" s="13" t="n">
        <v>46225</v>
      </c>
      <c r="H29" s="13" t="n">
        <v>48933</v>
      </c>
      <c r="I29" s="14" t="n">
        <v>157.8943023681641</v>
      </c>
      <c r="J29" s="14" t="n">
        <v>110.7969970703125</v>
      </c>
      <c r="K29" s="14" t="n">
        <v>146.912</v>
      </c>
      <c r="L29" s="14" t="n">
        <v>143.167</v>
      </c>
      <c r="M29" s="15" t="n">
        <v>219</v>
      </c>
      <c r="N29" s="16" t="n">
        <v>10.98230236816406</v>
      </c>
      <c r="O29" s="17" t="n">
        <v>-83.64150024414062</v>
      </c>
      <c r="P29" s="17" t="n">
        <v>13.23949780273438</v>
      </c>
      <c r="Q29" s="18" t="n">
        <v>97.67013606375298</v>
      </c>
      <c r="R29" s="17" t="n">
        <v>-36.11500292968751</v>
      </c>
      <c r="S29" s="17" t="n">
        <v>-111.0579965209961</v>
      </c>
      <c r="T29" s="17" t="n">
        <v>-32.7258037109375</v>
      </c>
      <c r="U29" s="19" t="n">
        <v>95.67329970326733</v>
      </c>
      <c r="V29" s="20">
        <f>IFERROR(BDP(E29&amp;" Corp","LAST_PRICE"),"--")</f>
        <v/>
      </c>
      <c r="W29" s="21">
        <f>IFERROR(BDP(E29&amp;" Corp","YAS_BENCHMARK_BOND_ISIN"),"--")</f>
        <v/>
      </c>
      <c r="X29" s="22">
        <f>IFERROR(BDP(W29&amp;" CORP","LAST_PRICE"),"--")</f>
        <v/>
      </c>
      <c r="Y29" s="23">
        <f>IFERROR(BDP(E29&amp;" Corp","YAS_YLD_SPREAD","YAS_BOND_PX="&amp;V29,"YAS_BNCHMRK_BOND_PX="&amp;X29),"--")</f>
        <v/>
      </c>
      <c r="Z29" s="23">
        <f>IFERROR(BDP(E29&amp;" Corp","BLOOMBERG_MID_G_SPREAD","YAS_BOND_PX="&amp;V29,"YAS_BNCHMRK_BOND_PX="&amp;X29),"--")</f>
        <v/>
      </c>
      <c r="AA29" s="23">
        <f>IFERROR(BDP(D29,"LAST_PRICE"),"--")</f>
        <v/>
      </c>
      <c r="AB29" s="24" t="n"/>
      <c r="AC29" s="23">
        <f>IFERROR(IF(ISBLANK(AB29),AA29,AB29),"--")</f>
        <v/>
      </c>
      <c r="AD29" s="23">
        <f>IFERROR(MAX(-500,MIN(500,AC29-Z29)),"--")</f>
        <v/>
      </c>
      <c r="AE29" s="25">
        <f>IFERROR((AD29-S29)/(T29-S29)*100,"--")</f>
        <v/>
      </c>
    </row>
    <row r="30">
      <c r="A30" s="26" t="inlineStr">
        <is>
          <t>ARMK</t>
        </is>
      </c>
      <c r="B30" s="27" t="inlineStr">
        <is>
          <t>HY</t>
        </is>
      </c>
      <c r="C30" s="26" t="inlineStr">
        <is>
          <t>ARMK 4 3/8 04/15/33</t>
        </is>
      </c>
      <c r="D30" s="27" t="inlineStr">
        <is>
          <t>ARMK CDS USD SR 5Y D14 Corp</t>
        </is>
      </c>
      <c r="E30" s="27" t="inlineStr">
        <is>
          <t>XS3023482436</t>
        </is>
      </c>
      <c r="F30" s="28" t="n">
        <v>45723</v>
      </c>
      <c r="G30" s="28" t="n">
        <v>46225</v>
      </c>
      <c r="H30" s="28" t="n">
        <v>48750</v>
      </c>
      <c r="I30" s="29" t="n">
        <v>101.4427032470703</v>
      </c>
      <c r="J30" s="29" t="n">
        <v>78.52729797363281</v>
      </c>
      <c r="K30" s="29" t="n">
        <v>164.63</v>
      </c>
      <c r="L30" s="29" t="n">
        <v>165.13</v>
      </c>
      <c r="M30" s="30" t="n">
        <v>348</v>
      </c>
      <c r="N30" s="31" t="n">
        <v>-63.18729675292968</v>
      </c>
      <c r="O30" s="32" t="n">
        <v>-112.3486982421875</v>
      </c>
      <c r="P30" s="32" t="n">
        <v>-19.92160717773439</v>
      </c>
      <c r="Q30" s="33" t="n">
        <v>53.18938519332562</v>
      </c>
      <c r="R30" s="32" t="n">
        <v>-86.10270202636718</v>
      </c>
      <c r="S30" s="32" t="n">
        <v>-132.1203046875</v>
      </c>
      <c r="T30" s="32" t="n">
        <v>-34.06470410156251</v>
      </c>
      <c r="U30" s="34" t="n">
        <v>46.93011147364525</v>
      </c>
      <c r="V30" s="20">
        <f>IFERROR(BDP(E30&amp;" Corp","LAST_PRICE"),"--")</f>
        <v/>
      </c>
      <c r="W30" s="21">
        <f>IFERROR(BDP(E30&amp;" Corp","YAS_BENCHMARK_BOND_ISIN"),"--")</f>
        <v/>
      </c>
      <c r="X30" s="22">
        <f>IFERROR(BDP(W30&amp;" CORP","LAST_PRICE"),"--")</f>
        <v/>
      </c>
      <c r="Y30" s="23">
        <f>IFERROR(BDP(E30&amp;" Corp","YAS_YLD_SPREAD","YAS_BOND_PX="&amp;V30,"YAS_BNCHMRK_BOND_PX="&amp;X30),"--")</f>
        <v/>
      </c>
      <c r="Z30" s="23">
        <f>IFERROR(BDP(E30&amp;" Corp","BLOOMBERG_MID_G_SPREAD","YAS_BOND_PX="&amp;V30,"YAS_BNCHMRK_BOND_PX="&amp;X30),"--")</f>
        <v/>
      </c>
      <c r="AA30" s="23">
        <f>IFERROR(BDP(D30,"LAST_PRICE"),"--")</f>
        <v/>
      </c>
      <c r="AB30" s="24" t="n"/>
      <c r="AC30" s="23">
        <f>IFERROR(IF(ISBLANK(AB30),AA30,AB30),"--")</f>
        <v/>
      </c>
      <c r="AD30" s="23">
        <f>IFERROR(MAX(-500,MIN(500,AC30-Z30)),"--")</f>
        <v/>
      </c>
      <c r="AE30" s="25">
        <f>IFERROR((AD30-S30)/(T30-S30)*100,"--")</f>
        <v/>
      </c>
    </row>
    <row r="31">
      <c r="A31" s="11" t="inlineStr">
        <is>
          <t>ASH</t>
        </is>
      </c>
      <c r="B31" s="12" t="inlineStr">
        <is>
          <t>HY</t>
        </is>
      </c>
      <c r="C31" s="11" t="inlineStr">
        <is>
          <t>ASH 3 3/8 09/01/31</t>
        </is>
      </c>
      <c r="D31" s="12" t="inlineStr">
        <is>
          <t>ASH CDS USD SR 5Y D14 Corp</t>
        </is>
      </c>
      <c r="E31" s="12" t="inlineStr">
        <is>
          <t>USU0442LAA45</t>
        </is>
      </c>
      <c r="F31" s="13" t="n">
        <v>45659</v>
      </c>
      <c r="G31" s="13" t="n">
        <v>46225</v>
      </c>
      <c r="H31" s="13" t="n">
        <v>48202</v>
      </c>
      <c r="I31" s="14" t="n">
        <v>89.00209808349609</v>
      </c>
      <c r="J31" s="14" t="n">
        <v>80.46620178222656</v>
      </c>
      <c r="K31" s="14" t="n">
        <v>63.477</v>
      </c>
      <c r="L31" s="14" t="n">
        <v>67.598</v>
      </c>
      <c r="M31" s="15" t="n">
        <v>388</v>
      </c>
      <c r="N31" s="16" t="n">
        <v>25.5250980834961</v>
      </c>
      <c r="O31" s="17" t="n">
        <v>-71.92679730224609</v>
      </c>
      <c r="P31" s="17" t="n">
        <v>41.95069744873047</v>
      </c>
      <c r="Q31" s="18" t="n">
        <v>85.57607945173599</v>
      </c>
      <c r="R31" s="17" t="n">
        <v>16.98920178222657</v>
      </c>
      <c r="S31" s="17" t="n">
        <v>-76.60309735107421</v>
      </c>
      <c r="T31" s="17" t="n">
        <v>32.62769940185547</v>
      </c>
      <c r="U31" s="19" t="n">
        <v>85.68306916683781</v>
      </c>
      <c r="V31" s="20">
        <f>IFERROR(BDP(E31&amp;" Corp","LAST_PRICE"),"--")</f>
        <v/>
      </c>
      <c r="W31" s="21">
        <f>IFERROR(BDP(E31&amp;" Corp","YAS_BENCHMARK_BOND_ISIN"),"--")</f>
        <v/>
      </c>
      <c r="X31" s="22">
        <f>IFERROR(BDP(W31&amp;" CORP","LAST_PRICE"),"--")</f>
        <v/>
      </c>
      <c r="Y31" s="23">
        <f>IFERROR(BDP(E31&amp;" Corp","YAS_YLD_SPREAD","YAS_BOND_PX="&amp;V31,"YAS_BNCHMRK_BOND_PX="&amp;X31),"--")</f>
        <v/>
      </c>
      <c r="Z31" s="23">
        <f>IFERROR(BDP(E31&amp;" Corp","BLOOMBERG_MID_G_SPREAD","YAS_BOND_PX="&amp;V31,"YAS_BNCHMRK_BOND_PX="&amp;X31),"--")</f>
        <v/>
      </c>
      <c r="AA31" s="23">
        <f>IFERROR(BDP(D31,"LAST_PRICE"),"--")</f>
        <v/>
      </c>
      <c r="AB31" s="24" t="n"/>
      <c r="AC31" s="23">
        <f>IFERROR(IF(ISBLANK(AB31),AA31,AB31),"--")</f>
        <v/>
      </c>
      <c r="AD31" s="23">
        <f>IFERROR(MAX(-500,MIN(500,AC31-Z31)),"--")</f>
        <v/>
      </c>
      <c r="AE31" s="25">
        <f>IFERROR((AD31-S31)/(T31-S31)*100,"--")</f>
        <v/>
      </c>
    </row>
    <row r="32">
      <c r="A32" s="26" t="inlineStr">
        <is>
          <t>ASUCOR</t>
        </is>
      </c>
      <c r="B32" s="27" t="inlineStr">
        <is>
          <t>HY</t>
        </is>
      </c>
      <c r="C32" s="26" t="inlineStr">
        <is>
          <t>ASUCOR 8 12/31/32</t>
        </is>
      </c>
      <c r="D32" s="27" t="inlineStr">
        <is>
          <t>CZ060913 Curncy</t>
        </is>
      </c>
      <c r="E32" s="27" t="inlineStr">
        <is>
          <t>US045941AA96</t>
        </is>
      </c>
      <c r="F32" s="28" t="n">
        <v>46106</v>
      </c>
      <c r="G32" s="28" t="n">
        <v>46225</v>
      </c>
      <c r="H32" s="28" t="n">
        <v>48750</v>
      </c>
      <c r="I32" s="29" t="n">
        <v>431.845703125</v>
      </c>
      <c r="J32" s="29" t="n">
        <v>393.2403869628906</v>
      </c>
      <c r="K32" s="29" t="n">
        <v>334.873</v>
      </c>
      <c r="L32" s="29" t="n">
        <v>341.701</v>
      </c>
      <c r="M32" s="30" t="n">
        <v>83</v>
      </c>
      <c r="N32" s="31" t="n">
        <v>96.97270312500001</v>
      </c>
      <c r="O32" s="32" t="n">
        <v>8.701912841796855</v>
      </c>
      <c r="P32" s="32" t="n">
        <v>131.8638984375</v>
      </c>
      <c r="Q32" s="33" t="n">
        <v>71.67048327148984</v>
      </c>
      <c r="R32" s="32" t="n">
        <v>58.36738696289063</v>
      </c>
      <c r="S32" s="32" t="n">
        <v>-21.95408569335939</v>
      </c>
      <c r="T32" s="32" t="n">
        <v>70.69379345703123</v>
      </c>
      <c r="U32" s="34" t="n">
        <v>86.69542507915182</v>
      </c>
      <c r="V32" s="20">
        <f>IFERROR(BDP(E32&amp;" Corp","LAST_PRICE"),"--")</f>
        <v/>
      </c>
      <c r="W32" s="21">
        <f>IFERROR(BDP(E32&amp;" Corp","YAS_BENCHMARK_BOND_ISIN"),"--")</f>
        <v/>
      </c>
      <c r="X32" s="22">
        <f>IFERROR(BDP(W32&amp;" CORP","LAST_PRICE"),"--")</f>
        <v/>
      </c>
      <c r="Y32" s="23">
        <f>IFERROR(BDP(E32&amp;" Corp","YAS_YLD_SPREAD","YAS_BOND_PX="&amp;V32,"YAS_BNCHMRK_BOND_PX="&amp;X32),"--")</f>
        <v/>
      </c>
      <c r="Z32" s="23">
        <f>IFERROR(BDP(E32&amp;" Corp","BLOOMBERG_MID_G_SPREAD","YAS_BOND_PX="&amp;V32,"YAS_BNCHMRK_BOND_PX="&amp;X32),"--")</f>
        <v/>
      </c>
      <c r="AA32" s="23">
        <f>IFERROR(BDP(D32,"LAST_PRICE"),"--")</f>
        <v/>
      </c>
      <c r="AB32" s="24" t="n"/>
      <c r="AC32" s="23">
        <f>IFERROR(IF(ISBLANK(AB32),AA32,AB32),"--")</f>
        <v/>
      </c>
      <c r="AD32" s="23">
        <f>IFERROR(MAX(-500,MIN(500,AC32-Z32)),"--")</f>
        <v/>
      </c>
      <c r="AE32" s="25">
        <f>IFERROR((AD32-S32)/(T32-S32)*100,"--")</f>
        <v/>
      </c>
    </row>
    <row r="33">
      <c r="A33" s="11" t="inlineStr">
        <is>
          <t>AVNT</t>
        </is>
      </c>
      <c r="B33" s="12" t="inlineStr">
        <is>
          <t>HY</t>
        </is>
      </c>
      <c r="C33" s="11" t="inlineStr">
        <is>
          <t>AVNT 6 1/4 11/01/31</t>
        </is>
      </c>
      <c r="D33" s="12" t="inlineStr">
        <is>
          <t>AVNT CDS USD SR 5Y D14 Corp</t>
        </is>
      </c>
      <c r="E33" s="12" t="inlineStr">
        <is>
          <t>US05368VAB27</t>
        </is>
      </c>
      <c r="F33" s="13" t="n">
        <v>45659</v>
      </c>
      <c r="G33" s="13" t="n">
        <v>46225</v>
      </c>
      <c r="H33" s="13" t="n">
        <v>48202</v>
      </c>
      <c r="I33" s="14" t="n">
        <v>109.3699035644531</v>
      </c>
      <c r="J33" s="14" t="n">
        <v>98.5</v>
      </c>
      <c r="K33" s="14" t="n">
        <v>141.773</v>
      </c>
      <c r="L33" s="14" t="n">
        <v>160.35</v>
      </c>
      <c r="M33" s="15" t="n">
        <v>388</v>
      </c>
      <c r="N33" s="16" t="n">
        <v>-32.40309643554687</v>
      </c>
      <c r="O33" s="17" t="n">
        <v>-113.7142993164063</v>
      </c>
      <c r="P33" s="17" t="n">
        <v>-6.532390380859397</v>
      </c>
      <c r="Q33" s="18" t="n">
        <v>75.86280528904868</v>
      </c>
      <c r="R33" s="17" t="n">
        <v>-43.273</v>
      </c>
      <c r="S33" s="17" t="n">
        <v>-120.5778018188477</v>
      </c>
      <c r="T33" s="17" t="n">
        <v>-17.20940454101563</v>
      </c>
      <c r="U33" s="19" t="n">
        <v>74.78572160799686</v>
      </c>
      <c r="V33" s="20">
        <f>IFERROR(BDP(E33&amp;" Corp","LAST_PRICE"),"--")</f>
        <v/>
      </c>
      <c r="W33" s="21">
        <f>IFERROR(BDP(E33&amp;" Corp","YAS_BENCHMARK_BOND_ISIN"),"--")</f>
        <v/>
      </c>
      <c r="X33" s="22">
        <f>IFERROR(BDP(W33&amp;" CORP","LAST_PRICE"),"--")</f>
        <v/>
      </c>
      <c r="Y33" s="23">
        <f>IFERROR(BDP(E33&amp;" Corp","YAS_YLD_SPREAD","YAS_BOND_PX="&amp;V33,"YAS_BNCHMRK_BOND_PX="&amp;X33),"--")</f>
        <v/>
      </c>
      <c r="Z33" s="23">
        <f>IFERROR(BDP(E33&amp;" Corp","BLOOMBERG_MID_G_SPREAD","YAS_BOND_PX="&amp;V33,"YAS_BNCHMRK_BOND_PX="&amp;X33),"--")</f>
        <v/>
      </c>
      <c r="AA33" s="23">
        <f>IFERROR(BDP(D33,"LAST_PRICE"),"--")</f>
        <v/>
      </c>
      <c r="AB33" s="24" t="n"/>
      <c r="AC33" s="23">
        <f>IFERROR(IF(ISBLANK(AB33),AA33,AB33),"--")</f>
        <v/>
      </c>
      <c r="AD33" s="23">
        <f>IFERROR(MAX(-500,MIN(500,AC33-Z33)),"--")</f>
        <v/>
      </c>
      <c r="AE33" s="25">
        <f>IFERROR((AD33-S33)/(T33-S33)*100,"--")</f>
        <v/>
      </c>
    </row>
    <row r="34">
      <c r="A34" s="26" t="inlineStr">
        <is>
          <t>AXL</t>
        </is>
      </c>
      <c r="B34" s="27" t="inlineStr">
        <is>
          <t>HY</t>
        </is>
      </c>
      <c r="C34" s="26" t="inlineStr">
        <is>
          <t>AXL 7 3/4 10/15/33</t>
        </is>
      </c>
      <c r="D34" s="27" t="inlineStr">
        <is>
          <t>AXL CDS USD SR 5Y D14 Corp</t>
        </is>
      </c>
      <c r="E34" s="27" t="inlineStr">
        <is>
          <t>US02406PBD15</t>
        </is>
      </c>
      <c r="F34" s="28" t="n">
        <v>45919</v>
      </c>
      <c r="G34" s="28" t="n">
        <v>46225</v>
      </c>
      <c r="H34" s="28" t="n">
        <v>48933</v>
      </c>
      <c r="I34" s="29" t="n">
        <v>413.4312133789062</v>
      </c>
      <c r="J34" s="29" t="n">
        <v>316.7297973632812</v>
      </c>
      <c r="K34" s="29" t="n">
        <v>348.795</v>
      </c>
      <c r="L34" s="29" t="n">
        <v>344.184</v>
      </c>
      <c r="M34" s="30" t="n">
        <v>210</v>
      </c>
      <c r="N34" s="31" t="n">
        <v>64.63621337890623</v>
      </c>
      <c r="O34" s="32" t="n">
        <v>3.010091552734366</v>
      </c>
      <c r="P34" s="32" t="n">
        <v>104.1088903808593</v>
      </c>
      <c r="Q34" s="33" t="n">
        <v>60.95633433878931</v>
      </c>
      <c r="R34" s="32" t="n">
        <v>-32.06520263671877</v>
      </c>
      <c r="S34" s="32" t="n">
        <v>-78.59749121093751</v>
      </c>
      <c r="T34" s="32" t="n">
        <v>26.25418652343751</v>
      </c>
      <c r="U34" s="34" t="n">
        <v>44.37915499273256</v>
      </c>
      <c r="V34" s="20">
        <f>IFERROR(BDP(E34&amp;" Corp","LAST_PRICE"),"--")</f>
        <v/>
      </c>
      <c r="W34" s="21">
        <f>IFERROR(BDP(E34&amp;" Corp","YAS_BENCHMARK_BOND_ISIN"),"--")</f>
        <v/>
      </c>
      <c r="X34" s="22">
        <f>IFERROR(BDP(W34&amp;" CORP","LAST_PRICE"),"--")</f>
        <v/>
      </c>
      <c r="Y34" s="23">
        <f>IFERROR(BDP(E34&amp;" Corp","YAS_YLD_SPREAD","YAS_BOND_PX="&amp;V34,"YAS_BNCHMRK_BOND_PX="&amp;X34),"--")</f>
        <v/>
      </c>
      <c r="Z34" s="23">
        <f>IFERROR(BDP(E34&amp;" Corp","BLOOMBERG_MID_G_SPREAD","YAS_BOND_PX="&amp;V34,"YAS_BNCHMRK_BOND_PX="&amp;X34),"--")</f>
        <v/>
      </c>
      <c r="AA34" s="23">
        <f>IFERROR(BDP(D34,"LAST_PRICE"),"--")</f>
        <v/>
      </c>
      <c r="AB34" s="24" t="n"/>
      <c r="AC34" s="23">
        <f>IFERROR(IF(ISBLANK(AB34),AA34,AB34),"--")</f>
        <v/>
      </c>
      <c r="AD34" s="23">
        <f>IFERROR(MAX(-500,MIN(500,AC34-Z34)),"--")</f>
        <v/>
      </c>
      <c r="AE34" s="25">
        <f>IFERROR((AD34-S34)/(T34-S34)*100,"--")</f>
        <v/>
      </c>
    </row>
    <row r="35">
      <c r="A35" s="11" t="inlineStr">
        <is>
          <t>BALL</t>
        </is>
      </c>
      <c r="B35" s="12" t="inlineStr">
        <is>
          <t>HY</t>
        </is>
      </c>
      <c r="C35" s="11" t="inlineStr">
        <is>
          <t>BALL 5 1/2 09/15/33</t>
        </is>
      </c>
      <c r="D35" s="12" t="inlineStr">
        <is>
          <t>BALL CDS USD SR 5Y D14 Corp</t>
        </is>
      </c>
      <c r="E35" s="12" t="inlineStr">
        <is>
          <t>US058498BA38</t>
        </is>
      </c>
      <c r="F35" s="13" t="n">
        <v>45876</v>
      </c>
      <c r="G35" s="13" t="n">
        <v>46225</v>
      </c>
      <c r="H35" s="13" t="n">
        <v>48933</v>
      </c>
      <c r="I35" s="14" t="n">
        <v>100.1667022705078</v>
      </c>
      <c r="J35" s="14" t="n">
        <v>82.96289825439453</v>
      </c>
      <c r="K35" s="14" t="n">
        <v>99.173</v>
      </c>
      <c r="L35" s="14" t="n">
        <v>90.968</v>
      </c>
      <c r="M35" s="15" t="n">
        <v>240</v>
      </c>
      <c r="N35" s="16" t="n">
        <v>0.9937022705078107</v>
      </c>
      <c r="O35" s="17" t="n">
        <v>-40.74349664306641</v>
      </c>
      <c r="P35" s="17" t="n">
        <v>9.911596374511717</v>
      </c>
      <c r="Q35" s="18" t="n">
        <v>82.39487172413394</v>
      </c>
      <c r="R35" s="17" t="n">
        <v>-16.21010174560547</v>
      </c>
      <c r="S35" s="17" t="n">
        <v>-58.23820172119142</v>
      </c>
      <c r="T35" s="17" t="n">
        <v>-6.498003051757806</v>
      </c>
      <c r="U35" s="19" t="n">
        <v>81.22910436448468</v>
      </c>
      <c r="V35" s="20">
        <f>IFERROR(BDP(E35&amp;" Corp","LAST_PRICE"),"--")</f>
        <v/>
      </c>
      <c r="W35" s="21">
        <f>IFERROR(BDP(E35&amp;" Corp","YAS_BENCHMARK_BOND_ISIN"),"--")</f>
        <v/>
      </c>
      <c r="X35" s="22">
        <f>IFERROR(BDP(W35&amp;" CORP","LAST_PRICE"),"--")</f>
        <v/>
      </c>
      <c r="Y35" s="23">
        <f>IFERROR(BDP(E35&amp;" Corp","YAS_YLD_SPREAD","YAS_BOND_PX="&amp;V35,"YAS_BNCHMRK_BOND_PX="&amp;X35),"--")</f>
        <v/>
      </c>
      <c r="Z35" s="23">
        <f>IFERROR(BDP(E35&amp;" Corp","BLOOMBERG_MID_G_SPREAD","YAS_BOND_PX="&amp;V35,"YAS_BNCHMRK_BOND_PX="&amp;X35),"--")</f>
        <v/>
      </c>
      <c r="AA35" s="23">
        <f>IFERROR(BDP(D35,"LAST_PRICE"),"--")</f>
        <v/>
      </c>
      <c r="AB35" s="24" t="n"/>
      <c r="AC35" s="23">
        <f>IFERROR(IF(ISBLANK(AB35),AA35,AB35),"--")</f>
        <v/>
      </c>
      <c r="AD35" s="23">
        <f>IFERROR(MAX(-500,MIN(500,AC35-Z35)),"--")</f>
        <v/>
      </c>
      <c r="AE35" s="25">
        <f>IFERROR((AD35-S35)/(T35-S35)*100,"--")</f>
        <v/>
      </c>
    </row>
    <row r="36">
      <c r="A36" s="26" t="inlineStr">
        <is>
          <t>BBWI</t>
        </is>
      </c>
      <c r="B36" s="27" t="inlineStr">
        <is>
          <t>HY</t>
        </is>
      </c>
      <c r="C36" s="26" t="inlineStr">
        <is>
          <t>BBWI 6 5/8 10/01/30</t>
        </is>
      </c>
      <c r="D36" s="27" t="inlineStr">
        <is>
          <t>BBWI CDS USD SR 5Y D14 Corp</t>
        </is>
      </c>
      <c r="E36" s="27" t="inlineStr">
        <is>
          <t>USU51407AE17</t>
        </is>
      </c>
      <c r="F36" s="28" t="n">
        <v>45659</v>
      </c>
      <c r="G36" s="28" t="n">
        <v>46225</v>
      </c>
      <c r="H36" s="28" t="n">
        <v>47837</v>
      </c>
      <c r="I36" s="29" t="n">
        <v>155.8381042480469</v>
      </c>
      <c r="J36" s="29" t="n">
        <v>175.158203125</v>
      </c>
      <c r="K36" s="29" t="n">
        <v>144.952</v>
      </c>
      <c r="L36" s="29" t="n">
        <v>163.325</v>
      </c>
      <c r="M36" s="30" t="n">
        <v>384</v>
      </c>
      <c r="N36" s="31" t="n">
        <v>10.88610424804688</v>
      </c>
      <c r="O36" s="32" t="n">
        <v>-72.00569384765626</v>
      </c>
      <c r="P36" s="32" t="n">
        <v>25.37150561523435</v>
      </c>
      <c r="Q36" s="33" t="n">
        <v>85.12444242894077</v>
      </c>
      <c r="R36" s="32" t="n">
        <v>30.206203125</v>
      </c>
      <c r="S36" s="32" t="n">
        <v>-58.96069677734374</v>
      </c>
      <c r="T36" s="32" t="n">
        <v>47.22160327148435</v>
      </c>
      <c r="U36" s="34" t="n">
        <v>83.97529518699464</v>
      </c>
      <c r="V36" s="20">
        <f>IFERROR(BDP(E36&amp;" Corp","LAST_PRICE"),"--")</f>
        <v/>
      </c>
      <c r="W36" s="21">
        <f>IFERROR(BDP(E36&amp;" Corp","YAS_BENCHMARK_BOND_ISIN"),"--")</f>
        <v/>
      </c>
      <c r="X36" s="22">
        <f>IFERROR(BDP(W36&amp;" CORP","LAST_PRICE"),"--")</f>
        <v/>
      </c>
      <c r="Y36" s="23">
        <f>IFERROR(BDP(E36&amp;" Corp","YAS_YLD_SPREAD","YAS_BOND_PX="&amp;V36,"YAS_BNCHMRK_BOND_PX="&amp;X36),"--")</f>
        <v/>
      </c>
      <c r="Z36" s="23">
        <f>IFERROR(BDP(E36&amp;" Corp","BLOOMBERG_MID_G_SPREAD","YAS_BOND_PX="&amp;V36,"YAS_BNCHMRK_BOND_PX="&amp;X36),"--")</f>
        <v/>
      </c>
      <c r="AA36" s="23">
        <f>IFERROR(BDP(D36,"LAST_PRICE"),"--")</f>
        <v/>
      </c>
      <c r="AB36" s="24" t="n"/>
      <c r="AC36" s="23">
        <f>IFERROR(IF(ISBLANK(AB36),AA36,AB36),"--")</f>
        <v/>
      </c>
      <c r="AD36" s="23">
        <f>IFERROR(MAX(-500,MIN(500,AC36-Z36)),"--")</f>
        <v/>
      </c>
      <c r="AE36" s="25">
        <f>IFERROR((AD36-S36)/(T36-S36)*100,"--")</f>
        <v/>
      </c>
    </row>
    <row r="37">
      <c r="A37" s="11" t="inlineStr">
        <is>
          <t>BHCCN</t>
        </is>
      </c>
      <c r="B37" s="12" t="inlineStr">
        <is>
          <t>HY</t>
        </is>
      </c>
      <c r="C37" s="11" t="inlineStr">
        <is>
          <t>BHCCN 5 1/4 02/15/31</t>
        </is>
      </c>
      <c r="D37" s="12" t="inlineStr">
        <is>
          <t>BHCCN CDS USD SR 5Y D14 Corp</t>
        </is>
      </c>
      <c r="E37" s="12" t="inlineStr">
        <is>
          <t>US071734AL17</t>
        </is>
      </c>
      <c r="F37" s="13" t="n">
        <v>45659</v>
      </c>
      <c r="G37" s="13" t="n">
        <v>46225</v>
      </c>
      <c r="H37" s="13" t="n">
        <v>48019</v>
      </c>
      <c r="I37" s="14" t="n">
        <v>1507.595336914062</v>
      </c>
      <c r="J37" s="14" t="n">
        <v>1507.595336914062</v>
      </c>
      <c r="K37" s="14" t="n">
        <v>1443.394</v>
      </c>
      <c r="L37" s="14" t="n">
        <v>1465.082</v>
      </c>
      <c r="M37" s="15" t="n">
        <v>340</v>
      </c>
      <c r="N37" s="16" t="n">
        <v>64.20133691406249</v>
      </c>
      <c r="O37" s="17" t="n">
        <v>-131.9874414062499</v>
      </c>
      <c r="P37" s="17" t="n">
        <v>2146.4224453125</v>
      </c>
      <c r="Q37" s="18" t="n">
        <v>8.610776290250985</v>
      </c>
      <c r="R37" s="17" t="n">
        <v>64.20133691406249</v>
      </c>
      <c r="S37" s="17" t="n">
        <v>-131.9874414062499</v>
      </c>
      <c r="T37" s="17" t="n">
        <v>2146.4224453125</v>
      </c>
      <c r="U37" s="19" t="n">
        <v>8.610776290250985</v>
      </c>
      <c r="V37" s="20">
        <f>IFERROR(BDP(E37&amp;" Corp","LAST_PRICE"),"--")</f>
        <v/>
      </c>
      <c r="W37" s="21">
        <f>IFERROR(BDP(E37&amp;" Corp","YAS_BENCHMARK_BOND_ISIN"),"--")</f>
        <v/>
      </c>
      <c r="X37" s="22">
        <f>IFERROR(BDP(W37&amp;" CORP","LAST_PRICE"),"--")</f>
        <v/>
      </c>
      <c r="Y37" s="23">
        <f>IFERROR(BDP(E37&amp;" Corp","YAS_YLD_SPREAD","YAS_BOND_PX="&amp;V37,"YAS_BNCHMRK_BOND_PX="&amp;X37),"--")</f>
        <v/>
      </c>
      <c r="Z37" s="23">
        <f>IFERROR(BDP(E37&amp;" Corp","BLOOMBERG_MID_G_SPREAD","YAS_BOND_PX="&amp;V37,"YAS_BNCHMRK_BOND_PX="&amp;X37),"--")</f>
        <v/>
      </c>
      <c r="AA37" s="23">
        <f>IFERROR(BDP(D37,"LAST_PRICE"),"--")</f>
        <v/>
      </c>
      <c r="AB37" s="24" t="n"/>
      <c r="AC37" s="23">
        <f>IFERROR(IF(ISBLANK(AB37),AA37,AB37),"--")</f>
        <v/>
      </c>
      <c r="AD37" s="23">
        <f>IFERROR(MAX(-500,MIN(500,AC37-Z37)),"--")</f>
        <v/>
      </c>
      <c r="AE37" s="25">
        <f>IFERROR((AD37-S37)/(T37-S37)*100,"--")</f>
        <v/>
      </c>
    </row>
    <row r="38">
      <c r="A38" s="26" t="inlineStr">
        <is>
          <t>BMCAUS</t>
        </is>
      </c>
      <c r="B38" s="27" t="inlineStr">
        <is>
          <t>HY</t>
        </is>
      </c>
      <c r="C38" s="26" t="inlineStr">
        <is>
          <t>BMCAUS 6 1/2 08/15/32</t>
        </is>
      </c>
      <c r="D38" s="27" t="inlineStr">
        <is>
          <t>CY876759 Curncy</t>
        </is>
      </c>
      <c r="E38" s="27" t="inlineStr">
        <is>
          <t>US853191AA25</t>
        </is>
      </c>
      <c r="F38" s="28" t="n">
        <v>45659</v>
      </c>
      <c r="G38" s="28" t="n">
        <v>46225</v>
      </c>
      <c r="H38" s="28" t="n">
        <v>48568</v>
      </c>
      <c r="I38" s="29" t="n">
        <v>92.53279876708984</v>
      </c>
      <c r="J38" s="29" t="n">
        <v>75.14839935302734</v>
      </c>
      <c r="K38" s="29" t="n">
        <v>203.328</v>
      </c>
      <c r="L38" s="29" t="n">
        <v>213.132</v>
      </c>
      <c r="M38" s="30" t="n">
        <v>160</v>
      </c>
      <c r="N38" s="31" t="n">
        <v>-110.7952012329102</v>
      </c>
      <c r="O38" s="32" t="n">
        <v>-138.7267968139649</v>
      </c>
      <c r="P38" s="32" t="n">
        <v>-63.56969671630858</v>
      </c>
      <c r="Q38" s="33" t="n">
        <v>37.16428061322409</v>
      </c>
      <c r="R38" s="32" t="n">
        <v>-128.1796006469727</v>
      </c>
      <c r="S38" s="32" t="n">
        <v>-156.2397966308594</v>
      </c>
      <c r="T38" s="32" t="n">
        <v>-72.22690039062499</v>
      </c>
      <c r="U38" s="34" t="n">
        <v>33.39986744850309</v>
      </c>
      <c r="V38" s="20">
        <f>IFERROR(BDP(E38&amp;" Corp","LAST_PRICE"),"--")</f>
        <v/>
      </c>
      <c r="W38" s="21">
        <f>IFERROR(BDP(E38&amp;" Corp","YAS_BENCHMARK_BOND_ISIN"),"--")</f>
        <v/>
      </c>
      <c r="X38" s="22">
        <f>IFERROR(BDP(W38&amp;" CORP","LAST_PRICE"),"--")</f>
        <v/>
      </c>
      <c r="Y38" s="23">
        <f>IFERROR(BDP(E38&amp;" Corp","YAS_YLD_SPREAD","YAS_BOND_PX="&amp;V38,"YAS_BNCHMRK_BOND_PX="&amp;X38),"--")</f>
        <v/>
      </c>
      <c r="Z38" s="23">
        <f>IFERROR(BDP(E38&amp;" Corp","BLOOMBERG_MID_G_SPREAD","YAS_BOND_PX="&amp;V38,"YAS_BNCHMRK_BOND_PX="&amp;X38),"--")</f>
        <v/>
      </c>
      <c r="AA38" s="23">
        <f>IFERROR(BDP(D38,"LAST_PRICE"),"--")</f>
        <v/>
      </c>
      <c r="AB38" s="24" t="n"/>
      <c r="AC38" s="23">
        <f>IFERROR(IF(ISBLANK(AB38),AA38,AB38),"--")</f>
        <v/>
      </c>
      <c r="AD38" s="23">
        <f>IFERROR(MAX(-500,MIN(500,AC38-Z38)),"--")</f>
        <v/>
      </c>
      <c r="AE38" s="25">
        <f>IFERROR((AD38-S38)/(T38-S38)*100,"--")</f>
        <v/>
      </c>
    </row>
    <row r="39">
      <c r="A39" s="11" t="inlineStr">
        <is>
          <t>BOMB</t>
        </is>
      </c>
      <c r="B39" s="12" t="inlineStr">
        <is>
          <t>HY</t>
        </is>
      </c>
      <c r="C39" s="11" t="inlineStr">
        <is>
          <t>BBDBCN 7 1/4 07/01/31</t>
        </is>
      </c>
      <c r="D39" s="12" t="inlineStr">
        <is>
          <t>BOMB INC CDS USD SR 5Y D14 Corp</t>
        </is>
      </c>
      <c r="E39" s="12" t="inlineStr">
        <is>
          <t>US097751CB51</t>
        </is>
      </c>
      <c r="F39" s="13" t="n">
        <v>45659</v>
      </c>
      <c r="G39" s="13" t="n">
        <v>46225</v>
      </c>
      <c r="H39" s="13" t="n">
        <v>48202</v>
      </c>
      <c r="I39" s="14" t="n">
        <v>102.9115982055664</v>
      </c>
      <c r="J39" s="14" t="n">
        <v>92.07070159912109</v>
      </c>
      <c r="K39" s="14" t="n">
        <v>126.555</v>
      </c>
      <c r="L39" s="14" t="n">
        <v>133.435</v>
      </c>
      <c r="M39" s="15" t="n">
        <v>388</v>
      </c>
      <c r="N39" s="16" t="n">
        <v>-23.6434017944336</v>
      </c>
      <c r="O39" s="17" t="n">
        <v>-57.24830249023438</v>
      </c>
      <c r="P39" s="17" t="n">
        <v>50.27090087890628</v>
      </c>
      <c r="Q39" s="18" t="n">
        <v>31.25478950995074</v>
      </c>
      <c r="R39" s="17" t="n">
        <v>-34.48429840087891</v>
      </c>
      <c r="S39" s="17" t="n">
        <v>-65.97269824218751</v>
      </c>
      <c r="T39" s="17" t="n">
        <v>31.3814050292969</v>
      </c>
      <c r="U39" s="19" t="n">
        <v>32.34419380711581</v>
      </c>
      <c r="V39" s="20">
        <f>IFERROR(BDP(E39&amp;" Corp","LAST_PRICE"),"--")</f>
        <v/>
      </c>
      <c r="W39" s="21">
        <f>IFERROR(BDP(E39&amp;" Corp","YAS_BENCHMARK_BOND_ISIN"),"--")</f>
        <v/>
      </c>
      <c r="X39" s="22">
        <f>IFERROR(BDP(W39&amp;" CORP","LAST_PRICE"),"--")</f>
        <v/>
      </c>
      <c r="Y39" s="23">
        <f>IFERROR(BDP(E39&amp;" Corp","YAS_YLD_SPREAD","YAS_BOND_PX="&amp;V39,"YAS_BNCHMRK_BOND_PX="&amp;X39),"--")</f>
        <v/>
      </c>
      <c r="Z39" s="23">
        <f>IFERROR(BDP(E39&amp;" Corp","BLOOMBERG_MID_G_SPREAD","YAS_BOND_PX="&amp;V39,"YAS_BNCHMRK_BOND_PX="&amp;X39),"--")</f>
        <v/>
      </c>
      <c r="AA39" s="23">
        <f>IFERROR(BDP(D39,"LAST_PRICE"),"--")</f>
        <v/>
      </c>
      <c r="AB39" s="24" t="n"/>
      <c r="AC39" s="23">
        <f>IFERROR(IF(ISBLANK(AB39),AA39,AB39),"--")</f>
        <v/>
      </c>
      <c r="AD39" s="23">
        <f>IFERROR(MAX(-500,MIN(500,AC39-Z39)),"--")</f>
        <v/>
      </c>
      <c r="AE39" s="25">
        <f>IFERROR((AD39-S39)/(T39-S39)*100,"--")</f>
        <v/>
      </c>
    </row>
    <row r="40">
      <c r="A40" s="26" t="inlineStr">
        <is>
          <t>BYD</t>
        </is>
      </c>
      <c r="B40" s="27" t="inlineStr">
        <is>
          <t>HY</t>
        </is>
      </c>
      <c r="C40" s="26" t="inlineStr">
        <is>
          <t>BYD 4 3/4 06/15/31</t>
        </is>
      </c>
      <c r="D40" s="27" t="inlineStr">
        <is>
          <t>BYD CDS USD SUB 5Y D14 Corp</t>
        </is>
      </c>
      <c r="E40" s="27" t="inlineStr">
        <is>
          <t>USU1022EAF52</t>
        </is>
      </c>
      <c r="F40" s="28" t="n">
        <v>45659</v>
      </c>
      <c r="G40" s="28" t="n">
        <v>46225</v>
      </c>
      <c r="H40" s="28" t="n">
        <v>48019</v>
      </c>
      <c r="I40" s="29" t="n">
        <v>115.7921981811523</v>
      </c>
      <c r="J40" s="29" t="n">
        <v>115.7921981811523</v>
      </c>
      <c r="K40" s="29" t="n">
        <v>126.466</v>
      </c>
      <c r="L40" s="29" t="n">
        <v>132.419</v>
      </c>
      <c r="M40" s="30" t="n">
        <v>384</v>
      </c>
      <c r="N40" s="31" t="n">
        <v>-10.67380181884765</v>
      </c>
      <c r="O40" s="32" t="n">
        <v>-83.92509869384764</v>
      </c>
      <c r="P40" s="32" t="n">
        <v>1.584403137207033</v>
      </c>
      <c r="Q40" s="33" t="n">
        <v>85.66451131913524</v>
      </c>
      <c r="R40" s="32" t="n">
        <v>-10.67380181884765</v>
      </c>
      <c r="S40" s="32" t="n">
        <v>-83.92509869384764</v>
      </c>
      <c r="T40" s="32" t="n">
        <v>1.584403137207033</v>
      </c>
      <c r="U40" s="34" t="n">
        <v>85.66451131913524</v>
      </c>
      <c r="V40" s="20">
        <f>IFERROR(BDP(E40&amp;" Corp","LAST_PRICE"),"--")</f>
        <v/>
      </c>
      <c r="W40" s="21">
        <f>IFERROR(BDP(E40&amp;" Corp","YAS_BENCHMARK_BOND_ISIN"),"--")</f>
        <v/>
      </c>
      <c r="X40" s="22">
        <f>IFERROR(BDP(W40&amp;" CORP","LAST_PRICE"),"--")</f>
        <v/>
      </c>
      <c r="Y40" s="23">
        <f>IFERROR(BDP(E40&amp;" Corp","YAS_YLD_SPREAD","YAS_BOND_PX="&amp;V40,"YAS_BNCHMRK_BOND_PX="&amp;X40),"--")</f>
        <v/>
      </c>
      <c r="Z40" s="23">
        <f>IFERROR(BDP(E40&amp;" Corp","BLOOMBERG_MID_G_SPREAD","YAS_BOND_PX="&amp;V40,"YAS_BNCHMRK_BOND_PX="&amp;X40),"--")</f>
        <v/>
      </c>
      <c r="AA40" s="23">
        <f>IFERROR(BDP(D40,"LAST_PRICE"),"--")</f>
        <v/>
      </c>
      <c r="AB40" s="24" t="n"/>
      <c r="AC40" s="23">
        <f>IFERROR(IF(ISBLANK(AB40),AA40,AB40),"--")</f>
        <v/>
      </c>
      <c r="AD40" s="23">
        <f>IFERROR(MAX(-500,MIN(500,AC40-Z40)),"--")</f>
        <v/>
      </c>
      <c r="AE40" s="25">
        <f>IFERROR((AD40-S40)/(T40-S40)*100,"--")</f>
        <v/>
      </c>
    </row>
    <row r="41">
      <c r="A41" s="11" t="inlineStr">
        <is>
          <t>BZH</t>
        </is>
      </c>
      <c r="B41" s="12" t="inlineStr">
        <is>
          <t>HY</t>
        </is>
      </c>
      <c r="C41" s="11" t="inlineStr">
        <is>
          <t>BZH 8 01/15/32</t>
        </is>
      </c>
      <c r="D41" s="12" t="inlineStr">
        <is>
          <t>BZH CDS USD SR 5Y D14 Corp</t>
        </is>
      </c>
      <c r="E41" s="12" t="inlineStr">
        <is>
          <t>US07556QBV68</t>
        </is>
      </c>
      <c r="F41" s="13" t="n">
        <v>46188</v>
      </c>
      <c r="G41" s="13" t="n">
        <v>46225</v>
      </c>
      <c r="H41" s="13" t="n">
        <v>48385</v>
      </c>
      <c r="I41" s="14" t="n">
        <v>197.8491973876953</v>
      </c>
      <c r="J41" s="14" t="n">
        <v>165.3908996582031</v>
      </c>
      <c r="K41" s="14" t="n">
        <v>288.738</v>
      </c>
      <c r="L41" s="14" t="n">
        <v>300.531</v>
      </c>
      <c r="M41" s="15" t="n">
        <v>26</v>
      </c>
      <c r="N41" s="16" t="n">
        <v>-90.88880261230469</v>
      </c>
      <c r="O41" s="17" t="n">
        <v>-116.9277039794922</v>
      </c>
      <c r="P41" s="17" t="n">
        <v>-86.18270312499999</v>
      </c>
      <c r="Q41" s="18" t="n">
        <v>84.69312292565093</v>
      </c>
      <c r="R41" s="17" t="n">
        <v>-123.3471003417969</v>
      </c>
      <c r="S41" s="17" t="n">
        <v>-151.3879946289063</v>
      </c>
      <c r="T41" s="17" t="n">
        <v>-123.3471003417969</v>
      </c>
      <c r="U41" s="19" t="n">
        <v>100</v>
      </c>
      <c r="V41" s="20">
        <f>IFERROR(BDP(E41&amp;" Corp","LAST_PRICE"),"--")</f>
        <v/>
      </c>
      <c r="W41" s="21">
        <f>IFERROR(BDP(E41&amp;" Corp","YAS_BENCHMARK_BOND_ISIN"),"--")</f>
        <v/>
      </c>
      <c r="X41" s="22">
        <f>IFERROR(BDP(W41&amp;" CORP","LAST_PRICE"),"--")</f>
        <v/>
      </c>
      <c r="Y41" s="23">
        <f>IFERROR(BDP(E41&amp;" Corp","YAS_YLD_SPREAD","YAS_BOND_PX="&amp;V41,"YAS_BNCHMRK_BOND_PX="&amp;X41),"--")</f>
        <v/>
      </c>
      <c r="Z41" s="23">
        <f>IFERROR(BDP(E41&amp;" Corp","BLOOMBERG_MID_G_SPREAD","YAS_BOND_PX="&amp;V41,"YAS_BNCHMRK_BOND_PX="&amp;X41),"--")</f>
        <v/>
      </c>
      <c r="AA41" s="23">
        <f>IFERROR(BDP(D41,"LAST_PRICE"),"--")</f>
        <v/>
      </c>
      <c r="AB41" s="24" t="n"/>
      <c r="AC41" s="23">
        <f>IFERROR(IF(ISBLANK(AB41),AA41,AB41),"--")</f>
        <v/>
      </c>
      <c r="AD41" s="23">
        <f>IFERROR(MAX(-500,MIN(500,AC41-Z41)),"--")</f>
        <v/>
      </c>
      <c r="AE41" s="25">
        <f>IFERROR((AD41-S41)/(T41-S41)*100,"--")</f>
        <v/>
      </c>
    </row>
    <row r="42">
      <c r="A42" s="26" t="inlineStr">
        <is>
          <t>CAR</t>
        </is>
      </c>
      <c r="B42" s="27" t="inlineStr">
        <is>
          <t>HY</t>
        </is>
      </c>
      <c r="C42" s="26" t="inlineStr">
        <is>
          <t>CAR 8 3/8 06/15/32</t>
        </is>
      </c>
      <c r="D42" s="27" t="inlineStr">
        <is>
          <t>CD CDS USD SR 5Y D14 Corp</t>
        </is>
      </c>
      <c r="E42" s="27" t="inlineStr">
        <is>
          <t>US053773BK25</t>
        </is>
      </c>
      <c r="F42" s="28" t="n">
        <v>45792</v>
      </c>
      <c r="G42" s="28" t="n">
        <v>46225</v>
      </c>
      <c r="H42" s="28" t="n">
        <v>48385</v>
      </c>
      <c r="I42" s="29" t="n">
        <v>388.9012145996094</v>
      </c>
      <c r="J42" s="29" t="n">
        <v>328.4999084472656</v>
      </c>
      <c r="K42" s="29" t="n">
        <v>366.831</v>
      </c>
      <c r="L42" s="29" t="n">
        <v>365.559</v>
      </c>
      <c r="M42" s="30" t="n">
        <v>297</v>
      </c>
      <c r="N42" s="31" t="n">
        <v>22.07021459960936</v>
      </c>
      <c r="O42" s="32" t="n">
        <v>-27.02970947265624</v>
      </c>
      <c r="P42" s="32" t="n">
        <v>115.6754904785156</v>
      </c>
      <c r="Q42" s="33" t="n">
        <v>34.40654166005561</v>
      </c>
      <c r="R42" s="32" t="n">
        <v>-38.33109155273439</v>
      </c>
      <c r="S42" s="32" t="n">
        <v>-75.45451416015624</v>
      </c>
      <c r="T42" s="32" t="n">
        <v>66.83640966796872</v>
      </c>
      <c r="U42" s="34" t="n">
        <v>26.08980362813844</v>
      </c>
      <c r="V42" s="20">
        <f>IFERROR(BDP(E42&amp;" Corp","LAST_PRICE"),"--")</f>
        <v/>
      </c>
      <c r="W42" s="21">
        <f>IFERROR(BDP(E42&amp;" Corp","YAS_BENCHMARK_BOND_ISIN"),"--")</f>
        <v/>
      </c>
      <c r="X42" s="22">
        <f>IFERROR(BDP(W42&amp;" CORP","LAST_PRICE"),"--")</f>
        <v/>
      </c>
      <c r="Y42" s="23">
        <f>IFERROR(BDP(E42&amp;" Corp","YAS_YLD_SPREAD","YAS_BOND_PX="&amp;V42,"YAS_BNCHMRK_BOND_PX="&amp;X42),"--")</f>
        <v/>
      </c>
      <c r="Z42" s="23">
        <f>IFERROR(BDP(E42&amp;" Corp","BLOOMBERG_MID_G_SPREAD","YAS_BOND_PX="&amp;V42,"YAS_BNCHMRK_BOND_PX="&amp;X42),"--")</f>
        <v/>
      </c>
      <c r="AA42" s="23">
        <f>IFERROR(BDP(D42,"LAST_PRICE"),"--")</f>
        <v/>
      </c>
      <c r="AB42" s="24" t="n"/>
      <c r="AC42" s="23">
        <f>IFERROR(IF(ISBLANK(AB42),AA42,AB42),"--")</f>
        <v/>
      </c>
      <c r="AD42" s="23">
        <f>IFERROR(MAX(-500,MIN(500,AC42-Z42)),"--")</f>
        <v/>
      </c>
      <c r="AE42" s="25">
        <f>IFERROR((AD42-S42)/(T42-S42)*100,"--")</f>
        <v/>
      </c>
    </row>
    <row r="43">
      <c r="A43" s="11" t="inlineStr">
        <is>
          <t>CCL</t>
        </is>
      </c>
      <c r="B43" s="12" t="inlineStr">
        <is>
          <t>HY</t>
        </is>
      </c>
      <c r="C43" s="11" t="inlineStr">
        <is>
          <t>CCL 5 3/4 08/01/32</t>
        </is>
      </c>
      <c r="D43" s="12" t="inlineStr">
        <is>
          <t>CCLPLC CDS USD SR 5Y D14 Corp</t>
        </is>
      </c>
      <c r="E43" s="12" t="inlineStr">
        <is>
          <t>US143658CA82</t>
        </is>
      </c>
      <c r="F43" s="13" t="n">
        <v>45845</v>
      </c>
      <c r="G43" s="13" t="n">
        <v>46225</v>
      </c>
      <c r="H43" s="13" t="n">
        <v>48568</v>
      </c>
      <c r="I43" s="14" t="n">
        <v>132.0803985595703</v>
      </c>
      <c r="J43" s="14" t="n">
        <v>100.6121978759766</v>
      </c>
      <c r="K43" s="14" t="n">
        <v>132.567</v>
      </c>
      <c r="L43" s="14" t="n">
        <v>145.807</v>
      </c>
      <c r="M43" s="15" t="n">
        <v>261</v>
      </c>
      <c r="N43" s="16" t="n">
        <v>-0.4866014404296948</v>
      </c>
      <c r="O43" s="17" t="n">
        <v>-21.90990502929688</v>
      </c>
      <c r="P43" s="17" t="n">
        <v>29.98580664062499</v>
      </c>
      <c r="Q43" s="18" t="n">
        <v>41.28145255070059</v>
      </c>
      <c r="R43" s="17" t="n">
        <v>-31.95480212402344</v>
      </c>
      <c r="S43" s="17" t="n">
        <v>-43.32119744873046</v>
      </c>
      <c r="T43" s="17" t="n">
        <v>-4.746205200195305</v>
      </c>
      <c r="U43" s="19" t="n">
        <v>29.46570993838279</v>
      </c>
      <c r="V43" s="20">
        <f>IFERROR(BDP(E43&amp;" Corp","LAST_PRICE"),"--")</f>
        <v/>
      </c>
      <c r="W43" s="21">
        <f>IFERROR(BDP(E43&amp;" Corp","YAS_BENCHMARK_BOND_ISIN"),"--")</f>
        <v/>
      </c>
      <c r="X43" s="22">
        <f>IFERROR(BDP(W43&amp;" CORP","LAST_PRICE"),"--")</f>
        <v/>
      </c>
      <c r="Y43" s="23">
        <f>IFERROR(BDP(E43&amp;" Corp","YAS_YLD_SPREAD","YAS_BOND_PX="&amp;V43,"YAS_BNCHMRK_BOND_PX="&amp;X43),"--")</f>
        <v/>
      </c>
      <c r="Z43" s="23">
        <f>IFERROR(BDP(E43&amp;" Corp","BLOOMBERG_MID_G_SPREAD","YAS_BOND_PX="&amp;V43,"YAS_BNCHMRK_BOND_PX="&amp;X43),"--")</f>
        <v/>
      </c>
      <c r="AA43" s="23">
        <f>IFERROR(BDP(D43,"LAST_PRICE"),"--")</f>
        <v/>
      </c>
      <c r="AB43" s="24" t="n"/>
      <c r="AC43" s="23">
        <f>IFERROR(IF(ISBLANK(AB43),AA43,AB43),"--")</f>
        <v/>
      </c>
      <c r="AD43" s="23">
        <f>IFERROR(MAX(-500,MIN(500,AC43-Z43)),"--")</f>
        <v/>
      </c>
      <c r="AE43" s="25">
        <f>IFERROR((AD43-S43)/(T43-S43)*100,"--")</f>
        <v/>
      </c>
    </row>
    <row r="44">
      <c r="A44" s="26" t="inlineStr">
        <is>
          <t>CCO</t>
        </is>
      </c>
      <c r="B44" s="27" t="inlineStr">
        <is>
          <t>HY</t>
        </is>
      </c>
      <c r="C44" s="26" t="inlineStr">
        <is>
          <t>CCO 7 1/2 06/01/29</t>
        </is>
      </c>
      <c r="D44" s="27" t="inlineStr">
        <is>
          <t>CCO CDS USD SR 5Y D14 Corp</t>
        </is>
      </c>
      <c r="E44" s="27" t="inlineStr">
        <is>
          <t>USU1828LAC29</t>
        </is>
      </c>
      <c r="F44" s="28" t="n">
        <v>45659</v>
      </c>
      <c r="G44" s="28" t="n">
        <v>46225</v>
      </c>
      <c r="H44" s="28" t="n">
        <v>47289</v>
      </c>
      <c r="I44" s="29" t="n">
        <v>35.87179946899414</v>
      </c>
      <c r="J44" s="29" t="n">
        <v>63.92290115356445</v>
      </c>
      <c r="K44" s="29" t="n">
        <v>126.046</v>
      </c>
      <c r="L44" s="29" t="n">
        <v>81.49299999999999</v>
      </c>
      <c r="M44" s="30" t="n">
        <v>389</v>
      </c>
      <c r="N44" s="31" t="n">
        <v>-90.17420053100587</v>
      </c>
      <c r="O44" s="32" t="n">
        <v>-488.9143203125</v>
      </c>
      <c r="P44" s="32" t="n">
        <v>211.6996981506348</v>
      </c>
      <c r="Q44" s="33" t="n">
        <v>56.91295196407425</v>
      </c>
      <c r="R44" s="32" t="n">
        <v>-62.12309884643555</v>
      </c>
      <c r="S44" s="32" t="n">
        <v>-363.4350112304687</v>
      </c>
      <c r="T44" s="32" t="n">
        <v>243.172602355957</v>
      </c>
      <c r="U44" s="34" t="n">
        <v>49.67163379348257</v>
      </c>
      <c r="V44" s="20">
        <f>IFERROR(BDP(E44&amp;" Corp","LAST_PRICE"),"--")</f>
        <v/>
      </c>
      <c r="W44" s="21">
        <f>IFERROR(BDP(E44&amp;" Corp","YAS_BENCHMARK_BOND_ISIN"),"--")</f>
        <v/>
      </c>
      <c r="X44" s="22">
        <f>IFERROR(BDP(W44&amp;" CORP","LAST_PRICE"),"--")</f>
        <v/>
      </c>
      <c r="Y44" s="23">
        <f>IFERROR(BDP(E44&amp;" Corp","YAS_YLD_SPREAD","YAS_BOND_PX="&amp;V44,"YAS_BNCHMRK_BOND_PX="&amp;X44),"--")</f>
        <v/>
      </c>
      <c r="Z44" s="23">
        <f>IFERROR(BDP(E44&amp;" Corp","BLOOMBERG_MID_G_SPREAD","YAS_BOND_PX="&amp;V44,"YAS_BNCHMRK_BOND_PX="&amp;X44),"--")</f>
        <v/>
      </c>
      <c r="AA44" s="23">
        <f>IFERROR(BDP(D44,"LAST_PRICE"),"--")</f>
        <v/>
      </c>
      <c r="AB44" s="24" t="n"/>
      <c r="AC44" s="23">
        <f>IFERROR(IF(ISBLANK(AB44),AA44,AB44),"--")</f>
        <v/>
      </c>
      <c r="AD44" s="23">
        <f>IFERROR(MAX(-500,MIN(500,AC44-Z44)),"--")</f>
        <v/>
      </c>
      <c r="AE44" s="25">
        <f>IFERROR((AD44-S44)/(T44-S44)*100,"--")</f>
        <v/>
      </c>
    </row>
    <row r="45">
      <c r="A45" s="11" t="inlineStr">
        <is>
          <t>CCO_H</t>
        </is>
      </c>
      <c r="B45" s="12" t="inlineStr">
        <is>
          <t>HY</t>
        </is>
      </c>
      <c r="C45" s="11" t="inlineStr">
        <is>
          <t>CHTR 7 3/8 03/01/31</t>
        </is>
      </c>
      <c r="D45" s="12" t="inlineStr">
        <is>
          <t>CCO_H CDS USD SR 5Y D14 Corp</t>
        </is>
      </c>
      <c r="E45" s="12" t="inlineStr">
        <is>
          <t>US1248EPCT83</t>
        </is>
      </c>
      <c r="F45" s="13" t="n">
        <v>45659</v>
      </c>
      <c r="G45" s="13" t="n">
        <v>46225</v>
      </c>
      <c r="H45" s="13" t="n">
        <v>48019</v>
      </c>
      <c r="I45" s="14" t="n">
        <v>348.8595886230469</v>
      </c>
      <c r="J45" s="14" t="n">
        <v>348.8595886230469</v>
      </c>
      <c r="K45" s="14" t="n">
        <v>297.203</v>
      </c>
      <c r="L45" s="14" t="n">
        <v>308.676</v>
      </c>
      <c r="M45" s="15" t="n">
        <v>389</v>
      </c>
      <c r="N45" s="16" t="n">
        <v>51.6565886230469</v>
      </c>
      <c r="O45" s="17" t="n">
        <v>-70.62690332031252</v>
      </c>
      <c r="P45" s="17" t="n">
        <v>66.78140405273439</v>
      </c>
      <c r="Q45" s="18" t="n">
        <v>88.99279401744944</v>
      </c>
      <c r="R45" s="17" t="n">
        <v>51.6565886230469</v>
      </c>
      <c r="S45" s="17" t="n">
        <v>-70.62690332031252</v>
      </c>
      <c r="T45" s="17" t="n">
        <v>66.78140405273439</v>
      </c>
      <c r="U45" s="19" t="n">
        <v>88.99279401744944</v>
      </c>
      <c r="V45" s="20">
        <f>IFERROR(BDP(E45&amp;" Corp","LAST_PRICE"),"--")</f>
        <v/>
      </c>
      <c r="W45" s="21">
        <f>IFERROR(BDP(E45&amp;" Corp","YAS_BENCHMARK_BOND_ISIN"),"--")</f>
        <v/>
      </c>
      <c r="X45" s="22">
        <f>IFERROR(BDP(W45&amp;" CORP","LAST_PRICE"),"--")</f>
        <v/>
      </c>
      <c r="Y45" s="23">
        <f>IFERROR(BDP(E45&amp;" Corp","YAS_YLD_SPREAD","YAS_BOND_PX="&amp;V45,"YAS_BNCHMRK_BOND_PX="&amp;X45),"--")</f>
        <v/>
      </c>
      <c r="Z45" s="23">
        <f>IFERROR(BDP(E45&amp;" Corp","BLOOMBERG_MID_G_SPREAD","YAS_BOND_PX="&amp;V45,"YAS_BNCHMRK_BOND_PX="&amp;X45),"--")</f>
        <v/>
      </c>
      <c r="AA45" s="23">
        <f>IFERROR(BDP(D45,"LAST_PRICE"),"--")</f>
        <v/>
      </c>
      <c r="AB45" s="24" t="n"/>
      <c r="AC45" s="23">
        <f>IFERROR(IF(ISBLANK(AB45),AA45,AB45),"--")</f>
        <v/>
      </c>
      <c r="AD45" s="23">
        <f>IFERROR(MAX(-500,MIN(500,AC45-Z45)),"--")</f>
        <v/>
      </c>
      <c r="AE45" s="25">
        <f>IFERROR((AD45-S45)/(T45-S45)*100,"--")</f>
        <v/>
      </c>
    </row>
    <row r="46">
      <c r="A46" s="26" t="inlineStr">
        <is>
          <t>CE</t>
        </is>
      </c>
      <c r="B46" s="27" t="inlineStr">
        <is>
          <t>HY</t>
        </is>
      </c>
      <c r="C46" s="26" t="inlineStr">
        <is>
          <t>CE 7 02/15/31</t>
        </is>
      </c>
      <c r="D46" s="27" t="inlineStr">
        <is>
          <t>CE CDS USD SR 5Y D14 Corp</t>
        </is>
      </c>
      <c r="E46" s="27" t="inlineStr">
        <is>
          <t>US15089QBC78</t>
        </is>
      </c>
      <c r="F46" s="28" t="n">
        <v>45995</v>
      </c>
      <c r="G46" s="28" t="n">
        <v>46225</v>
      </c>
      <c r="H46" s="28" t="n">
        <v>48019</v>
      </c>
      <c r="I46" s="29" t="n">
        <v>177.060302734375</v>
      </c>
      <c r="J46" s="29" t="n">
        <v>177.060302734375</v>
      </c>
      <c r="K46" s="29" t="n">
        <v>176.423</v>
      </c>
      <c r="L46" s="29" t="n">
        <v>176.606</v>
      </c>
      <c r="M46" s="30" t="n">
        <v>159</v>
      </c>
      <c r="N46" s="31" t="n">
        <v>0.6373027343749982</v>
      </c>
      <c r="O46" s="32" t="n">
        <v>-23.5619948730469</v>
      </c>
      <c r="P46" s="32" t="n">
        <v>46.69170678710938</v>
      </c>
      <c r="Q46" s="33" t="n">
        <v>34.44558369960782</v>
      </c>
      <c r="R46" s="32" t="n">
        <v>0.6373027343749982</v>
      </c>
      <c r="S46" s="32" t="n">
        <v>-23.5619948730469</v>
      </c>
      <c r="T46" s="32" t="n">
        <v>46.69170678710938</v>
      </c>
      <c r="U46" s="34" t="n">
        <v>34.44558369960782</v>
      </c>
      <c r="V46" s="20">
        <f>IFERROR(BDP(E46&amp;" Corp","LAST_PRICE"),"--")</f>
        <v/>
      </c>
      <c r="W46" s="21">
        <f>IFERROR(BDP(E46&amp;" Corp","YAS_BENCHMARK_BOND_ISIN"),"--")</f>
        <v/>
      </c>
      <c r="X46" s="22">
        <f>IFERROR(BDP(W46&amp;" CORP","LAST_PRICE"),"--")</f>
        <v/>
      </c>
      <c r="Y46" s="23">
        <f>IFERROR(BDP(E46&amp;" Corp","YAS_YLD_SPREAD","YAS_BOND_PX="&amp;V46,"YAS_BNCHMRK_BOND_PX="&amp;X46),"--")</f>
        <v/>
      </c>
      <c r="Z46" s="23">
        <f>IFERROR(BDP(E46&amp;" Corp","BLOOMBERG_MID_G_SPREAD","YAS_BOND_PX="&amp;V46,"YAS_BNCHMRK_BOND_PX="&amp;X46),"--")</f>
        <v/>
      </c>
      <c r="AA46" s="23">
        <f>IFERROR(BDP(D46,"LAST_PRICE"),"--")</f>
        <v/>
      </c>
      <c r="AB46" s="24" t="n"/>
      <c r="AC46" s="23">
        <f>IFERROR(IF(ISBLANK(AB46),AA46,AB46),"--")</f>
        <v/>
      </c>
      <c r="AD46" s="23">
        <f>IFERROR(MAX(-500,MIN(500,AC46-Z46)),"--")</f>
        <v/>
      </c>
      <c r="AE46" s="25">
        <f>IFERROR((AD46-S46)/(T46-S46)*100,"--")</f>
        <v/>
      </c>
    </row>
    <row r="47">
      <c r="A47" s="11" t="inlineStr">
        <is>
          <t>CLF</t>
        </is>
      </c>
      <c r="B47" s="12" t="inlineStr">
        <is>
          <t>HY</t>
        </is>
      </c>
      <c r="C47" s="11" t="inlineStr">
        <is>
          <t>CLF 7 5/8 01/15/34</t>
        </is>
      </c>
      <c r="D47" s="12" t="inlineStr">
        <is>
          <t>CLF CDS USD SR 5Y D14 Corp</t>
        </is>
      </c>
      <c r="E47" s="12" t="inlineStr">
        <is>
          <t>US18589GAA31</t>
        </is>
      </c>
      <c r="F47" s="13" t="n">
        <v>45903</v>
      </c>
      <c r="G47" s="13" t="n">
        <v>46225</v>
      </c>
      <c r="H47" s="13" t="n">
        <v>49115</v>
      </c>
      <c r="I47" s="14" t="n">
        <v>338.4717102050781</v>
      </c>
      <c r="J47" s="14" t="n">
        <v>262.4024963378906</v>
      </c>
      <c r="K47" s="14" t="n">
        <v>314.009</v>
      </c>
      <c r="L47" s="14" t="n">
        <v>259.502</v>
      </c>
      <c r="M47" s="15" t="n">
        <v>222</v>
      </c>
      <c r="N47" s="16" t="n">
        <v>24.46271020507811</v>
      </c>
      <c r="O47" s="17" t="n">
        <v>-18.6952849121094</v>
      </c>
      <c r="P47" s="17" t="n">
        <v>94.03031494140623</v>
      </c>
      <c r="Q47" s="18" t="n">
        <v>38.28588641202207</v>
      </c>
      <c r="R47" s="17" t="n">
        <v>-51.60650366210939</v>
      </c>
      <c r="S47" s="17" t="n">
        <v>-83.23420141601565</v>
      </c>
      <c r="T47" s="17" t="n">
        <v>-0.454311523437525</v>
      </c>
      <c r="U47" s="19" t="n">
        <v>38.20698214862199</v>
      </c>
      <c r="V47" s="20">
        <f>IFERROR(BDP(E47&amp;" Corp","LAST_PRICE"),"--")</f>
        <v/>
      </c>
      <c r="W47" s="21">
        <f>IFERROR(BDP(E47&amp;" Corp","YAS_BENCHMARK_BOND_ISIN"),"--")</f>
        <v/>
      </c>
      <c r="X47" s="22">
        <f>IFERROR(BDP(W47&amp;" CORP","LAST_PRICE"),"--")</f>
        <v/>
      </c>
      <c r="Y47" s="23">
        <f>IFERROR(BDP(E47&amp;" Corp","YAS_YLD_SPREAD","YAS_BOND_PX="&amp;V47,"YAS_BNCHMRK_BOND_PX="&amp;X47),"--")</f>
        <v/>
      </c>
      <c r="Z47" s="23">
        <f>IFERROR(BDP(E47&amp;" Corp","BLOOMBERG_MID_G_SPREAD","YAS_BOND_PX="&amp;V47,"YAS_BNCHMRK_BOND_PX="&amp;X47),"--")</f>
        <v/>
      </c>
      <c r="AA47" s="23">
        <f>IFERROR(BDP(D47,"LAST_PRICE"),"--")</f>
        <v/>
      </c>
      <c r="AB47" s="24" t="n"/>
      <c r="AC47" s="23">
        <f>IFERROR(IF(ISBLANK(AB47),AA47,AB47),"--")</f>
        <v/>
      </c>
      <c r="AD47" s="23">
        <f>IFERROR(MAX(-500,MIN(500,AC47-Z47)),"--")</f>
        <v/>
      </c>
      <c r="AE47" s="25">
        <f>IFERROR((AD47-S47)/(T47-S47)*100,"--")</f>
        <v/>
      </c>
    </row>
    <row r="48">
      <c r="A48" s="26" t="inlineStr">
        <is>
          <t>CRGYFN</t>
        </is>
      </c>
      <c r="B48" s="27" t="inlineStr">
        <is>
          <t>HY</t>
        </is>
      </c>
      <c r="C48" s="26" t="inlineStr">
        <is>
          <t>CRGYFN 7 5/8 04/01/32</t>
        </is>
      </c>
      <c r="D48" s="27" t="inlineStr">
        <is>
          <t>CZ060930 Curncy</t>
        </is>
      </c>
      <c r="E48" s="27" t="inlineStr">
        <is>
          <t>US45344LAD55</t>
        </is>
      </c>
      <c r="F48" s="28" t="n">
        <v>46106</v>
      </c>
      <c r="G48" s="28" t="n">
        <v>46225</v>
      </c>
      <c r="H48" s="28" t="n">
        <v>48385</v>
      </c>
      <c r="I48" s="29" t="n">
        <v>177.3997039794922</v>
      </c>
      <c r="J48" s="29" t="n">
        <v>171.1253051757812</v>
      </c>
      <c r="K48" s="29" t="n">
        <v>249.465</v>
      </c>
      <c r="L48" s="29" t="n">
        <v>257.847</v>
      </c>
      <c r="M48" s="30" t="n">
        <v>83</v>
      </c>
      <c r="N48" s="31" t="n">
        <v>-72.06529602050782</v>
      </c>
      <c r="O48" s="32" t="n">
        <v>-130.9281049804687</v>
      </c>
      <c r="P48" s="32" t="n">
        <v>-21.89388745117185</v>
      </c>
      <c r="Q48" s="33" t="n">
        <v>53.98562973512861</v>
      </c>
      <c r="R48" s="32" t="n">
        <v>-78.33969482421875</v>
      </c>
      <c r="S48" s="32" t="n">
        <v>-140.2250037841797</v>
      </c>
      <c r="T48" s="32" t="n">
        <v>-57.62951367187497</v>
      </c>
      <c r="U48" s="34" t="n">
        <v>74.92577243117725</v>
      </c>
      <c r="V48" s="20">
        <f>IFERROR(BDP(E48&amp;" Corp","LAST_PRICE"),"--")</f>
        <v/>
      </c>
      <c r="W48" s="21">
        <f>IFERROR(BDP(E48&amp;" Corp","YAS_BENCHMARK_BOND_ISIN"),"--")</f>
        <v/>
      </c>
      <c r="X48" s="22">
        <f>IFERROR(BDP(W48&amp;" CORP","LAST_PRICE"),"--")</f>
        <v/>
      </c>
      <c r="Y48" s="23">
        <f>IFERROR(BDP(E48&amp;" Corp","YAS_YLD_SPREAD","YAS_BOND_PX="&amp;V48,"YAS_BNCHMRK_BOND_PX="&amp;X48),"--")</f>
        <v/>
      </c>
      <c r="Z48" s="23">
        <f>IFERROR(BDP(E48&amp;" Corp","BLOOMBERG_MID_G_SPREAD","YAS_BOND_PX="&amp;V48,"YAS_BNCHMRK_BOND_PX="&amp;X48),"--")</f>
        <v/>
      </c>
      <c r="AA48" s="23">
        <f>IFERROR(BDP(D48,"LAST_PRICE"),"--")</f>
        <v/>
      </c>
      <c r="AB48" s="24" t="n"/>
      <c r="AC48" s="23">
        <f>IFERROR(IF(ISBLANK(AB48),AA48,AB48),"--")</f>
        <v/>
      </c>
      <c r="AD48" s="23">
        <f>IFERROR(MAX(-500,MIN(500,AC48-Z48)),"--")</f>
        <v/>
      </c>
      <c r="AE48" s="25">
        <f>IFERROR((AD48-S48)/(T48-S48)*100,"--")</f>
        <v/>
      </c>
    </row>
    <row r="49">
      <c r="A49" s="11" t="inlineStr">
        <is>
          <t>CRWV</t>
        </is>
      </c>
      <c r="B49" s="12" t="inlineStr">
        <is>
          <t>HY</t>
        </is>
      </c>
      <c r="C49" s="11" t="inlineStr">
        <is>
          <t>CRWV 9 02/01/31</t>
        </is>
      </c>
      <c r="D49" s="12" t="inlineStr">
        <is>
          <t>CRWV CDS USD SR 5Y D14 Corp</t>
        </is>
      </c>
      <c r="E49" s="12" t="inlineStr">
        <is>
          <t>US21873SAC26</t>
        </is>
      </c>
      <c r="F49" s="13" t="n">
        <v>46044</v>
      </c>
      <c r="G49" s="13" t="n">
        <v>46225</v>
      </c>
      <c r="H49" s="13" t="n">
        <v>48019</v>
      </c>
      <c r="I49" s="14" t="n">
        <v>704.531005859375</v>
      </c>
      <c r="J49" s="14" t="n">
        <v>704.531005859375</v>
      </c>
      <c r="K49" s="14" t="n">
        <v>623.9</v>
      </c>
      <c r="L49" s="14" t="n">
        <v>663.88</v>
      </c>
      <c r="M49" s="15" t="n">
        <v>126</v>
      </c>
      <c r="N49" s="16" t="n">
        <v>80.63100585937502</v>
      </c>
      <c r="O49" s="17" t="n">
        <v>-2.075819335937467</v>
      </c>
      <c r="P49" s="17" t="n">
        <v>87.85701318359372</v>
      </c>
      <c r="Q49" s="18" t="n">
        <v>91.96510648916858</v>
      </c>
      <c r="R49" s="17" t="n">
        <v>80.63100585937502</v>
      </c>
      <c r="S49" s="17" t="n">
        <v>-2.075819335937467</v>
      </c>
      <c r="T49" s="17" t="n">
        <v>87.85701318359372</v>
      </c>
      <c r="U49" s="19" t="n">
        <v>91.96510648916858</v>
      </c>
      <c r="V49" s="20">
        <f>IFERROR(BDP(E49&amp;" Corp","LAST_PRICE"),"--")</f>
        <v/>
      </c>
      <c r="W49" s="21">
        <f>IFERROR(BDP(E49&amp;" Corp","YAS_BENCHMARK_BOND_ISIN"),"--")</f>
        <v/>
      </c>
      <c r="X49" s="22">
        <f>IFERROR(BDP(W49&amp;" CORP","LAST_PRICE"),"--")</f>
        <v/>
      </c>
      <c r="Y49" s="23">
        <f>IFERROR(BDP(E49&amp;" Corp","YAS_YLD_SPREAD","YAS_BOND_PX="&amp;V49,"YAS_BNCHMRK_BOND_PX="&amp;X49),"--")</f>
        <v/>
      </c>
      <c r="Z49" s="23">
        <f>IFERROR(BDP(E49&amp;" Corp","BLOOMBERG_MID_G_SPREAD","YAS_BOND_PX="&amp;V49,"YAS_BNCHMRK_BOND_PX="&amp;X49),"--")</f>
        <v/>
      </c>
      <c r="AA49" s="23">
        <f>IFERROR(BDP(D49,"LAST_PRICE"),"--")</f>
        <v/>
      </c>
      <c r="AB49" s="24" t="n"/>
      <c r="AC49" s="23">
        <f>IFERROR(IF(ISBLANK(AB49),AA49,AB49),"--")</f>
        <v/>
      </c>
      <c r="AD49" s="23">
        <f>IFERROR(MAX(-500,MIN(500,AC49-Z49)),"--")</f>
        <v/>
      </c>
      <c r="AE49" s="25">
        <f>IFERROR((AD49-S49)/(T49-S49)*100,"--")</f>
        <v/>
      </c>
    </row>
    <row r="50">
      <c r="A50" s="26" t="inlineStr">
        <is>
          <t>CVNA</t>
        </is>
      </c>
      <c r="B50" s="27" t="inlineStr">
        <is>
          <t>HY</t>
        </is>
      </c>
      <c r="C50" s="26" t="inlineStr">
        <is>
          <t>CVNA 9 06/01/31</t>
        </is>
      </c>
      <c r="D50" s="27" t="inlineStr">
        <is>
          <t>CVNA CDS USD SR 5Y D14 Corp</t>
        </is>
      </c>
      <c r="E50" s="27" t="inlineStr">
        <is>
          <t>US146869AM47</t>
        </is>
      </c>
      <c r="F50" s="28" t="n">
        <v>45659</v>
      </c>
      <c r="G50" s="28" t="n">
        <v>46225</v>
      </c>
      <c r="H50" s="28" t="n">
        <v>48019</v>
      </c>
      <c r="I50" s="29" t="n">
        <v>225.0379943847656</v>
      </c>
      <c r="J50" s="29" t="n">
        <v>225.0379943847656</v>
      </c>
      <c r="K50" s="29" t="n">
        <v>163.045</v>
      </c>
      <c r="L50" s="29" t="n">
        <v>165.966</v>
      </c>
      <c r="M50" s="30" t="n">
        <v>374</v>
      </c>
      <c r="N50" s="31" t="n">
        <v>61.99299438476564</v>
      </c>
      <c r="O50" s="32" t="n">
        <v>-35.64090405273438</v>
      </c>
      <c r="P50" s="32" t="n">
        <v>262.402888671875</v>
      </c>
      <c r="Q50" s="33" t="n">
        <v>32.75823916511261</v>
      </c>
      <c r="R50" s="32" t="n">
        <v>61.99299438476564</v>
      </c>
      <c r="S50" s="32" t="n">
        <v>-35.64090405273438</v>
      </c>
      <c r="T50" s="32" t="n">
        <v>262.402888671875</v>
      </c>
      <c r="U50" s="34" t="n">
        <v>32.75823916511261</v>
      </c>
      <c r="V50" s="20">
        <f>IFERROR(BDP(E50&amp;" Corp","LAST_PRICE"),"--")</f>
        <v/>
      </c>
      <c r="W50" s="21">
        <f>IFERROR(BDP(E50&amp;" Corp","YAS_BENCHMARK_BOND_ISIN"),"--")</f>
        <v/>
      </c>
      <c r="X50" s="22">
        <f>IFERROR(BDP(W50&amp;" CORP","LAST_PRICE"),"--")</f>
        <v/>
      </c>
      <c r="Y50" s="23">
        <f>IFERROR(BDP(E50&amp;" Corp","YAS_YLD_SPREAD","YAS_BOND_PX="&amp;V50,"YAS_BNCHMRK_BOND_PX="&amp;X50),"--")</f>
        <v/>
      </c>
      <c r="Z50" s="23">
        <f>IFERROR(BDP(E50&amp;" Corp","BLOOMBERG_MID_G_SPREAD","YAS_BOND_PX="&amp;V50,"YAS_BNCHMRK_BOND_PX="&amp;X50),"--")</f>
        <v/>
      </c>
      <c r="AA50" s="23">
        <f>IFERROR(BDP(D50,"LAST_PRICE"),"--")</f>
        <v/>
      </c>
      <c r="AB50" s="24" t="n"/>
      <c r="AC50" s="23">
        <f>IFERROR(IF(ISBLANK(AB50),AA50,AB50),"--")</f>
        <v/>
      </c>
      <c r="AD50" s="23">
        <f>IFERROR(MAX(-500,MIN(500,AC50-Z50)),"--")</f>
        <v/>
      </c>
      <c r="AE50" s="25">
        <f>IFERROR((AD50-S50)/(T50-S50)*100,"--")</f>
        <v/>
      </c>
    </row>
    <row r="51">
      <c r="A51" s="11" t="inlineStr">
        <is>
          <t>CYH</t>
        </is>
      </c>
      <c r="B51" s="12" t="inlineStr">
        <is>
          <t>HY</t>
        </is>
      </c>
      <c r="C51" s="11" t="inlineStr">
        <is>
          <t>CYH 6 1/8 04/01/30</t>
        </is>
      </c>
      <c r="D51" s="12" t="inlineStr">
        <is>
          <t>COMMUNITY CDS USD SR 5Y D14 Corp</t>
        </is>
      </c>
      <c r="E51" s="12" t="inlineStr">
        <is>
          <t>US12543DBL38</t>
        </is>
      </c>
      <c r="F51" s="13" t="n">
        <v>45659</v>
      </c>
      <c r="G51" s="13" t="n">
        <v>46225</v>
      </c>
      <c r="H51" s="13" t="n">
        <v>47654</v>
      </c>
      <c r="I51" s="14" t="n">
        <v>686.5706787109375</v>
      </c>
      <c r="J51" s="14" t="n">
        <v>818.2044067382812</v>
      </c>
      <c r="K51" s="14" t="n">
        <v>600.7</v>
      </c>
      <c r="L51" s="14" t="n">
        <v>660.961</v>
      </c>
      <c r="M51" s="15" t="n">
        <v>389</v>
      </c>
      <c r="N51" s="16" t="n">
        <v>85.87067871093745</v>
      </c>
      <c r="O51" s="17" t="n">
        <v>-57.35169531250006</v>
      </c>
      <c r="P51" s="17" t="n">
        <v>1127.23412890625</v>
      </c>
      <c r="Q51" s="18" t="n">
        <v>12.09050210590647</v>
      </c>
      <c r="R51" s="17" t="n">
        <v>217.5044067382812</v>
      </c>
      <c r="S51" s="17" t="n">
        <v>3.414510742187531</v>
      </c>
      <c r="T51" s="17" t="n">
        <v>1162.155515625</v>
      </c>
      <c r="U51" s="19" t="n">
        <v>18.47607835520979</v>
      </c>
      <c r="V51" s="20">
        <f>IFERROR(BDP(E51&amp;" Corp","LAST_PRICE"),"--")</f>
        <v/>
      </c>
      <c r="W51" s="21">
        <f>IFERROR(BDP(E51&amp;" Corp","YAS_BENCHMARK_BOND_ISIN"),"--")</f>
        <v/>
      </c>
      <c r="X51" s="22">
        <f>IFERROR(BDP(W51&amp;" CORP","LAST_PRICE"),"--")</f>
        <v/>
      </c>
      <c r="Y51" s="23">
        <f>IFERROR(BDP(E51&amp;" Corp","YAS_YLD_SPREAD","YAS_BOND_PX="&amp;V51,"YAS_BNCHMRK_BOND_PX="&amp;X51),"--")</f>
        <v/>
      </c>
      <c r="Z51" s="23">
        <f>IFERROR(BDP(E51&amp;" Corp","BLOOMBERG_MID_G_SPREAD","YAS_BOND_PX="&amp;V51,"YAS_BNCHMRK_BOND_PX="&amp;X51),"--")</f>
        <v/>
      </c>
      <c r="AA51" s="23">
        <f>IFERROR(BDP(D51,"LAST_PRICE"),"--")</f>
        <v/>
      </c>
      <c r="AB51" s="24" t="n"/>
      <c r="AC51" s="23">
        <f>IFERROR(IF(ISBLANK(AB51),AA51,AB51),"--")</f>
        <v/>
      </c>
      <c r="AD51" s="23">
        <f>IFERROR(MAX(-500,MIN(500,AC51-Z51)),"--")</f>
        <v/>
      </c>
      <c r="AE51" s="25">
        <f>IFERROR((AD51-S51)/(T51-S51)*100,"--")</f>
        <v/>
      </c>
    </row>
    <row r="52">
      <c r="A52" s="26" t="inlineStr">
        <is>
          <t>CZR</t>
        </is>
      </c>
      <c r="B52" s="27" t="inlineStr">
        <is>
          <t>HY</t>
        </is>
      </c>
      <c r="C52" s="26" t="inlineStr">
        <is>
          <t>CZR 6 10/15/32</t>
        </is>
      </c>
      <c r="D52" s="27" t="inlineStr">
        <is>
          <t>CZR A CDS USD SR 5Y D14 Corp</t>
        </is>
      </c>
      <c r="E52" s="27" t="inlineStr">
        <is>
          <t>US12769GAD25</t>
        </is>
      </c>
      <c r="F52" s="28" t="n">
        <v>45659</v>
      </c>
      <c r="G52" s="28" t="n">
        <v>46225</v>
      </c>
      <c r="H52" s="28" t="n">
        <v>48568</v>
      </c>
      <c r="I52" s="29" t="n">
        <v>450.3653869628906</v>
      </c>
      <c r="J52" s="29" t="n">
        <v>374.7384948730469</v>
      </c>
      <c r="K52" s="29" t="n">
        <v>390.676</v>
      </c>
      <c r="L52" s="29" t="n">
        <v>404.297</v>
      </c>
      <c r="M52" s="30" t="n">
        <v>387</v>
      </c>
      <c r="N52" s="31" t="n">
        <v>59.68938696289064</v>
      </c>
      <c r="O52" s="32" t="n">
        <v>3.157695800781255</v>
      </c>
      <c r="P52" s="32" t="n">
        <v>135.44508984375</v>
      </c>
      <c r="Q52" s="33" t="n">
        <v>42.73399712125792</v>
      </c>
      <c r="R52" s="32" t="n">
        <v>-15.93750512695311</v>
      </c>
      <c r="S52" s="32" t="n">
        <v>-46.70948925781249</v>
      </c>
      <c r="T52" s="32" t="n">
        <v>87.4124970703125</v>
      </c>
      <c r="U52" s="34" t="n">
        <v>22.94328094394363</v>
      </c>
      <c r="V52" s="20">
        <f>IFERROR(BDP(E52&amp;" Corp","LAST_PRICE"),"--")</f>
        <v/>
      </c>
      <c r="W52" s="21">
        <f>IFERROR(BDP(E52&amp;" Corp","YAS_BENCHMARK_BOND_ISIN"),"--")</f>
        <v/>
      </c>
      <c r="X52" s="22">
        <f>IFERROR(BDP(W52&amp;" CORP","LAST_PRICE"),"--")</f>
        <v/>
      </c>
      <c r="Y52" s="23">
        <f>IFERROR(BDP(E52&amp;" Corp","YAS_YLD_SPREAD","YAS_BOND_PX="&amp;V52,"YAS_BNCHMRK_BOND_PX="&amp;X52),"--")</f>
        <v/>
      </c>
      <c r="Z52" s="23">
        <f>IFERROR(BDP(E52&amp;" Corp","BLOOMBERG_MID_G_SPREAD","YAS_BOND_PX="&amp;V52,"YAS_BNCHMRK_BOND_PX="&amp;X52),"--")</f>
        <v/>
      </c>
      <c r="AA52" s="23">
        <f>IFERROR(BDP(D52,"LAST_PRICE"),"--")</f>
        <v/>
      </c>
      <c r="AB52" s="24" t="n"/>
      <c r="AC52" s="23">
        <f>IFERROR(IF(ISBLANK(AB52),AA52,AB52),"--")</f>
        <v/>
      </c>
      <c r="AD52" s="23">
        <f>IFERROR(MAX(-500,MIN(500,AC52-Z52)),"--")</f>
        <v/>
      </c>
      <c r="AE52" s="25">
        <f>IFERROR((AD52-S52)/(T52-S52)*100,"--")</f>
        <v/>
      </c>
    </row>
    <row r="53">
      <c r="A53" s="11" t="inlineStr">
        <is>
          <t>DVA</t>
        </is>
      </c>
      <c r="B53" s="12" t="inlineStr">
        <is>
          <t>HY</t>
        </is>
      </c>
      <c r="C53" s="11" t="inlineStr">
        <is>
          <t>DVA 6 7/8 09/01/32</t>
        </is>
      </c>
      <c r="D53" s="12" t="inlineStr">
        <is>
          <t>DVA CDS USD SR 5Y D14 Corp</t>
        </is>
      </c>
      <c r="E53" s="12" t="inlineStr">
        <is>
          <t>US23918KAW80</t>
        </is>
      </c>
      <c r="F53" s="13" t="n">
        <v>45659</v>
      </c>
      <c r="G53" s="13" t="n">
        <v>46225</v>
      </c>
      <c r="H53" s="13" t="n">
        <v>48568</v>
      </c>
      <c r="I53" s="14" t="n">
        <v>113.959098815918</v>
      </c>
      <c r="J53" s="14" t="n">
        <v>87.26679992675781</v>
      </c>
      <c r="K53" s="14" t="n">
        <v>148.364</v>
      </c>
      <c r="L53" s="14" t="n">
        <v>161.569</v>
      </c>
      <c r="M53" s="15" t="n">
        <v>389</v>
      </c>
      <c r="N53" s="16" t="n">
        <v>-34.40490118408204</v>
      </c>
      <c r="O53" s="17" t="n">
        <v>-110.7873052978516</v>
      </c>
      <c r="P53" s="17" t="n">
        <v>-25.06760296630858</v>
      </c>
      <c r="Q53" s="18" t="n">
        <v>89.10717377242042</v>
      </c>
      <c r="R53" s="17" t="n">
        <v>-61.09720007324219</v>
      </c>
      <c r="S53" s="17" t="n">
        <v>-118.2570013427734</v>
      </c>
      <c r="T53" s="17" t="n">
        <v>-51.51420227050781</v>
      </c>
      <c r="U53" s="19" t="n">
        <v>85.64190004623808</v>
      </c>
      <c r="V53" s="20">
        <f>IFERROR(BDP(E53&amp;" Corp","LAST_PRICE"),"--")</f>
        <v/>
      </c>
      <c r="W53" s="21">
        <f>IFERROR(BDP(E53&amp;" Corp","YAS_BENCHMARK_BOND_ISIN"),"--")</f>
        <v/>
      </c>
      <c r="X53" s="22">
        <f>IFERROR(BDP(W53&amp;" CORP","LAST_PRICE"),"--")</f>
        <v/>
      </c>
      <c r="Y53" s="23">
        <f>IFERROR(BDP(E53&amp;" Corp","YAS_YLD_SPREAD","YAS_BOND_PX="&amp;V53,"YAS_BNCHMRK_BOND_PX="&amp;X53),"--")</f>
        <v/>
      </c>
      <c r="Z53" s="23">
        <f>IFERROR(BDP(E53&amp;" Corp","BLOOMBERG_MID_G_SPREAD","YAS_BOND_PX="&amp;V53,"YAS_BNCHMRK_BOND_PX="&amp;X53),"--")</f>
        <v/>
      </c>
      <c r="AA53" s="23">
        <f>IFERROR(BDP(D53,"LAST_PRICE"),"--")</f>
        <v/>
      </c>
      <c r="AB53" s="24" t="n"/>
      <c r="AC53" s="23">
        <f>IFERROR(IF(ISBLANK(AB53),AA53,AB53),"--")</f>
        <v/>
      </c>
      <c r="AD53" s="23">
        <f>IFERROR(MAX(-500,MIN(500,AC53-Z53)),"--")</f>
        <v/>
      </c>
      <c r="AE53" s="25">
        <f>IFERROR((AD53-S53)/(T53-S53)*100,"--")</f>
        <v/>
      </c>
    </row>
    <row r="54">
      <c r="A54" s="26" t="inlineStr">
        <is>
          <t>FD</t>
        </is>
      </c>
      <c r="B54" s="27" t="inlineStr">
        <is>
          <t>HY</t>
        </is>
      </c>
      <c r="C54" s="26" t="inlineStr">
        <is>
          <t>M 7 3/8 08/01/33</t>
        </is>
      </c>
      <c r="D54" s="27" t="inlineStr">
        <is>
          <t>FD CDS USD SR 5Y D14 Corp</t>
        </is>
      </c>
      <c r="E54" s="27" t="inlineStr">
        <is>
          <t>US55617LAS16</t>
        </is>
      </c>
      <c r="F54" s="28" t="n">
        <v>45853</v>
      </c>
      <c r="G54" s="28" t="n">
        <v>46225</v>
      </c>
      <c r="H54" s="28" t="n">
        <v>48933</v>
      </c>
      <c r="I54" s="29" t="n">
        <v>242.1054992675781</v>
      </c>
      <c r="J54" s="29" t="n">
        <v>163.7899932861328</v>
      </c>
      <c r="K54" s="29" t="n">
        <v>171.76</v>
      </c>
      <c r="L54" s="29" t="n">
        <v>172.972</v>
      </c>
      <c r="M54" s="30" t="n">
        <v>253</v>
      </c>
      <c r="N54" s="31" t="n">
        <v>70.34549926757813</v>
      </c>
      <c r="O54" s="32" t="n">
        <v>-22.25589331054687</v>
      </c>
      <c r="P54" s="32" t="n">
        <v>70.97620751953124</v>
      </c>
      <c r="Q54" s="33" t="n">
        <v>99.32350741178448</v>
      </c>
      <c r="R54" s="32" t="n">
        <v>-7.970006713867178</v>
      </c>
      <c r="S54" s="32" t="n">
        <v>-70.05699316406248</v>
      </c>
      <c r="T54" s="32" t="n">
        <v>20.60501171875001</v>
      </c>
      <c r="U54" s="34" t="n">
        <v>68.48181499013555</v>
      </c>
      <c r="V54" s="20">
        <f>IFERROR(BDP(E54&amp;" Corp","LAST_PRICE"),"--")</f>
        <v/>
      </c>
      <c r="W54" s="21">
        <f>IFERROR(BDP(E54&amp;" Corp","YAS_BENCHMARK_BOND_ISIN"),"--")</f>
        <v/>
      </c>
      <c r="X54" s="22">
        <f>IFERROR(BDP(W54&amp;" CORP","LAST_PRICE"),"--")</f>
        <v/>
      </c>
      <c r="Y54" s="23">
        <f>IFERROR(BDP(E54&amp;" Corp","YAS_YLD_SPREAD","YAS_BOND_PX="&amp;V54,"YAS_BNCHMRK_BOND_PX="&amp;X54),"--")</f>
        <v/>
      </c>
      <c r="Z54" s="23">
        <f>IFERROR(BDP(E54&amp;" Corp","BLOOMBERG_MID_G_SPREAD","YAS_BOND_PX="&amp;V54,"YAS_BNCHMRK_BOND_PX="&amp;X54),"--")</f>
        <v/>
      </c>
      <c r="AA54" s="23">
        <f>IFERROR(BDP(D54,"LAST_PRICE"),"--")</f>
        <v/>
      </c>
      <c r="AB54" s="24" t="n"/>
      <c r="AC54" s="23">
        <f>IFERROR(IF(ISBLANK(AB54),AA54,AB54),"--")</f>
        <v/>
      </c>
      <c r="AD54" s="23">
        <f>IFERROR(MAX(-500,MIN(500,AC54-Z54)),"--")</f>
        <v/>
      </c>
      <c r="AE54" s="25">
        <f>IFERROR((AD54-S54)/(T54-S54)*100,"--")</f>
        <v/>
      </c>
    </row>
    <row r="55">
      <c r="A55" s="11" t="inlineStr">
        <is>
          <t>FREMOR</t>
        </is>
      </c>
      <c r="B55" s="12" t="inlineStr">
        <is>
          <t>HY</t>
        </is>
      </c>
      <c r="C55" s="11" t="inlineStr">
        <is>
          <t>FREMOR 6 7/8 05/01/31</t>
        </is>
      </c>
      <c r="D55" s="12" t="inlineStr">
        <is>
          <t>CZ060947 Curncy</t>
        </is>
      </c>
      <c r="E55" s="12" t="inlineStr">
        <is>
          <t>US35641AAE82</t>
        </is>
      </c>
      <c r="F55" s="13" t="n">
        <v>46108</v>
      </c>
      <c r="G55" s="13" t="n">
        <v>46225</v>
      </c>
      <c r="H55" s="13" t="n">
        <v>48019</v>
      </c>
      <c r="I55" s="14" t="n">
        <v>238.3222961425781</v>
      </c>
      <c r="J55" s="14" t="n">
        <v>238.3222961425781</v>
      </c>
      <c r="K55" s="14" t="n">
        <v>326.869</v>
      </c>
      <c r="L55" s="14" t="n">
        <v>334.529</v>
      </c>
      <c r="M55" s="15" t="n">
        <v>81</v>
      </c>
      <c r="N55" s="16" t="n">
        <v>-88.5467038574219</v>
      </c>
      <c r="O55" s="17" t="n">
        <v>-111.8766909179687</v>
      </c>
      <c r="P55" s="17" t="n">
        <v>-33.49079858398437</v>
      </c>
      <c r="Q55" s="18" t="n">
        <v>29.76299225011447</v>
      </c>
      <c r="R55" s="17" t="n">
        <v>-88.5467038574219</v>
      </c>
      <c r="S55" s="17" t="n">
        <v>-111.8766909179687</v>
      </c>
      <c r="T55" s="17" t="n">
        <v>-33.49079858398437</v>
      </c>
      <c r="U55" s="19" t="n">
        <v>29.76299225011447</v>
      </c>
      <c r="V55" s="20">
        <f>IFERROR(BDP(E55&amp;" Corp","LAST_PRICE"),"--")</f>
        <v/>
      </c>
      <c r="W55" s="21">
        <f>IFERROR(BDP(E55&amp;" Corp","YAS_BENCHMARK_BOND_ISIN"),"--")</f>
        <v/>
      </c>
      <c r="X55" s="22">
        <f>IFERROR(BDP(W55&amp;" CORP","LAST_PRICE"),"--")</f>
        <v/>
      </c>
      <c r="Y55" s="23">
        <f>IFERROR(BDP(E55&amp;" Corp","YAS_YLD_SPREAD","YAS_BOND_PX="&amp;V55,"YAS_BNCHMRK_BOND_PX="&amp;X55),"--")</f>
        <v/>
      </c>
      <c r="Z55" s="23">
        <f>IFERROR(BDP(E55&amp;" Corp","BLOOMBERG_MID_G_SPREAD","YAS_BOND_PX="&amp;V55,"YAS_BNCHMRK_BOND_PX="&amp;X55),"--")</f>
        <v/>
      </c>
      <c r="AA55" s="23">
        <f>IFERROR(BDP(D55,"LAST_PRICE"),"--")</f>
        <v/>
      </c>
      <c r="AB55" s="24" t="n"/>
      <c r="AC55" s="23">
        <f>IFERROR(IF(ISBLANK(AB55),AA55,AB55),"--")</f>
        <v/>
      </c>
      <c r="AD55" s="23">
        <f>IFERROR(MAX(-500,MIN(500,AC55-Z55)),"--")</f>
        <v/>
      </c>
      <c r="AE55" s="25">
        <f>IFERROR((AD55-S55)/(T55-S55)*100,"--")</f>
        <v/>
      </c>
    </row>
    <row r="56">
      <c r="A56" s="26" t="inlineStr">
        <is>
          <t>GAP</t>
        </is>
      </c>
      <c r="B56" s="27" t="inlineStr">
        <is>
          <t>HY</t>
        </is>
      </c>
      <c r="C56" s="26" t="inlineStr">
        <is>
          <t>GAP 3 7/8 10/01/31</t>
        </is>
      </c>
      <c r="D56" s="27" t="inlineStr">
        <is>
          <t>GAP CDS USD SR 5Y D14 Corp</t>
        </is>
      </c>
      <c r="E56" s="27" t="inlineStr">
        <is>
          <t>US364760AQ18</t>
        </is>
      </c>
      <c r="F56" s="28" t="n">
        <v>45659</v>
      </c>
      <c r="G56" s="28" t="n">
        <v>46225</v>
      </c>
      <c r="H56" s="28" t="n">
        <v>48202</v>
      </c>
      <c r="I56" s="29" t="n">
        <v>162.3323059082031</v>
      </c>
      <c r="J56" s="29" t="n">
        <v>143.9781951904297</v>
      </c>
      <c r="K56" s="29" t="n">
        <v>148.81</v>
      </c>
      <c r="L56" s="29" t="n">
        <v>159.186</v>
      </c>
      <c r="M56" s="30" t="n">
        <v>386</v>
      </c>
      <c r="N56" s="31" t="n">
        <v>13.52230590820312</v>
      </c>
      <c r="O56" s="32" t="n">
        <v>-43.86779980468751</v>
      </c>
      <c r="P56" s="32" t="n">
        <v>77.07779614257814</v>
      </c>
      <c r="Q56" s="33" t="n">
        <v>47.4511744420307</v>
      </c>
      <c r="R56" s="32" t="n">
        <v>-4.831804809570315</v>
      </c>
      <c r="S56" s="32" t="n">
        <v>-53.64669995117188</v>
      </c>
      <c r="T56" s="32" t="n">
        <v>58.54410473632814</v>
      </c>
      <c r="U56" s="34" t="n">
        <v>43.51060256459716</v>
      </c>
      <c r="V56" s="20">
        <f>IFERROR(BDP(E56&amp;" Corp","LAST_PRICE"),"--")</f>
        <v/>
      </c>
      <c r="W56" s="21">
        <f>IFERROR(BDP(E56&amp;" Corp","YAS_BENCHMARK_BOND_ISIN"),"--")</f>
        <v/>
      </c>
      <c r="X56" s="22">
        <f>IFERROR(BDP(W56&amp;" CORP","LAST_PRICE"),"--")</f>
        <v/>
      </c>
      <c r="Y56" s="23">
        <f>IFERROR(BDP(E56&amp;" Corp","YAS_YLD_SPREAD","YAS_BOND_PX="&amp;V56,"YAS_BNCHMRK_BOND_PX="&amp;X56),"--")</f>
        <v/>
      </c>
      <c r="Z56" s="23">
        <f>IFERROR(BDP(E56&amp;" Corp","BLOOMBERG_MID_G_SPREAD","YAS_BOND_PX="&amp;V56,"YAS_BNCHMRK_BOND_PX="&amp;X56),"--")</f>
        <v/>
      </c>
      <c r="AA56" s="23">
        <f>IFERROR(BDP(D56,"LAST_PRICE"),"--")</f>
        <v/>
      </c>
      <c r="AB56" s="24" t="n"/>
      <c r="AC56" s="23">
        <f>IFERROR(IF(ISBLANK(AB56),AA56,AB56),"--")</f>
        <v/>
      </c>
      <c r="AD56" s="23">
        <f>IFERROR(MAX(-500,MIN(500,AC56-Z56)),"--")</f>
        <v/>
      </c>
      <c r="AE56" s="25">
        <f>IFERROR((AD56-S56)/(T56-S56)*100,"--")</f>
        <v/>
      </c>
    </row>
    <row r="57">
      <c r="A57" s="11" t="inlineStr">
        <is>
          <t>GFLCN</t>
        </is>
      </c>
      <c r="B57" s="12" t="inlineStr">
        <is>
          <t>HY</t>
        </is>
      </c>
      <c r="C57" s="11" t="inlineStr">
        <is>
          <t>GFLCN 6 3/4 01/15/31</t>
        </is>
      </c>
      <c r="D57" s="12" t="inlineStr">
        <is>
          <t>GFLCN CDS USD SR 5Y D14 Corp</t>
        </is>
      </c>
      <c r="E57" s="12" t="inlineStr">
        <is>
          <t>US36168QAQ73</t>
        </is>
      </c>
      <c r="F57" s="13" t="n">
        <v>45659</v>
      </c>
      <c r="G57" s="13" t="n">
        <v>46225</v>
      </c>
      <c r="H57" s="13" t="n">
        <v>48019</v>
      </c>
      <c r="I57" s="14" t="n">
        <v>127.9253997802734</v>
      </c>
      <c r="J57" s="14" t="n">
        <v>127.9253997802734</v>
      </c>
      <c r="K57" s="14" t="n">
        <v>172.211</v>
      </c>
      <c r="L57" s="14" t="n">
        <v>177.386</v>
      </c>
      <c r="M57" s="15" t="n">
        <v>389</v>
      </c>
      <c r="N57" s="16" t="n">
        <v>-44.28560021972658</v>
      </c>
      <c r="O57" s="17" t="n">
        <v>-107.0102001342773</v>
      </c>
      <c r="P57" s="17" t="n">
        <v>-27.23930004882811</v>
      </c>
      <c r="Q57" s="18" t="n">
        <v>78.63092913250476</v>
      </c>
      <c r="R57" s="17" t="n">
        <v>-44.28560021972658</v>
      </c>
      <c r="S57" s="17" t="n">
        <v>-107.0102001342773</v>
      </c>
      <c r="T57" s="17" t="n">
        <v>-27.23930004882811</v>
      </c>
      <c r="U57" s="19" t="n">
        <v>78.63092913250476</v>
      </c>
      <c r="V57" s="20">
        <f>IFERROR(BDP(E57&amp;" Corp","LAST_PRICE"),"--")</f>
        <v/>
      </c>
      <c r="W57" s="21">
        <f>IFERROR(BDP(E57&amp;" Corp","YAS_BENCHMARK_BOND_ISIN"),"--")</f>
        <v/>
      </c>
      <c r="X57" s="22">
        <f>IFERROR(BDP(W57&amp;" CORP","LAST_PRICE"),"--")</f>
        <v/>
      </c>
      <c r="Y57" s="23">
        <f>IFERROR(BDP(E57&amp;" Corp","YAS_YLD_SPREAD","YAS_BOND_PX="&amp;V57,"YAS_BNCHMRK_BOND_PX="&amp;X57),"--")</f>
        <v/>
      </c>
      <c r="Z57" s="23">
        <f>IFERROR(BDP(E57&amp;" Corp","BLOOMBERG_MID_G_SPREAD","YAS_BOND_PX="&amp;V57,"YAS_BNCHMRK_BOND_PX="&amp;X57),"--")</f>
        <v/>
      </c>
      <c r="AA57" s="23">
        <f>IFERROR(BDP(D57,"LAST_PRICE"),"--")</f>
        <v/>
      </c>
      <c r="AB57" s="24" t="n"/>
      <c r="AC57" s="23">
        <f>IFERROR(IF(ISBLANK(AB57),AA57,AB57),"--")</f>
        <v/>
      </c>
      <c r="AD57" s="23">
        <f>IFERROR(MAX(-500,MIN(500,AC57-Z57)),"--")</f>
        <v/>
      </c>
      <c r="AE57" s="25">
        <f>IFERROR((AD57-S57)/(T57-S57)*100,"--")</f>
        <v/>
      </c>
    </row>
    <row r="58">
      <c r="A58" s="26" t="inlineStr">
        <is>
          <t>GNW</t>
        </is>
      </c>
      <c r="B58" s="27" t="inlineStr">
        <is>
          <t>HY</t>
        </is>
      </c>
      <c r="C58" s="26" t="inlineStr">
        <is>
          <t>GNW 6 1/2 06/15/34</t>
        </is>
      </c>
      <c r="D58" s="27" t="inlineStr">
        <is>
          <t>GNW CDS USD SR 5Y D14 Corp</t>
        </is>
      </c>
      <c r="E58" s="27" t="inlineStr">
        <is>
          <t>US37247DAB29</t>
        </is>
      </c>
      <c r="F58" s="28" t="n">
        <v>45659</v>
      </c>
      <c r="G58" s="28" t="n">
        <v>46225</v>
      </c>
      <c r="H58" s="28" t="n">
        <v>49115</v>
      </c>
      <c r="I58" s="29" t="n">
        <v>99.18299865722656</v>
      </c>
      <c r="J58" s="29" t="n">
        <v>81.16940307617188</v>
      </c>
      <c r="K58" s="29" t="n">
        <v>193.785</v>
      </c>
      <c r="L58" s="29" t="n">
        <v>191.173</v>
      </c>
      <c r="M58" s="30" t="n">
        <v>389</v>
      </c>
      <c r="N58" s="31" t="n">
        <v>-94.60200134277343</v>
      </c>
      <c r="O58" s="32" t="n">
        <v>-125.1274985351562</v>
      </c>
      <c r="P58" s="32" t="n">
        <v>-24.76759606933595</v>
      </c>
      <c r="Q58" s="33" t="n">
        <v>30.4160291534549</v>
      </c>
      <c r="R58" s="32" t="n">
        <v>-112.6155969238281</v>
      </c>
      <c r="S58" s="32" t="n">
        <v>-149.3832053222656</v>
      </c>
      <c r="T58" s="32" t="n">
        <v>-51.36329919433595</v>
      </c>
      <c r="U58" s="34" t="n">
        <v>37.51034851068989</v>
      </c>
      <c r="V58" s="20">
        <f>IFERROR(BDP(E58&amp;" Corp","LAST_PRICE"),"--")</f>
        <v/>
      </c>
      <c r="W58" s="21">
        <f>IFERROR(BDP(E58&amp;" Corp","YAS_BENCHMARK_BOND_ISIN"),"--")</f>
        <v/>
      </c>
      <c r="X58" s="22">
        <f>IFERROR(BDP(W58&amp;" CORP","LAST_PRICE"),"--")</f>
        <v/>
      </c>
      <c r="Y58" s="23">
        <f>IFERROR(BDP(E58&amp;" Corp","YAS_YLD_SPREAD","YAS_BOND_PX="&amp;V58,"YAS_BNCHMRK_BOND_PX="&amp;X58),"--")</f>
        <v/>
      </c>
      <c r="Z58" s="23">
        <f>IFERROR(BDP(E58&amp;" Corp","BLOOMBERG_MID_G_SPREAD","YAS_BOND_PX="&amp;V58,"YAS_BNCHMRK_BOND_PX="&amp;X58),"--")</f>
        <v/>
      </c>
      <c r="AA58" s="23">
        <f>IFERROR(BDP(D58,"LAST_PRICE"),"--")</f>
        <v/>
      </c>
      <c r="AB58" s="24" t="n"/>
      <c r="AC58" s="23">
        <f>IFERROR(IF(ISBLANK(AB58),AA58,AB58),"--")</f>
        <v/>
      </c>
      <c r="AD58" s="23">
        <f>IFERROR(MAX(-500,MIN(500,AC58-Z58)),"--")</f>
        <v/>
      </c>
      <c r="AE58" s="25">
        <f>IFERROR((AD58-S58)/(T58-S58)*100,"--")</f>
        <v/>
      </c>
    </row>
    <row r="59">
      <c r="A59" s="11" t="inlineStr">
        <is>
          <t>GT</t>
        </is>
      </c>
      <c r="B59" s="12" t="inlineStr">
        <is>
          <t>HY</t>
        </is>
      </c>
      <c r="C59" s="11" t="inlineStr">
        <is>
          <t>GT 5 1/4 07/15/31</t>
        </is>
      </c>
      <c r="D59" s="12" t="inlineStr">
        <is>
          <t>GT CDS USD SR 5Y D14 Corp</t>
        </is>
      </c>
      <c r="E59" s="12" t="inlineStr">
        <is>
          <t>US382550BR12</t>
        </is>
      </c>
      <c r="F59" s="13" t="n">
        <v>45659</v>
      </c>
      <c r="G59" s="13" t="n">
        <v>46225</v>
      </c>
      <c r="H59" s="13" t="n">
        <v>48202</v>
      </c>
      <c r="I59" s="14" t="n">
        <v>383.6509094238281</v>
      </c>
      <c r="J59" s="14" t="n">
        <v>360.7712097167969</v>
      </c>
      <c r="K59" s="14" t="n">
        <v>341.541</v>
      </c>
      <c r="L59" s="14" t="n">
        <v>361.805</v>
      </c>
      <c r="M59" s="15" t="n">
        <v>389</v>
      </c>
      <c r="N59" s="16" t="n">
        <v>42.10990942382813</v>
      </c>
      <c r="O59" s="17" t="n">
        <v>8.028890380859366</v>
      </c>
      <c r="P59" s="17" t="n">
        <v>161.7635004882812</v>
      </c>
      <c r="Q59" s="18" t="n">
        <v>22.16873547157318</v>
      </c>
      <c r="R59" s="17" t="n">
        <v>19.23020971679688</v>
      </c>
      <c r="S59" s="17" t="n">
        <v>-20.36509155273438</v>
      </c>
      <c r="T59" s="17" t="n">
        <v>145.4730036621094</v>
      </c>
      <c r="U59" s="19" t="n">
        <v>23.87587798704238</v>
      </c>
      <c r="V59" s="20">
        <f>IFERROR(BDP(E59&amp;" Corp","LAST_PRICE"),"--")</f>
        <v/>
      </c>
      <c r="W59" s="21">
        <f>IFERROR(BDP(E59&amp;" Corp","YAS_BENCHMARK_BOND_ISIN"),"--")</f>
        <v/>
      </c>
      <c r="X59" s="22">
        <f>IFERROR(BDP(W59&amp;" CORP","LAST_PRICE"),"--")</f>
        <v/>
      </c>
      <c r="Y59" s="23">
        <f>IFERROR(BDP(E59&amp;" Corp","YAS_YLD_SPREAD","YAS_BOND_PX="&amp;V59,"YAS_BNCHMRK_BOND_PX="&amp;X59),"--")</f>
        <v/>
      </c>
      <c r="Z59" s="23">
        <f>IFERROR(BDP(E59&amp;" Corp","BLOOMBERG_MID_G_SPREAD","YAS_BOND_PX="&amp;V59,"YAS_BNCHMRK_BOND_PX="&amp;X59),"--")</f>
        <v/>
      </c>
      <c r="AA59" s="23">
        <f>IFERROR(BDP(D59,"LAST_PRICE"),"--")</f>
        <v/>
      </c>
      <c r="AB59" s="24" t="n"/>
      <c r="AC59" s="23">
        <f>IFERROR(IF(ISBLANK(AB59),AA59,AB59),"--")</f>
        <v/>
      </c>
      <c r="AD59" s="23">
        <f>IFERROR(MAX(-500,MIN(500,AC59-Z59)),"--")</f>
        <v/>
      </c>
      <c r="AE59" s="25">
        <f>IFERROR((AD59-S59)/(T59-S59)*100,"--")</f>
        <v/>
      </c>
    </row>
    <row r="60">
      <c r="A60" s="26" t="inlineStr">
        <is>
          <t>GTN</t>
        </is>
      </c>
      <c r="B60" s="27" t="inlineStr">
        <is>
          <t>HY</t>
        </is>
      </c>
      <c r="C60" s="26" t="inlineStr">
        <is>
          <t>GTN 5 3/8 11/15/31</t>
        </is>
      </c>
      <c r="D60" s="27" t="inlineStr">
        <is>
          <t>GTN CDS USD SR 5Y D14 Corp</t>
        </is>
      </c>
      <c r="E60" s="27" t="inlineStr">
        <is>
          <t>US389286AA34</t>
        </is>
      </c>
      <c r="F60" s="28" t="n">
        <v>46044</v>
      </c>
      <c r="G60" s="28" t="n">
        <v>46225</v>
      </c>
      <c r="H60" s="28" t="n">
        <v>48202</v>
      </c>
      <c r="I60" s="29" t="n">
        <v>759.4786987304688</v>
      </c>
      <c r="J60" s="29" t="n">
        <v>748.36669921875</v>
      </c>
      <c r="K60" s="29" t="n">
        <v>796.628</v>
      </c>
      <c r="L60" s="29" t="n">
        <v>807.468</v>
      </c>
      <c r="M60" s="30" t="n">
        <v>121</v>
      </c>
      <c r="N60" s="31" t="n">
        <v>-37.14930126953129</v>
      </c>
      <c r="O60" s="32" t="n">
        <v>-175.452318359375</v>
      </c>
      <c r="P60" s="32" t="n">
        <v>-37.14930126953129</v>
      </c>
      <c r="Q60" s="33" t="n">
        <v>100</v>
      </c>
      <c r="R60" s="32" t="n">
        <v>-48.26130078125004</v>
      </c>
      <c r="S60" s="32" t="n">
        <v>-189.5640126953125</v>
      </c>
      <c r="T60" s="32" t="n">
        <v>-48.26130078125004</v>
      </c>
      <c r="U60" s="34" t="n">
        <v>100</v>
      </c>
      <c r="V60" s="20">
        <f>IFERROR(BDP(E60&amp;" Corp","LAST_PRICE"),"--")</f>
        <v/>
      </c>
      <c r="W60" s="21">
        <f>IFERROR(BDP(E60&amp;" Corp","YAS_BENCHMARK_BOND_ISIN"),"--")</f>
        <v/>
      </c>
      <c r="X60" s="22">
        <f>IFERROR(BDP(W60&amp;" CORP","LAST_PRICE"),"--")</f>
        <v/>
      </c>
      <c r="Y60" s="23">
        <f>IFERROR(BDP(E60&amp;" Corp","YAS_YLD_SPREAD","YAS_BOND_PX="&amp;V60,"YAS_BNCHMRK_BOND_PX="&amp;X60),"--")</f>
        <v/>
      </c>
      <c r="Z60" s="23">
        <f>IFERROR(BDP(E60&amp;" Corp","BLOOMBERG_MID_G_SPREAD","YAS_BOND_PX="&amp;V60,"YAS_BNCHMRK_BOND_PX="&amp;X60),"--")</f>
        <v/>
      </c>
      <c r="AA60" s="23">
        <f>IFERROR(BDP(D60,"LAST_PRICE"),"--")</f>
        <v/>
      </c>
      <c r="AB60" s="24" t="n"/>
      <c r="AC60" s="23">
        <f>IFERROR(IF(ISBLANK(AB60),AA60,AB60),"--")</f>
        <v/>
      </c>
      <c r="AD60" s="23">
        <f>IFERROR(MAX(-500,MIN(500,AC60-Z60)),"--")</f>
        <v/>
      </c>
      <c r="AE60" s="25">
        <f>IFERROR((AD60-S60)/(T60-S60)*100,"--")</f>
        <v/>
      </c>
    </row>
    <row r="61">
      <c r="A61" s="11" t="inlineStr">
        <is>
          <t>HBGCN</t>
        </is>
      </c>
      <c r="B61" s="12" t="inlineStr">
        <is>
          <t>HY</t>
        </is>
      </c>
      <c r="C61" s="11" t="inlineStr">
        <is>
          <t>HBGCN 7 3/8 01/31/32</t>
        </is>
      </c>
      <c r="D61" s="12" t="inlineStr">
        <is>
          <t>HBGCN CDS USD SR 5Y D14 Corp</t>
        </is>
      </c>
      <c r="E61" s="12" t="inlineStr">
        <is>
          <t>US44332PAJ03</t>
        </is>
      </c>
      <c r="F61" s="13" t="n">
        <v>45659</v>
      </c>
      <c r="G61" s="13" t="n">
        <v>46225</v>
      </c>
      <c r="H61" s="13" t="n">
        <v>48385</v>
      </c>
      <c r="I61" s="14" t="n">
        <v>168.2684936523438</v>
      </c>
      <c r="J61" s="14" t="n">
        <v>146.4216003417969</v>
      </c>
      <c r="K61" s="14" t="n">
        <v>206.863</v>
      </c>
      <c r="L61" s="14" t="n">
        <v>210.367</v>
      </c>
      <c r="M61" s="15" t="n">
        <v>389</v>
      </c>
      <c r="N61" s="16" t="n">
        <v>-38.59450634765625</v>
      </c>
      <c r="O61" s="17" t="n">
        <v>-144.5795005493164</v>
      </c>
      <c r="P61" s="17" t="n">
        <v>-20.07029553222657</v>
      </c>
      <c r="Q61" s="18" t="n">
        <v>85.12221581296974</v>
      </c>
      <c r="R61" s="17" t="n">
        <v>-60.44139965820312</v>
      </c>
      <c r="S61" s="17" t="n">
        <v>-158.7144930419922</v>
      </c>
      <c r="T61" s="17" t="n">
        <v>-40.80329589843751</v>
      </c>
      <c r="U61" s="19" t="n">
        <v>83.34500519415761</v>
      </c>
      <c r="V61" s="20">
        <f>IFERROR(BDP(E61&amp;" Corp","LAST_PRICE"),"--")</f>
        <v/>
      </c>
      <c r="W61" s="21">
        <f>IFERROR(BDP(E61&amp;" Corp","YAS_BENCHMARK_BOND_ISIN"),"--")</f>
        <v/>
      </c>
      <c r="X61" s="22">
        <f>IFERROR(BDP(W61&amp;" CORP","LAST_PRICE"),"--")</f>
        <v/>
      </c>
      <c r="Y61" s="23">
        <f>IFERROR(BDP(E61&amp;" Corp","YAS_YLD_SPREAD","YAS_BOND_PX="&amp;V61,"YAS_BNCHMRK_BOND_PX="&amp;X61),"--")</f>
        <v/>
      </c>
      <c r="Z61" s="23">
        <f>IFERROR(BDP(E61&amp;" Corp","BLOOMBERG_MID_G_SPREAD","YAS_BOND_PX="&amp;V61,"YAS_BNCHMRK_BOND_PX="&amp;X61),"--")</f>
        <v/>
      </c>
      <c r="AA61" s="23">
        <f>IFERROR(BDP(D61,"LAST_PRICE"),"--")</f>
        <v/>
      </c>
      <c r="AB61" s="24" t="n"/>
      <c r="AC61" s="23">
        <f>IFERROR(IF(ISBLANK(AB61),AA61,AB61),"--")</f>
        <v/>
      </c>
      <c r="AD61" s="23">
        <f>IFERROR(MAX(-500,MIN(500,AC61-Z61)),"--")</f>
        <v/>
      </c>
      <c r="AE61" s="25">
        <f>IFERROR((AD61-S61)/(T61-S61)*100,"--")</f>
        <v/>
      </c>
    </row>
    <row r="62">
      <c r="A62" s="26" t="inlineStr">
        <is>
          <t>HILCRP</t>
        </is>
      </c>
      <c r="B62" s="27" t="inlineStr">
        <is>
          <t>HY</t>
        </is>
      </c>
      <c r="C62" s="26" t="inlineStr">
        <is>
          <t>HILCRP 6 1/4 04/15/32</t>
        </is>
      </c>
      <c r="D62" s="27" t="inlineStr">
        <is>
          <t>HILCORPENERGYILP CDS USD SR 5Y D14 Corp</t>
        </is>
      </c>
      <c r="E62" s="27" t="inlineStr">
        <is>
          <t>US431318AZ78</t>
        </is>
      </c>
      <c r="F62" s="28" t="n">
        <v>45742</v>
      </c>
      <c r="G62" s="28" t="n">
        <v>46225</v>
      </c>
      <c r="H62" s="28" t="n">
        <v>48385</v>
      </c>
      <c r="I62" s="29" t="n">
        <v>193.5346069335938</v>
      </c>
      <c r="J62" s="29" t="n">
        <v>170.7050933837891</v>
      </c>
      <c r="K62" s="29" t="n">
        <v>231.467</v>
      </c>
      <c r="L62" s="29" t="n">
        <v>235.218</v>
      </c>
      <c r="M62" s="30" t="n">
        <v>303</v>
      </c>
      <c r="N62" s="31" t="n">
        <v>-37.93239306640626</v>
      </c>
      <c r="O62" s="32" t="n">
        <v>-154.6089975585937</v>
      </c>
      <c r="P62" s="32" t="n">
        <v>-16.1230036621094</v>
      </c>
      <c r="Q62" s="33" t="n">
        <v>84.25155585004576</v>
      </c>
      <c r="R62" s="32" t="n">
        <v>-60.76190661621095</v>
      </c>
      <c r="S62" s="32" t="n">
        <v>-150.8211862792969</v>
      </c>
      <c r="T62" s="32" t="n">
        <v>-44.42570751953127</v>
      </c>
      <c r="U62" s="34" t="n">
        <v>84.64577697557449</v>
      </c>
      <c r="V62" s="20">
        <f>IFERROR(BDP(E62&amp;" Corp","LAST_PRICE"),"--")</f>
        <v/>
      </c>
      <c r="W62" s="21">
        <f>IFERROR(BDP(E62&amp;" Corp","YAS_BENCHMARK_BOND_ISIN"),"--")</f>
        <v/>
      </c>
      <c r="X62" s="22">
        <f>IFERROR(BDP(W62&amp;" CORP","LAST_PRICE"),"--")</f>
        <v/>
      </c>
      <c r="Y62" s="23">
        <f>IFERROR(BDP(E62&amp;" Corp","YAS_YLD_SPREAD","YAS_BOND_PX="&amp;V62,"YAS_BNCHMRK_BOND_PX="&amp;X62),"--")</f>
        <v/>
      </c>
      <c r="Z62" s="23">
        <f>IFERROR(BDP(E62&amp;" Corp","BLOOMBERG_MID_G_SPREAD","YAS_BOND_PX="&amp;V62,"YAS_BNCHMRK_BOND_PX="&amp;X62),"--")</f>
        <v/>
      </c>
      <c r="AA62" s="23">
        <f>IFERROR(BDP(D62,"LAST_PRICE"),"--")</f>
        <v/>
      </c>
      <c r="AB62" s="24" t="n"/>
      <c r="AC62" s="23">
        <f>IFERROR(IF(ISBLANK(AB62),AA62,AB62),"--")</f>
        <v/>
      </c>
      <c r="AD62" s="23">
        <f>IFERROR(MAX(-500,MIN(500,AC62-Z62)),"--")</f>
        <v/>
      </c>
      <c r="AE62" s="25">
        <f>IFERROR((AD62-S62)/(T62-S62)*100,"--")</f>
        <v/>
      </c>
    </row>
    <row r="63">
      <c r="A63" s="11" t="inlineStr">
        <is>
          <t>HLT</t>
        </is>
      </c>
      <c r="B63" s="12" t="inlineStr">
        <is>
          <t>HY</t>
        </is>
      </c>
      <c r="C63" s="11" t="inlineStr">
        <is>
          <t>HLT 5 3/4 09/15/33</t>
        </is>
      </c>
      <c r="D63" s="12" t="inlineStr">
        <is>
          <t>HLT B CDS USD SR 5Y D14 Corp</t>
        </is>
      </c>
      <c r="E63" s="12" t="inlineStr">
        <is>
          <t>US432833AS06</t>
        </is>
      </c>
      <c r="F63" s="13" t="n">
        <v>45840</v>
      </c>
      <c r="G63" s="13" t="n">
        <v>46225</v>
      </c>
      <c r="H63" s="13" t="n">
        <v>48933</v>
      </c>
      <c r="I63" s="14" t="n">
        <v>117.2841033935547</v>
      </c>
      <c r="J63" s="14" t="n">
        <v>81.61810302734375</v>
      </c>
      <c r="K63" s="14" t="n">
        <v>124.309</v>
      </c>
      <c r="L63" s="14" t="n">
        <v>116.314</v>
      </c>
      <c r="M63" s="15" t="n">
        <v>265</v>
      </c>
      <c r="N63" s="16" t="n">
        <v>-7.02489660644531</v>
      </c>
      <c r="O63" s="17" t="n">
        <v>-72.59610162353516</v>
      </c>
      <c r="P63" s="17" t="n">
        <v>5.187198608398432</v>
      </c>
      <c r="Q63" s="18" t="n">
        <v>84.29984948127706</v>
      </c>
      <c r="R63" s="17" t="n">
        <v>-42.69089697265625</v>
      </c>
      <c r="S63" s="17" t="n">
        <v>-96.62339959716797</v>
      </c>
      <c r="T63" s="17" t="n">
        <v>-34.9469998779297</v>
      </c>
      <c r="U63" s="19" t="n">
        <v>87.44431074125902</v>
      </c>
      <c r="V63" s="20">
        <f>IFERROR(BDP(E63&amp;" Corp","LAST_PRICE"),"--")</f>
        <v/>
      </c>
      <c r="W63" s="21">
        <f>IFERROR(BDP(E63&amp;" Corp","YAS_BENCHMARK_BOND_ISIN"),"--")</f>
        <v/>
      </c>
      <c r="X63" s="22">
        <f>IFERROR(BDP(W63&amp;" CORP","LAST_PRICE"),"--")</f>
        <v/>
      </c>
      <c r="Y63" s="23">
        <f>IFERROR(BDP(E63&amp;" Corp","YAS_YLD_SPREAD","YAS_BOND_PX="&amp;V63,"YAS_BNCHMRK_BOND_PX="&amp;X63),"--")</f>
        <v/>
      </c>
      <c r="Z63" s="23">
        <f>IFERROR(BDP(E63&amp;" Corp","BLOOMBERG_MID_G_SPREAD","YAS_BOND_PX="&amp;V63,"YAS_BNCHMRK_BOND_PX="&amp;X63),"--")</f>
        <v/>
      </c>
      <c r="AA63" s="23">
        <f>IFERROR(BDP(D63,"LAST_PRICE"),"--")</f>
        <v/>
      </c>
      <c r="AB63" s="24" t="n"/>
      <c r="AC63" s="23">
        <f>IFERROR(IF(ISBLANK(AB63),AA63,AB63),"--")</f>
        <v/>
      </c>
      <c r="AD63" s="23">
        <f>IFERROR(MAX(-500,MIN(500,AC63-Z63)),"--")</f>
        <v/>
      </c>
      <c r="AE63" s="25">
        <f>IFERROR((AD63-S63)/(T63-S63)*100,"--")</f>
        <v/>
      </c>
    </row>
    <row r="64">
      <c r="A64" s="26" t="inlineStr">
        <is>
          <t>HOUS</t>
        </is>
      </c>
      <c r="B64" s="27" t="inlineStr">
        <is>
          <t>HY</t>
        </is>
      </c>
      <c r="C64" s="26" t="inlineStr">
        <is>
          <t>HOUS 5 1/4 04/15/30</t>
        </is>
      </c>
      <c r="D64" s="27" t="inlineStr">
        <is>
          <t>HOUS CDS USD SR 5Y D14 Corp</t>
        </is>
      </c>
      <c r="E64" s="27" t="inlineStr">
        <is>
          <t>USU75355AJ39</t>
        </is>
      </c>
      <c r="F64" s="28" t="n">
        <v>45659</v>
      </c>
      <c r="G64" s="28" t="n">
        <v>46225</v>
      </c>
      <c r="H64" s="28" t="n">
        <v>47654</v>
      </c>
      <c r="I64" s="29" t="n">
        <v>161.0758972167969</v>
      </c>
      <c r="J64" s="29" t="n">
        <v>208.0717010498047</v>
      </c>
      <c r="K64" s="29" t="n">
        <v>196.24</v>
      </c>
      <c r="L64" s="29" t="n">
        <v>200.871</v>
      </c>
      <c r="M64" s="30" t="n">
        <v>389</v>
      </c>
      <c r="N64" s="31" t="n">
        <v>-35.16410278320313</v>
      </c>
      <c r="O64" s="32" t="n">
        <v>-156.7182027587891</v>
      </c>
      <c r="P64" s="32" t="n">
        <v>739.72881640625</v>
      </c>
      <c r="Q64" s="33" t="n">
        <v>13.55954087379339</v>
      </c>
      <c r="R64" s="32" t="n">
        <v>11.83170104980468</v>
      </c>
      <c r="S64" s="32" t="n">
        <v>-114.1958944091797</v>
      </c>
      <c r="T64" s="32" t="n">
        <v>778.2504228515625</v>
      </c>
      <c r="U64" s="34" t="n">
        <v>14.12158838257197</v>
      </c>
      <c r="V64" s="20">
        <f>IFERROR(BDP(E64&amp;" Corp","LAST_PRICE"),"--")</f>
        <v/>
      </c>
      <c r="W64" s="21">
        <f>IFERROR(BDP(E64&amp;" Corp","YAS_BENCHMARK_BOND_ISIN"),"--")</f>
        <v/>
      </c>
      <c r="X64" s="22">
        <f>IFERROR(BDP(W64&amp;" CORP","LAST_PRICE"),"--")</f>
        <v/>
      </c>
      <c r="Y64" s="23">
        <f>IFERROR(BDP(E64&amp;" Corp","YAS_YLD_SPREAD","YAS_BOND_PX="&amp;V64,"YAS_BNCHMRK_BOND_PX="&amp;X64),"--")</f>
        <v/>
      </c>
      <c r="Z64" s="23">
        <f>IFERROR(BDP(E64&amp;" Corp","BLOOMBERG_MID_G_SPREAD","YAS_BOND_PX="&amp;V64,"YAS_BNCHMRK_BOND_PX="&amp;X64),"--")</f>
        <v/>
      </c>
      <c r="AA64" s="23">
        <f>IFERROR(BDP(D64,"LAST_PRICE"),"--")</f>
        <v/>
      </c>
      <c r="AB64" s="24" t="n"/>
      <c r="AC64" s="23">
        <f>IFERROR(IF(ISBLANK(AB64),AA64,AB64),"--")</f>
        <v/>
      </c>
      <c r="AD64" s="23">
        <f>IFERROR(MAX(-500,MIN(500,AC64-Z64)),"--")</f>
        <v/>
      </c>
      <c r="AE64" s="25">
        <f>IFERROR((AD64-S64)/(T64-S64)*100,"--")</f>
        <v/>
      </c>
    </row>
    <row r="65">
      <c r="A65" s="11" t="inlineStr">
        <is>
          <t>HOV</t>
        </is>
      </c>
      <c r="B65" s="12" t="inlineStr">
        <is>
          <t>HY</t>
        </is>
      </c>
      <c r="C65" s="11" t="inlineStr">
        <is>
          <t>HOV 8 04/01/31</t>
        </is>
      </c>
      <c r="D65" s="12" t="inlineStr">
        <is>
          <t>HOV CDS USD SR 5Y D14 Corp</t>
        </is>
      </c>
      <c r="E65" s="12" t="inlineStr">
        <is>
          <t>US48251UAP30</t>
        </is>
      </c>
      <c r="F65" s="13" t="n">
        <v>45911</v>
      </c>
      <c r="G65" s="13" t="n">
        <v>46225</v>
      </c>
      <c r="H65" s="13" t="n">
        <v>48019</v>
      </c>
      <c r="I65" s="14" t="n">
        <v>266.8219909667969</v>
      </c>
      <c r="J65" s="14" t="n">
        <v>266.8219909667969</v>
      </c>
      <c r="K65" s="14" t="n">
        <v>292.294</v>
      </c>
      <c r="L65" s="14" t="n">
        <v>301.016</v>
      </c>
      <c r="M65" s="15" t="n">
        <v>216</v>
      </c>
      <c r="N65" s="16" t="n">
        <v>-25.47200903320311</v>
      </c>
      <c r="O65" s="17" t="n">
        <v>-109.3837084960937</v>
      </c>
      <c r="P65" s="17" t="n">
        <v>-6.589185791015609</v>
      </c>
      <c r="Q65" s="18" t="n">
        <v>81.63051615467575</v>
      </c>
      <c r="R65" s="17" t="n">
        <v>-25.47200903320311</v>
      </c>
      <c r="S65" s="17" t="n">
        <v>-109.3837084960937</v>
      </c>
      <c r="T65" s="17" t="n">
        <v>-6.589185791015609</v>
      </c>
      <c r="U65" s="19" t="n">
        <v>81.63051615467575</v>
      </c>
      <c r="V65" s="20">
        <f>IFERROR(BDP(E65&amp;" Corp","LAST_PRICE"),"--")</f>
        <v/>
      </c>
      <c r="W65" s="21">
        <f>IFERROR(BDP(E65&amp;" Corp","YAS_BENCHMARK_BOND_ISIN"),"--")</f>
        <v/>
      </c>
      <c r="X65" s="22">
        <f>IFERROR(BDP(W65&amp;" CORP","LAST_PRICE"),"--")</f>
        <v/>
      </c>
      <c r="Y65" s="23">
        <f>IFERROR(BDP(E65&amp;" Corp","YAS_YLD_SPREAD","YAS_BOND_PX="&amp;V65,"YAS_BNCHMRK_BOND_PX="&amp;X65),"--")</f>
        <v/>
      </c>
      <c r="Z65" s="23">
        <f>IFERROR(BDP(E65&amp;" Corp","BLOOMBERG_MID_G_SPREAD","YAS_BOND_PX="&amp;V65,"YAS_BNCHMRK_BOND_PX="&amp;X65),"--")</f>
        <v/>
      </c>
      <c r="AA65" s="23">
        <f>IFERROR(BDP(D65,"LAST_PRICE"),"--")</f>
        <v/>
      </c>
      <c r="AB65" s="24" t="n"/>
      <c r="AC65" s="23">
        <f>IFERROR(IF(ISBLANK(AB65),AA65,AB65),"--")</f>
        <v/>
      </c>
      <c r="AD65" s="23">
        <f>IFERROR(MAX(-500,MIN(500,AC65-Z65)),"--")</f>
        <v/>
      </c>
      <c r="AE65" s="25">
        <f>IFERROR((AD65-S65)/(T65-S65)*100,"--")</f>
        <v/>
      </c>
    </row>
    <row r="66">
      <c r="A66" s="26" t="inlineStr">
        <is>
          <t>HTZ</t>
        </is>
      </c>
      <c r="B66" s="27" t="inlineStr">
        <is>
          <t>HY</t>
        </is>
      </c>
      <c r="C66" s="26" t="inlineStr">
        <is>
          <t>HTZ 5 12/01/29</t>
        </is>
      </c>
      <c r="D66" s="27" t="inlineStr">
        <is>
          <t>HTZ CDS USD SR 5Y D14 Corp</t>
        </is>
      </c>
      <c r="E66" s="27" t="inlineStr">
        <is>
          <t>USU42804AX95</t>
        </is>
      </c>
      <c r="F66" s="28" t="n">
        <v>45659</v>
      </c>
      <c r="G66" s="28" t="n">
        <v>46225</v>
      </c>
      <c r="H66" s="28" t="n">
        <v>47472</v>
      </c>
      <c r="I66" s="29" t="n">
        <v>0</v>
      </c>
      <c r="J66" s="29" t="n">
        <v>0</v>
      </c>
      <c r="K66" s="29" t="n">
        <v>5096.059</v>
      </c>
      <c r="L66" s="29" t="n">
        <v>4970.808</v>
      </c>
      <c r="M66" s="30" t="n">
        <v>389</v>
      </c>
      <c r="N66" s="31" t="n">
        <v>-5096.059</v>
      </c>
      <c r="O66" s="32" t="n">
        <v>-5346.525</v>
      </c>
      <c r="P66" s="32" t="n">
        <v>32126.0446875</v>
      </c>
      <c r="Q66" s="33" t="n">
        <v>0.6683982499432091</v>
      </c>
      <c r="R66" s="32" t="n">
        <v>-5096.059</v>
      </c>
      <c r="S66" s="32" t="n">
        <v>-5346.525</v>
      </c>
      <c r="T66" s="32" t="n">
        <v>77529.281</v>
      </c>
      <c r="U66" s="34" t="n">
        <v>0.3022184785750373</v>
      </c>
      <c r="V66" s="20">
        <f>IFERROR(BDP(E66&amp;" Corp","LAST_PRICE"),"--")</f>
        <v/>
      </c>
      <c r="W66" s="21">
        <f>IFERROR(BDP(E66&amp;" Corp","YAS_BENCHMARK_BOND_ISIN"),"--")</f>
        <v/>
      </c>
      <c r="X66" s="22">
        <f>IFERROR(BDP(W66&amp;" CORP","LAST_PRICE"),"--")</f>
        <v/>
      </c>
      <c r="Y66" s="23">
        <f>IFERROR(BDP(E66&amp;" Corp","YAS_YLD_SPREAD","YAS_BOND_PX="&amp;V66,"YAS_BNCHMRK_BOND_PX="&amp;X66),"--")</f>
        <v/>
      </c>
      <c r="Z66" s="23">
        <f>IFERROR(BDP(E66&amp;" Corp","BLOOMBERG_MID_G_SPREAD","YAS_BOND_PX="&amp;V66,"YAS_BNCHMRK_BOND_PX="&amp;X66),"--")</f>
        <v/>
      </c>
      <c r="AA66" s="23">
        <f>IFERROR(BDP(D66,"LAST_PRICE"),"--")</f>
        <v/>
      </c>
      <c r="AB66" s="24" t="n"/>
      <c r="AC66" s="23">
        <f>IFERROR(IF(ISBLANK(AB66),AA66,AB66),"--")</f>
        <v/>
      </c>
      <c r="AD66" s="23">
        <f>IFERROR(MAX(-500,MIN(500,AC66-Z66)),"--")</f>
        <v/>
      </c>
      <c r="AE66" s="25">
        <f>IFERROR((AD66-S66)/(T66-S66)*100,"--")</f>
        <v/>
      </c>
    </row>
    <row r="67">
      <c r="A67" s="11" t="inlineStr">
        <is>
          <t>IHRT</t>
        </is>
      </c>
      <c r="B67" s="12" t="inlineStr">
        <is>
          <t>HY</t>
        </is>
      </c>
      <c r="C67" s="11" t="inlineStr">
        <is>
          <t>IHRT 10 7/8 05/01/30</t>
        </is>
      </c>
      <c r="D67" s="12" t="inlineStr">
        <is>
          <t>IHRT CDS USD SR 5Y D14 Corp</t>
        </is>
      </c>
      <c r="E67" s="12" t="inlineStr">
        <is>
          <t>USU45057AQ67</t>
        </is>
      </c>
      <c r="F67" s="13" t="n">
        <v>45692</v>
      </c>
      <c r="G67" s="13" t="n">
        <v>46225</v>
      </c>
      <c r="H67" s="13" t="n">
        <v>47654</v>
      </c>
      <c r="I67" s="14" t="n">
        <v>967.2858276367188</v>
      </c>
      <c r="J67" s="14" t="n">
        <v>966.8873901367188</v>
      </c>
      <c r="K67" s="14" t="n">
        <v>1321.533</v>
      </c>
      <c r="L67" s="14" t="n">
        <v>1393.449</v>
      </c>
      <c r="M67" s="15" t="n">
        <v>367</v>
      </c>
      <c r="N67" s="16" t="n">
        <v>-354.2471723632812</v>
      </c>
      <c r="O67" s="17" t="n">
        <v>-3623.13</v>
      </c>
      <c r="P67" s="17" t="n">
        <v>40645.28696875</v>
      </c>
      <c r="Q67" s="18" t="n">
        <v>7.384232487789866</v>
      </c>
      <c r="R67" s="17" t="n">
        <v>-354.6456098632812</v>
      </c>
      <c r="S67" s="17" t="n">
        <v>-3623.13</v>
      </c>
      <c r="T67" s="17" t="n">
        <v>35347.68378125</v>
      </c>
      <c r="U67" s="19" t="n">
        <v>8.387005743537443</v>
      </c>
      <c r="V67" s="20">
        <f>IFERROR(BDP(E67&amp;" Corp","LAST_PRICE"),"--")</f>
        <v/>
      </c>
      <c r="W67" s="21">
        <f>IFERROR(BDP(E67&amp;" Corp","YAS_BENCHMARK_BOND_ISIN"),"--")</f>
        <v/>
      </c>
      <c r="X67" s="22">
        <f>IFERROR(BDP(W67&amp;" CORP","LAST_PRICE"),"--")</f>
        <v/>
      </c>
      <c r="Y67" s="23">
        <f>IFERROR(BDP(E67&amp;" Corp","YAS_YLD_SPREAD","YAS_BOND_PX="&amp;V67,"YAS_BNCHMRK_BOND_PX="&amp;X67),"--")</f>
        <v/>
      </c>
      <c r="Z67" s="23">
        <f>IFERROR(BDP(E67&amp;" Corp","BLOOMBERG_MID_G_SPREAD","YAS_BOND_PX="&amp;V67,"YAS_BNCHMRK_BOND_PX="&amp;X67),"--")</f>
        <v/>
      </c>
      <c r="AA67" s="23">
        <f>IFERROR(BDP(D67,"LAST_PRICE"),"--")</f>
        <v/>
      </c>
      <c r="AB67" s="24" t="n"/>
      <c r="AC67" s="23">
        <f>IFERROR(IF(ISBLANK(AB67),AA67,AB67),"--")</f>
        <v/>
      </c>
      <c r="AD67" s="23">
        <f>IFERROR(MAX(-500,MIN(500,AC67-Z67)),"--")</f>
        <v/>
      </c>
      <c r="AE67" s="25">
        <f>IFERROR((AD67-S67)/(T67-S67)*100,"--")</f>
        <v/>
      </c>
    </row>
    <row r="68">
      <c r="A68" s="26" t="inlineStr">
        <is>
          <t>IRM</t>
        </is>
      </c>
      <c r="B68" s="27" t="inlineStr">
        <is>
          <t>HY</t>
        </is>
      </c>
      <c r="C68" s="26" t="inlineStr">
        <is>
          <t>IRM 6 1/4 01/15/33</t>
        </is>
      </c>
      <c r="D68" s="27" t="inlineStr">
        <is>
          <t>IRM CDS USD SR 5Y D14 Corp</t>
        </is>
      </c>
      <c r="E68" s="27" t="inlineStr">
        <is>
          <t>US46284VAQ41</t>
        </is>
      </c>
      <c r="F68" s="28" t="n">
        <v>45659</v>
      </c>
      <c r="G68" s="28" t="n">
        <v>46225</v>
      </c>
      <c r="H68" s="28" t="n">
        <v>48750</v>
      </c>
      <c r="I68" s="29" t="n">
        <v>176.6725006103516</v>
      </c>
      <c r="J68" s="29" t="n">
        <v>129.5675048828125</v>
      </c>
      <c r="K68" s="29" t="n">
        <v>168.847</v>
      </c>
      <c r="L68" s="29" t="n">
        <v>178.077</v>
      </c>
      <c r="M68" s="30" t="n">
        <v>389</v>
      </c>
      <c r="N68" s="31" t="n">
        <v>7.825500610351554</v>
      </c>
      <c r="O68" s="32" t="n">
        <v>-93.59290490722657</v>
      </c>
      <c r="P68" s="32" t="n">
        <v>14.01000292968749</v>
      </c>
      <c r="Q68" s="33" t="n">
        <v>94.25247658854225</v>
      </c>
      <c r="R68" s="32" t="n">
        <v>-39.27949511718751</v>
      </c>
      <c r="S68" s="32" t="n">
        <v>-105.6818968505859</v>
      </c>
      <c r="T68" s="32" t="n">
        <v>-24.62900402832031</v>
      </c>
      <c r="U68" s="34" t="n">
        <v>81.92477704528932</v>
      </c>
      <c r="V68" s="20">
        <f>IFERROR(BDP(E68&amp;" Corp","LAST_PRICE"),"--")</f>
        <v/>
      </c>
      <c r="W68" s="21">
        <f>IFERROR(BDP(E68&amp;" Corp","YAS_BENCHMARK_BOND_ISIN"),"--")</f>
        <v/>
      </c>
      <c r="X68" s="22">
        <f>IFERROR(BDP(W68&amp;" CORP","LAST_PRICE"),"--")</f>
        <v/>
      </c>
      <c r="Y68" s="23">
        <f>IFERROR(BDP(E68&amp;" Corp","YAS_YLD_SPREAD","YAS_BOND_PX="&amp;V68,"YAS_BNCHMRK_BOND_PX="&amp;X68),"--")</f>
        <v/>
      </c>
      <c r="Z68" s="23">
        <f>IFERROR(BDP(E68&amp;" Corp","BLOOMBERG_MID_G_SPREAD","YAS_BOND_PX="&amp;V68,"YAS_BNCHMRK_BOND_PX="&amp;X68),"--")</f>
        <v/>
      </c>
      <c r="AA68" s="23">
        <f>IFERROR(BDP(D68,"LAST_PRICE"),"--")</f>
        <v/>
      </c>
      <c r="AB68" s="24" t="n"/>
      <c r="AC68" s="23">
        <f>IFERROR(IF(ISBLANK(AB68),AA68,AB68),"--")</f>
        <v/>
      </c>
      <c r="AD68" s="23">
        <f>IFERROR(MAX(-500,MIN(500,AC68-Z68)),"--")</f>
        <v/>
      </c>
      <c r="AE68" s="25">
        <f>IFERROR((AD68-S68)/(T68-S68)*100,"--")</f>
        <v/>
      </c>
    </row>
    <row r="69">
      <c r="A69" s="11" t="inlineStr">
        <is>
          <t>JWN</t>
        </is>
      </c>
      <c r="B69" s="12" t="inlineStr">
        <is>
          <t>HY</t>
        </is>
      </c>
      <c r="C69" s="11" t="inlineStr">
        <is>
          <t>JWN 4 1/4 08/01/31</t>
        </is>
      </c>
      <c r="D69" s="12" t="inlineStr">
        <is>
          <t>JWN CDS USD SR 5Y D14 Corp</t>
        </is>
      </c>
      <c r="E69" s="12" t="inlineStr">
        <is>
          <t>US655664AY65</t>
        </is>
      </c>
      <c r="F69" s="13" t="n">
        <v>45659</v>
      </c>
      <c r="G69" s="13" t="n">
        <v>46225</v>
      </c>
      <c r="H69" s="13" t="n">
        <v>48202</v>
      </c>
      <c r="I69" s="14" t="n">
        <v>206.7920989990234</v>
      </c>
      <c r="J69" s="14" t="n">
        <v>162.5164031982422</v>
      </c>
      <c r="K69" s="14" t="n">
        <v>127.127</v>
      </c>
      <c r="L69" s="14" t="n">
        <v>128.358</v>
      </c>
      <c r="M69" s="15" t="n">
        <v>380</v>
      </c>
      <c r="N69" s="16" t="n">
        <v>79.66509899902344</v>
      </c>
      <c r="O69" s="17" t="n">
        <v>-24.28890478515626</v>
      </c>
      <c r="P69" s="17" t="n">
        <v>296.4912951660156</v>
      </c>
      <c r="Q69" s="18" t="n">
        <v>32.40661480976794</v>
      </c>
      <c r="R69" s="17" t="n">
        <v>35.38940319824219</v>
      </c>
      <c r="S69" s="17" t="n">
        <v>-48.52579626464845</v>
      </c>
      <c r="T69" s="17" t="n">
        <v>263.7835925292969</v>
      </c>
      <c r="U69" s="19" t="n">
        <v>26.86925288636007</v>
      </c>
      <c r="V69" s="20">
        <f>IFERROR(BDP(E69&amp;" Corp","LAST_PRICE"),"--")</f>
        <v/>
      </c>
      <c r="W69" s="21">
        <f>IFERROR(BDP(E69&amp;" Corp","YAS_BENCHMARK_BOND_ISIN"),"--")</f>
        <v/>
      </c>
      <c r="X69" s="22">
        <f>IFERROR(BDP(W69&amp;" CORP","LAST_PRICE"),"--")</f>
        <v/>
      </c>
      <c r="Y69" s="23">
        <f>IFERROR(BDP(E69&amp;" Corp","YAS_YLD_SPREAD","YAS_BOND_PX="&amp;V69,"YAS_BNCHMRK_BOND_PX="&amp;X69),"--")</f>
        <v/>
      </c>
      <c r="Z69" s="23">
        <f>IFERROR(BDP(E69&amp;" Corp","BLOOMBERG_MID_G_SPREAD","YAS_BOND_PX="&amp;V69,"YAS_BNCHMRK_BOND_PX="&amp;X69),"--")</f>
        <v/>
      </c>
      <c r="AA69" s="23">
        <f>IFERROR(BDP(D69,"LAST_PRICE"),"--")</f>
        <v/>
      </c>
      <c r="AB69" s="24" t="n"/>
      <c r="AC69" s="23">
        <f>IFERROR(IF(ISBLANK(AB69),AA69,AB69),"--")</f>
        <v/>
      </c>
      <c r="AD69" s="23">
        <f>IFERROR(MAX(-500,MIN(500,AC69-Z69)),"--")</f>
        <v/>
      </c>
      <c r="AE69" s="25">
        <f>IFERROR((AD69-S69)/(T69-S69)*100,"--")</f>
        <v/>
      </c>
    </row>
    <row r="70">
      <c r="A70" s="26" t="inlineStr">
        <is>
          <t>KBH</t>
        </is>
      </c>
      <c r="B70" s="27" t="inlineStr">
        <is>
          <t>HY</t>
        </is>
      </c>
      <c r="C70" s="26" t="inlineStr">
        <is>
          <t>KBH 4 06/15/31</t>
        </is>
      </c>
      <c r="D70" s="27" t="inlineStr">
        <is>
          <t>KBH CDS USD SR 5Y D14 Corp</t>
        </is>
      </c>
      <c r="E70" s="27" t="inlineStr">
        <is>
          <t>US48666KAZ21</t>
        </is>
      </c>
      <c r="F70" s="28" t="n">
        <v>45659</v>
      </c>
      <c r="G70" s="28" t="n">
        <v>46225</v>
      </c>
      <c r="H70" s="28" t="n">
        <v>48019</v>
      </c>
      <c r="I70" s="29" t="n">
        <v>135.2823944091797</v>
      </c>
      <c r="J70" s="29" t="n">
        <v>135.2823944091797</v>
      </c>
      <c r="K70" s="29" t="n">
        <v>131.901</v>
      </c>
      <c r="L70" s="29" t="n">
        <v>140.917</v>
      </c>
      <c r="M70" s="30" t="n">
        <v>388</v>
      </c>
      <c r="N70" s="31" t="n">
        <v>3.381394409179677</v>
      </c>
      <c r="O70" s="32" t="n">
        <v>-37.4478048095703</v>
      </c>
      <c r="P70" s="32" t="n">
        <v>53.562404296875</v>
      </c>
      <c r="Q70" s="33" t="n">
        <v>44.86221888689021</v>
      </c>
      <c r="R70" s="32" t="n">
        <v>3.381394409179677</v>
      </c>
      <c r="S70" s="32" t="n">
        <v>-37.4478048095703</v>
      </c>
      <c r="T70" s="32" t="n">
        <v>53.562404296875</v>
      </c>
      <c r="U70" s="34" t="n">
        <v>44.86221888689021</v>
      </c>
      <c r="V70" s="20">
        <f>IFERROR(BDP(E70&amp;" Corp","LAST_PRICE"),"--")</f>
        <v/>
      </c>
      <c r="W70" s="21">
        <f>IFERROR(BDP(E70&amp;" Corp","YAS_BENCHMARK_BOND_ISIN"),"--")</f>
        <v/>
      </c>
      <c r="X70" s="22">
        <f>IFERROR(BDP(W70&amp;" CORP","LAST_PRICE"),"--")</f>
        <v/>
      </c>
      <c r="Y70" s="23">
        <f>IFERROR(BDP(E70&amp;" Corp","YAS_YLD_SPREAD","YAS_BOND_PX="&amp;V70,"YAS_BNCHMRK_BOND_PX="&amp;X70),"--")</f>
        <v/>
      </c>
      <c r="Z70" s="23">
        <f>IFERROR(BDP(E70&amp;" Corp","BLOOMBERG_MID_G_SPREAD","YAS_BOND_PX="&amp;V70,"YAS_BNCHMRK_BOND_PX="&amp;X70),"--")</f>
        <v/>
      </c>
      <c r="AA70" s="23">
        <f>IFERROR(BDP(D70,"LAST_PRICE"),"--")</f>
        <v/>
      </c>
      <c r="AB70" s="24" t="n"/>
      <c r="AC70" s="23">
        <f>IFERROR(IF(ISBLANK(AB70),AA70,AB70),"--")</f>
        <v/>
      </c>
      <c r="AD70" s="23">
        <f>IFERROR(MAX(-500,MIN(500,AC70-Z70)),"--")</f>
        <v/>
      </c>
      <c r="AE70" s="25">
        <f>IFERROR((AD70-S70)/(T70-S70)*100,"--")</f>
        <v/>
      </c>
    </row>
    <row r="71">
      <c r="A71" s="11" t="inlineStr">
        <is>
          <t>KSS</t>
        </is>
      </c>
      <c r="B71" s="12" t="inlineStr">
        <is>
          <t>HY</t>
        </is>
      </c>
      <c r="C71" s="11" t="inlineStr">
        <is>
          <t>KSS 3 3/8 05/01/31</t>
        </is>
      </c>
      <c r="D71" s="12" t="inlineStr">
        <is>
          <t>KSS CDS USD SR 5Y D14 Corp</t>
        </is>
      </c>
      <c r="E71" s="12" t="inlineStr">
        <is>
          <t>US500255AX28</t>
        </is>
      </c>
      <c r="F71" s="13" t="n">
        <v>45659</v>
      </c>
      <c r="G71" s="13" t="n">
        <v>46225</v>
      </c>
      <c r="H71" s="13" t="n">
        <v>48019</v>
      </c>
      <c r="I71" s="14" t="n">
        <v>423.73388671875</v>
      </c>
      <c r="J71" s="14" t="n">
        <v>423.73388671875</v>
      </c>
      <c r="K71" s="14" t="n">
        <v>309.879</v>
      </c>
      <c r="L71" s="14" t="n">
        <v>325.548</v>
      </c>
      <c r="M71" s="15" t="n">
        <v>386</v>
      </c>
      <c r="N71" s="16" t="n">
        <v>113.85488671875</v>
      </c>
      <c r="O71" s="17" t="n">
        <v>-120.2902875976563</v>
      </c>
      <c r="P71" s="17" t="n">
        <v>1110.36087890625</v>
      </c>
      <c r="Q71" s="18" t="n">
        <v>19.02612053597424</v>
      </c>
      <c r="R71" s="17" t="n">
        <v>113.85488671875</v>
      </c>
      <c r="S71" s="17" t="n">
        <v>-120.2902875976563</v>
      </c>
      <c r="T71" s="17" t="n">
        <v>1110.36087890625</v>
      </c>
      <c r="U71" s="19" t="n">
        <v>19.02612053597424</v>
      </c>
      <c r="V71" s="20">
        <f>IFERROR(BDP(E71&amp;" Corp","LAST_PRICE"),"--")</f>
        <v/>
      </c>
      <c r="W71" s="21">
        <f>IFERROR(BDP(E71&amp;" Corp","YAS_BENCHMARK_BOND_ISIN"),"--")</f>
        <v/>
      </c>
      <c r="X71" s="22">
        <f>IFERROR(BDP(W71&amp;" CORP","LAST_PRICE"),"--")</f>
        <v/>
      </c>
      <c r="Y71" s="23">
        <f>IFERROR(BDP(E71&amp;" Corp","YAS_YLD_SPREAD","YAS_BOND_PX="&amp;V71,"YAS_BNCHMRK_BOND_PX="&amp;X71),"--")</f>
        <v/>
      </c>
      <c r="Z71" s="23">
        <f>IFERROR(BDP(E71&amp;" Corp","BLOOMBERG_MID_G_SPREAD","YAS_BOND_PX="&amp;V71,"YAS_BNCHMRK_BOND_PX="&amp;X71),"--")</f>
        <v/>
      </c>
      <c r="AA71" s="23">
        <f>IFERROR(BDP(D71,"LAST_PRICE"),"--")</f>
        <v/>
      </c>
      <c r="AB71" s="24" t="n"/>
      <c r="AC71" s="23">
        <f>IFERROR(IF(ISBLANK(AB71),AA71,AB71),"--")</f>
        <v/>
      </c>
      <c r="AD71" s="23">
        <f>IFERROR(MAX(-500,MIN(500,AC71-Z71)),"--")</f>
        <v/>
      </c>
      <c r="AE71" s="25">
        <f>IFERROR((AD71-S71)/(T71-S71)*100,"--")</f>
        <v/>
      </c>
    </row>
    <row r="72">
      <c r="A72" s="26" t="inlineStr">
        <is>
          <t>LUMN</t>
        </is>
      </c>
      <c r="B72" s="27" t="inlineStr">
        <is>
          <t>HY</t>
        </is>
      </c>
      <c r="C72" s="26" t="inlineStr">
        <is>
          <t>LUMN 4 1/2 01/15/29</t>
        </is>
      </c>
      <c r="D72" s="27" t="inlineStr">
        <is>
          <t>LUMEN CDS USD SR 5Y D14 Corp</t>
        </is>
      </c>
      <c r="E72" s="27" t="inlineStr">
        <is>
          <t>USU1566PAD79</t>
        </is>
      </c>
      <c r="F72" s="28" t="n">
        <v>45659</v>
      </c>
      <c r="G72" s="28" t="n">
        <v>46225</v>
      </c>
      <c r="H72" s="28" t="n">
        <v>47289</v>
      </c>
      <c r="I72" s="29" t="n">
        <v>206.8419952392578</v>
      </c>
      <c r="J72" s="29" t="n">
        <v>323.9505920410156</v>
      </c>
      <c r="K72" s="29" t="n">
        <v>216.315</v>
      </c>
      <c r="L72" s="29" t="n">
        <v>213.684</v>
      </c>
      <c r="M72" s="30" t="n">
        <v>389</v>
      </c>
      <c r="N72" s="31" t="n">
        <v>-9.473004760742185</v>
      </c>
      <c r="O72" s="32" t="n">
        <v>-264.3367119140624</v>
      </c>
      <c r="P72" s="32" t="n">
        <v>34.10400622558595</v>
      </c>
      <c r="Q72" s="33" t="n">
        <v>85.39843649419939</v>
      </c>
      <c r="R72" s="32" t="n">
        <v>107.6355920410156</v>
      </c>
      <c r="S72" s="32" t="n">
        <v>-110.7477836914062</v>
      </c>
      <c r="T72" s="32" t="n">
        <v>314.6137216796875</v>
      </c>
      <c r="U72" s="34" t="n">
        <v>51.34065329722301</v>
      </c>
      <c r="V72" s="20">
        <f>IFERROR(BDP(E72&amp;" Corp","LAST_PRICE"),"--")</f>
        <v/>
      </c>
      <c r="W72" s="21">
        <f>IFERROR(BDP(E72&amp;" Corp","YAS_BENCHMARK_BOND_ISIN"),"--")</f>
        <v/>
      </c>
      <c r="X72" s="22">
        <f>IFERROR(BDP(W72&amp;" CORP","LAST_PRICE"),"--")</f>
        <v/>
      </c>
      <c r="Y72" s="23">
        <f>IFERROR(BDP(E72&amp;" Corp","YAS_YLD_SPREAD","YAS_BOND_PX="&amp;V72,"YAS_BNCHMRK_BOND_PX="&amp;X72),"--")</f>
        <v/>
      </c>
      <c r="Z72" s="23">
        <f>IFERROR(BDP(E72&amp;" Corp","BLOOMBERG_MID_G_SPREAD","YAS_BOND_PX="&amp;V72,"YAS_BNCHMRK_BOND_PX="&amp;X72),"--")</f>
        <v/>
      </c>
      <c r="AA72" s="23">
        <f>IFERROR(BDP(D72,"LAST_PRICE"),"--")</f>
        <v/>
      </c>
      <c r="AB72" s="24" t="n"/>
      <c r="AC72" s="23">
        <f>IFERROR(IF(ISBLANK(AB72),AA72,AB72),"--")</f>
        <v/>
      </c>
      <c r="AD72" s="23">
        <f>IFERROR(MAX(-500,MIN(500,AC72-Z72)),"--")</f>
        <v/>
      </c>
      <c r="AE72" s="25">
        <f>IFERROR((AD72-S72)/(T72-S72)*100,"--")</f>
        <v/>
      </c>
    </row>
    <row r="73">
      <c r="A73" s="11" t="inlineStr">
        <is>
          <t>LW</t>
        </is>
      </c>
      <c r="B73" s="12" t="inlineStr">
        <is>
          <t>HY</t>
        </is>
      </c>
      <c r="C73" s="11" t="inlineStr">
        <is>
          <t>LW 4 3/8 01/31/32</t>
        </is>
      </c>
      <c r="D73" s="12" t="inlineStr">
        <is>
          <t>LW CDS USD SR 5Y D14 Corp</t>
        </is>
      </c>
      <c r="E73" s="12" t="inlineStr">
        <is>
          <t>US513272AE49</t>
        </is>
      </c>
      <c r="F73" s="13" t="n">
        <v>45659</v>
      </c>
      <c r="G73" s="13" t="n">
        <v>46225</v>
      </c>
      <c r="H73" s="13" t="n">
        <v>48385</v>
      </c>
      <c r="I73" s="14" t="n">
        <v>131.9878997802734</v>
      </c>
      <c r="J73" s="14" t="n">
        <v>110.6195983886719</v>
      </c>
      <c r="K73" s="14" t="n">
        <v>127.693</v>
      </c>
      <c r="L73" s="14" t="n">
        <v>135.04</v>
      </c>
      <c r="M73" s="15" t="n">
        <v>388</v>
      </c>
      <c r="N73" s="16" t="n">
        <v>4.29489978027344</v>
      </c>
      <c r="O73" s="17" t="n">
        <v>-28.17780175781249</v>
      </c>
      <c r="P73" s="17" t="n">
        <v>37.52049963378906</v>
      </c>
      <c r="Q73" s="18" t="n">
        <v>49.42700321052293</v>
      </c>
      <c r="R73" s="17" t="n">
        <v>-17.07340161132812</v>
      </c>
      <c r="S73" s="17" t="n">
        <v>-45.88280358886718</v>
      </c>
      <c r="T73" s="17" t="n">
        <v>19.01189367675781</v>
      </c>
      <c r="U73" s="19" t="n">
        <v>44.39407716106186</v>
      </c>
      <c r="V73" s="20">
        <f>IFERROR(BDP(E73&amp;" Corp","LAST_PRICE"),"--")</f>
        <v/>
      </c>
      <c r="W73" s="21">
        <f>IFERROR(BDP(E73&amp;" Corp","YAS_BENCHMARK_BOND_ISIN"),"--")</f>
        <v/>
      </c>
      <c r="X73" s="22">
        <f>IFERROR(BDP(W73&amp;" CORP","LAST_PRICE"),"--")</f>
        <v/>
      </c>
      <c r="Y73" s="23">
        <f>IFERROR(BDP(E73&amp;" Corp","YAS_YLD_SPREAD","YAS_BOND_PX="&amp;V73,"YAS_BNCHMRK_BOND_PX="&amp;X73),"--")</f>
        <v/>
      </c>
      <c r="Z73" s="23">
        <f>IFERROR(BDP(E73&amp;" Corp","BLOOMBERG_MID_G_SPREAD","YAS_BOND_PX="&amp;V73,"YAS_BNCHMRK_BOND_PX="&amp;X73),"--")</f>
        <v/>
      </c>
      <c r="AA73" s="23">
        <f>IFERROR(BDP(D73,"LAST_PRICE"),"--")</f>
        <v/>
      </c>
      <c r="AB73" s="24" t="n"/>
      <c r="AC73" s="23">
        <f>IFERROR(IF(ISBLANK(AB73),AA73,AB73),"--")</f>
        <v/>
      </c>
      <c r="AD73" s="23">
        <f>IFERROR(MAX(-500,MIN(500,AC73-Z73)),"--")</f>
        <v/>
      </c>
      <c r="AE73" s="25">
        <f>IFERROR((AD73-S73)/(T73-S73)*100,"--")</f>
        <v/>
      </c>
    </row>
    <row r="74">
      <c r="A74" s="26" t="inlineStr">
        <is>
          <t>MBI AA</t>
        </is>
      </c>
      <c r="B74" s="27" t="inlineStr">
        <is>
          <t>HY</t>
        </is>
      </c>
      <c r="C74" s="26" t="inlineStr">
        <is>
          <t>MBI 5.7 12/01/34</t>
        </is>
      </c>
      <c r="D74" s="27" t="inlineStr">
        <is>
          <t>MBI AA CDS USD SR 5Y D14 Corp</t>
        </is>
      </c>
      <c r="E74" s="27" t="inlineStr">
        <is>
          <t>US55262CAJ99</t>
        </is>
      </c>
      <c r="F74" s="28" t="n">
        <v>45659</v>
      </c>
      <c r="G74" s="28" t="n">
        <v>46225</v>
      </c>
      <c r="H74" s="28" t="n">
        <v>49298</v>
      </c>
      <c r="I74" s="29" t="n">
        <v>216.0955047607422</v>
      </c>
      <c r="J74" s="29" t="n">
        <v>177.3242950439453</v>
      </c>
      <c r="K74" s="29" t="n">
        <v>114.478</v>
      </c>
      <c r="L74" s="29" t="n">
        <v>114.408</v>
      </c>
      <c r="M74" s="30" t="n">
        <v>380</v>
      </c>
      <c r="N74" s="31" t="n">
        <v>101.6175047607422</v>
      </c>
      <c r="O74" s="32" t="n">
        <v>-91.21670104980467</v>
      </c>
      <c r="P74" s="32" t="n">
        <v>386.9744912109375</v>
      </c>
      <c r="Q74" s="33" t="n">
        <v>40.32575441192999</v>
      </c>
      <c r="R74" s="32" t="n">
        <v>62.84629504394532</v>
      </c>
      <c r="S74" s="32" t="n">
        <v>-120.2593975830078</v>
      </c>
      <c r="T74" s="32" t="n">
        <v>304.1790200195313</v>
      </c>
      <c r="U74" s="34" t="n">
        <v>43.14069722086762</v>
      </c>
      <c r="V74" s="20">
        <f>IFERROR(BDP(E74&amp;" Corp","LAST_PRICE"),"--")</f>
        <v/>
      </c>
      <c r="W74" s="21">
        <f>IFERROR(BDP(E74&amp;" Corp","YAS_BENCHMARK_BOND_ISIN"),"--")</f>
        <v/>
      </c>
      <c r="X74" s="22">
        <f>IFERROR(BDP(W74&amp;" CORP","LAST_PRICE"),"--")</f>
        <v/>
      </c>
      <c r="Y74" s="23">
        <f>IFERROR(BDP(E74&amp;" Corp","YAS_YLD_SPREAD","YAS_BOND_PX="&amp;V74,"YAS_BNCHMRK_BOND_PX="&amp;X74),"--")</f>
        <v/>
      </c>
      <c r="Z74" s="23">
        <f>IFERROR(BDP(E74&amp;" Corp","BLOOMBERG_MID_G_SPREAD","YAS_BOND_PX="&amp;V74,"YAS_BNCHMRK_BOND_PX="&amp;X74),"--")</f>
        <v/>
      </c>
      <c r="AA74" s="23">
        <f>IFERROR(BDP(D74,"LAST_PRICE"),"--")</f>
        <v/>
      </c>
      <c r="AB74" s="24" t="n"/>
      <c r="AC74" s="23">
        <f>IFERROR(IF(ISBLANK(AB74),AA74,AB74),"--")</f>
        <v/>
      </c>
      <c r="AD74" s="23">
        <f>IFERROR(MAX(-500,MIN(500,AC74-Z74)),"--")</f>
        <v/>
      </c>
      <c r="AE74" s="25">
        <f>IFERROR((AD74-S74)/(T74-S74)*100,"--")</f>
        <v/>
      </c>
    </row>
    <row r="75">
      <c r="A75" s="11" t="inlineStr">
        <is>
          <t>MEDIND</t>
        </is>
      </c>
      <c r="B75" s="12" t="inlineStr">
        <is>
          <t>HY</t>
        </is>
      </c>
      <c r="C75" s="11" t="inlineStr">
        <is>
          <t>MEDIND 5 1/4 10/01/29</t>
        </is>
      </c>
      <c r="D75" s="12" t="inlineStr">
        <is>
          <t>CY884361 Curncy</t>
        </is>
      </c>
      <c r="E75" s="12" t="inlineStr">
        <is>
          <t>USU6203WAB47</t>
        </is>
      </c>
      <c r="F75" s="13" t="n">
        <v>45659</v>
      </c>
      <c r="G75" s="13" t="n">
        <v>46225</v>
      </c>
      <c r="H75" s="13" t="n">
        <v>47472</v>
      </c>
      <c r="I75" s="14" t="n">
        <v>32.41170120239258</v>
      </c>
      <c r="J75" s="14" t="n">
        <v>44.00019836425781</v>
      </c>
      <c r="K75" s="14" t="n">
        <v>113.244</v>
      </c>
      <c r="L75" s="14" t="n">
        <v>118.718</v>
      </c>
      <c r="M75" s="15" t="n">
        <v>389</v>
      </c>
      <c r="N75" s="16" t="n">
        <v>-80.83229879760742</v>
      </c>
      <c r="O75" s="17" t="n">
        <v>-178.3919041748047</v>
      </c>
      <c r="P75" s="17" t="n">
        <v>-50.13099926757812</v>
      </c>
      <c r="Q75" s="18" t="n">
        <v>76.06340018243586</v>
      </c>
      <c r="R75" s="17" t="n">
        <v>-69.24380163574219</v>
      </c>
      <c r="S75" s="17" t="n">
        <v>-138.3858977050782</v>
      </c>
      <c r="T75" s="17" t="n">
        <v>-39.48559649658202</v>
      </c>
      <c r="U75" s="19" t="n">
        <v>69.91090545171792</v>
      </c>
      <c r="V75" s="20">
        <f>IFERROR(BDP(E75&amp;" Corp","LAST_PRICE"),"--")</f>
        <v/>
      </c>
      <c r="W75" s="21">
        <f>IFERROR(BDP(E75&amp;" Corp","YAS_BENCHMARK_BOND_ISIN"),"--")</f>
        <v/>
      </c>
      <c r="X75" s="22">
        <f>IFERROR(BDP(W75&amp;" CORP","LAST_PRICE"),"--")</f>
        <v/>
      </c>
      <c r="Y75" s="23">
        <f>IFERROR(BDP(E75&amp;" Corp","YAS_YLD_SPREAD","YAS_BOND_PX="&amp;V75,"YAS_BNCHMRK_BOND_PX="&amp;X75),"--")</f>
        <v/>
      </c>
      <c r="Z75" s="23">
        <f>IFERROR(BDP(E75&amp;" Corp","BLOOMBERG_MID_G_SPREAD","YAS_BOND_PX="&amp;V75,"YAS_BNCHMRK_BOND_PX="&amp;X75),"--")</f>
        <v/>
      </c>
      <c r="AA75" s="23">
        <f>IFERROR(BDP(D75,"LAST_PRICE"),"--")</f>
        <v/>
      </c>
      <c r="AB75" s="24" t="n"/>
      <c r="AC75" s="23">
        <f>IFERROR(IF(ISBLANK(AB75),AA75,AB75),"--")</f>
        <v/>
      </c>
      <c r="AD75" s="23">
        <f>IFERROR(MAX(-500,MIN(500,AC75-Z75)),"--")</f>
        <v/>
      </c>
      <c r="AE75" s="25">
        <f>IFERROR((AD75-S75)/(T75-S75)*100,"--")</f>
        <v/>
      </c>
    </row>
    <row r="76">
      <c r="A76" s="26" t="inlineStr">
        <is>
          <t>MGM</t>
        </is>
      </c>
      <c r="B76" s="27" t="inlineStr">
        <is>
          <t>HY</t>
        </is>
      </c>
      <c r="C76" s="26" t="inlineStr">
        <is>
          <t>MGM 6 1/2 04/15/32</t>
        </is>
      </c>
      <c r="D76" s="27" t="inlineStr">
        <is>
          <t>MGM CDS USD SR 5Y D14 Corp</t>
        </is>
      </c>
      <c r="E76" s="27" t="inlineStr">
        <is>
          <t>US552953CJ87</t>
        </is>
      </c>
      <c r="F76" s="28" t="n">
        <v>45659</v>
      </c>
      <c r="G76" s="28" t="n">
        <v>46225</v>
      </c>
      <c r="H76" s="28" t="n">
        <v>48385</v>
      </c>
      <c r="I76" s="29" t="n">
        <v>254.7671051025391</v>
      </c>
      <c r="J76" s="29" t="n">
        <v>219.5778961181641</v>
      </c>
      <c r="K76" s="29" t="n">
        <v>213.983</v>
      </c>
      <c r="L76" s="29" t="n">
        <v>222.183</v>
      </c>
      <c r="M76" s="30" t="n">
        <v>389</v>
      </c>
      <c r="N76" s="31" t="n">
        <v>40.78410510253906</v>
      </c>
      <c r="O76" s="32" t="n">
        <v>-19.18569299316405</v>
      </c>
      <c r="P76" s="32" t="n">
        <v>84.90730419921874</v>
      </c>
      <c r="Q76" s="33" t="n">
        <v>57.61175075482553</v>
      </c>
      <c r="R76" s="32" t="n">
        <v>5.594896118164058</v>
      </c>
      <c r="S76" s="32" t="n">
        <v>-36.38549487304687</v>
      </c>
      <c r="T76" s="32" t="n">
        <v>57.92500878906247</v>
      </c>
      <c r="U76" s="34" t="n">
        <v>44.51295387162393</v>
      </c>
      <c r="V76" s="20">
        <f>IFERROR(BDP(E76&amp;" Corp","LAST_PRICE"),"--")</f>
        <v/>
      </c>
      <c r="W76" s="21">
        <f>IFERROR(BDP(E76&amp;" Corp","YAS_BENCHMARK_BOND_ISIN"),"--")</f>
        <v/>
      </c>
      <c r="X76" s="22">
        <f>IFERROR(BDP(W76&amp;" CORP","LAST_PRICE"),"--")</f>
        <v/>
      </c>
      <c r="Y76" s="23">
        <f>IFERROR(BDP(E76&amp;" Corp","YAS_YLD_SPREAD","YAS_BOND_PX="&amp;V76,"YAS_BNCHMRK_BOND_PX="&amp;X76),"--")</f>
        <v/>
      </c>
      <c r="Z76" s="23">
        <f>IFERROR(BDP(E76&amp;" Corp","BLOOMBERG_MID_G_SPREAD","YAS_BOND_PX="&amp;V76,"YAS_BNCHMRK_BOND_PX="&amp;X76),"--")</f>
        <v/>
      </c>
      <c r="AA76" s="23">
        <f>IFERROR(BDP(D76,"LAST_PRICE"),"--")</f>
        <v/>
      </c>
      <c r="AB76" s="24" t="n"/>
      <c r="AC76" s="23">
        <f>IFERROR(IF(ISBLANK(AB76),AA76,AB76),"--")</f>
        <v/>
      </c>
      <c r="AD76" s="23">
        <f>IFERROR(MAX(-500,MIN(500,AC76-Z76)),"--")</f>
        <v/>
      </c>
      <c r="AE76" s="25">
        <f>IFERROR((AD76-S76)/(T76-S76)*100,"--")</f>
        <v/>
      </c>
    </row>
    <row r="77">
      <c r="A77" s="11" t="inlineStr">
        <is>
          <t>MOH</t>
        </is>
      </c>
      <c r="B77" s="12" t="inlineStr">
        <is>
          <t>HY</t>
        </is>
      </c>
      <c r="C77" s="11" t="inlineStr">
        <is>
          <t>MOH 6 1/2 02/15/31</t>
        </is>
      </c>
      <c r="D77" s="12" t="inlineStr">
        <is>
          <t>CZ060964 Curncy</t>
        </is>
      </c>
      <c r="E77" s="12" t="inlineStr">
        <is>
          <t>US60855RAN08</t>
        </is>
      </c>
      <c r="F77" s="13" t="n">
        <v>46106</v>
      </c>
      <c r="G77" s="13" t="n">
        <v>46225</v>
      </c>
      <c r="H77" s="13" t="n">
        <v>48019</v>
      </c>
      <c r="I77" s="14" t="n">
        <v>129.7001037597656</v>
      </c>
      <c r="J77" s="14" t="n">
        <v>129.7001037597656</v>
      </c>
      <c r="K77" s="14" t="n">
        <v>157.888</v>
      </c>
      <c r="L77" s="14" t="n">
        <v>179.949</v>
      </c>
      <c r="M77" s="15" t="n">
        <v>83</v>
      </c>
      <c r="N77" s="16" t="n">
        <v>-28.18789624023438</v>
      </c>
      <c r="O77" s="17" t="n">
        <v>-75.40479931640624</v>
      </c>
      <c r="P77" s="17" t="n">
        <v>-7.932500000000005</v>
      </c>
      <c r="Q77" s="18" t="n">
        <v>69.97968581854869</v>
      </c>
      <c r="R77" s="17" t="n">
        <v>-28.18789624023438</v>
      </c>
      <c r="S77" s="17" t="n">
        <v>-75.40479931640624</v>
      </c>
      <c r="T77" s="17" t="n">
        <v>-7.932500000000005</v>
      </c>
      <c r="U77" s="19" t="n">
        <v>69.97968581854869</v>
      </c>
      <c r="V77" s="20">
        <f>IFERROR(BDP(E77&amp;" Corp","LAST_PRICE"),"--")</f>
        <v/>
      </c>
      <c r="W77" s="21">
        <f>IFERROR(BDP(E77&amp;" Corp","YAS_BENCHMARK_BOND_ISIN"),"--")</f>
        <v/>
      </c>
      <c r="X77" s="22">
        <f>IFERROR(BDP(W77&amp;" CORP","LAST_PRICE"),"--")</f>
        <v/>
      </c>
      <c r="Y77" s="23">
        <f>IFERROR(BDP(E77&amp;" Corp","YAS_YLD_SPREAD","YAS_BOND_PX="&amp;V77,"YAS_BNCHMRK_BOND_PX="&amp;X77),"--")</f>
        <v/>
      </c>
      <c r="Z77" s="23">
        <f>IFERROR(BDP(E77&amp;" Corp","BLOOMBERG_MID_G_SPREAD","YAS_BOND_PX="&amp;V77,"YAS_BNCHMRK_BOND_PX="&amp;X77),"--")</f>
        <v/>
      </c>
      <c r="AA77" s="23">
        <f>IFERROR(BDP(D77,"LAST_PRICE"),"--")</f>
        <v/>
      </c>
      <c r="AB77" s="24" t="n"/>
      <c r="AC77" s="23">
        <f>IFERROR(IF(ISBLANK(AB77),AA77,AB77),"--")</f>
        <v/>
      </c>
      <c r="AD77" s="23">
        <f>IFERROR(MAX(-500,MIN(500,AC77-Z77)),"--")</f>
        <v/>
      </c>
      <c r="AE77" s="25">
        <f>IFERROR((AD77-S77)/(T77-S77)*100,"--")</f>
        <v/>
      </c>
    </row>
    <row r="78">
      <c r="A78" s="26" t="inlineStr">
        <is>
          <t>MPW</t>
        </is>
      </c>
      <c r="B78" s="27" t="inlineStr">
        <is>
          <t>HY</t>
        </is>
      </c>
      <c r="C78" s="26" t="inlineStr">
        <is>
          <t>MPW 3 1/2 03/15/31</t>
        </is>
      </c>
      <c r="D78" s="27" t="inlineStr">
        <is>
          <t>MPW CDS USD SR 5Y D14 Corp</t>
        </is>
      </c>
      <c r="E78" s="27" t="inlineStr">
        <is>
          <t>US55342UAM62</t>
        </is>
      </c>
      <c r="F78" s="28" t="n">
        <v>45659</v>
      </c>
      <c r="G78" s="28" t="n">
        <v>46225</v>
      </c>
      <c r="H78" s="28" t="n">
        <v>48019</v>
      </c>
      <c r="I78" s="29" t="n">
        <v>940.0396728515625</v>
      </c>
      <c r="J78" s="29" t="n">
        <v>940.0396728515625</v>
      </c>
      <c r="K78" s="29" t="n">
        <v>850.629</v>
      </c>
      <c r="L78" s="29" t="n">
        <v>873.66</v>
      </c>
      <c r="M78" s="30" t="n">
        <v>358</v>
      </c>
      <c r="N78" s="31" t="n">
        <v>89.41067285156248</v>
      </c>
      <c r="O78" s="32" t="n">
        <v>-29.93319189453121</v>
      </c>
      <c r="P78" s="32" t="n">
        <v>527.324185546875</v>
      </c>
      <c r="Q78" s="33" t="n">
        <v>21.41629156962436</v>
      </c>
      <c r="R78" s="32" t="n">
        <v>89.41067285156248</v>
      </c>
      <c r="S78" s="32" t="n">
        <v>-29.93319189453121</v>
      </c>
      <c r="T78" s="32" t="n">
        <v>527.324185546875</v>
      </c>
      <c r="U78" s="34" t="n">
        <v>21.41629156962436</v>
      </c>
      <c r="V78" s="20">
        <f>IFERROR(BDP(E78&amp;" Corp","LAST_PRICE"),"--")</f>
        <v/>
      </c>
      <c r="W78" s="21">
        <f>IFERROR(BDP(E78&amp;" Corp","YAS_BENCHMARK_BOND_ISIN"),"--")</f>
        <v/>
      </c>
      <c r="X78" s="22">
        <f>IFERROR(BDP(W78&amp;" CORP","LAST_PRICE"),"--")</f>
        <v/>
      </c>
      <c r="Y78" s="23">
        <f>IFERROR(BDP(E78&amp;" Corp","YAS_YLD_SPREAD","YAS_BOND_PX="&amp;V78,"YAS_BNCHMRK_BOND_PX="&amp;X78),"--")</f>
        <v/>
      </c>
      <c r="Z78" s="23">
        <f>IFERROR(BDP(E78&amp;" Corp","BLOOMBERG_MID_G_SPREAD","YAS_BOND_PX="&amp;V78,"YAS_BNCHMRK_BOND_PX="&amp;X78),"--")</f>
        <v/>
      </c>
      <c r="AA78" s="23">
        <f>IFERROR(BDP(D78,"LAST_PRICE"),"--")</f>
        <v/>
      </c>
      <c r="AB78" s="24" t="n"/>
      <c r="AC78" s="23">
        <f>IFERROR(IF(ISBLANK(AB78),AA78,AB78),"--")</f>
        <v/>
      </c>
      <c r="AD78" s="23">
        <f>IFERROR(MAX(-500,MIN(500,AC78-Z78)),"--")</f>
        <v/>
      </c>
      <c r="AE78" s="25">
        <f>IFERROR((AD78-S78)/(T78-S78)*100,"--")</f>
        <v/>
      </c>
    </row>
    <row r="79">
      <c r="A79" s="11" t="inlineStr">
        <is>
          <t>MUR</t>
        </is>
      </c>
      <c r="B79" s="12" t="inlineStr">
        <is>
          <t>HY</t>
        </is>
      </c>
      <c r="C79" s="11" t="inlineStr">
        <is>
          <t>MUR 6 10/01/32</t>
        </is>
      </c>
      <c r="D79" s="12" t="inlineStr">
        <is>
          <t>MUR CDS USD SR 5Y D14 Corp</t>
        </is>
      </c>
      <c r="E79" s="12" t="inlineStr">
        <is>
          <t>US626717AP72</t>
        </is>
      </c>
      <c r="F79" s="13" t="n">
        <v>45659</v>
      </c>
      <c r="G79" s="13" t="n">
        <v>46225</v>
      </c>
      <c r="H79" s="13" t="n">
        <v>48568</v>
      </c>
      <c r="I79" s="14" t="n">
        <v>175.5525054931641</v>
      </c>
      <c r="J79" s="14" t="n">
        <v>138.7720031738281</v>
      </c>
      <c r="K79" s="14" t="n">
        <v>154.914</v>
      </c>
      <c r="L79" s="14" t="n">
        <v>168.081</v>
      </c>
      <c r="M79" s="15" t="n">
        <v>387</v>
      </c>
      <c r="N79" s="16" t="n">
        <v>20.63850549316408</v>
      </c>
      <c r="O79" s="17" t="n">
        <v>-51.07999865722655</v>
      </c>
      <c r="P79" s="17" t="n">
        <v>49.06708935546874</v>
      </c>
      <c r="Q79" s="18" t="n">
        <v>71.61316976215937</v>
      </c>
      <c r="R79" s="17" t="n">
        <v>-16.14199682617186</v>
      </c>
      <c r="S79" s="17" t="n">
        <v>-74.3180968017578</v>
      </c>
      <c r="T79" s="17" t="n">
        <v>19.57481030273436</v>
      </c>
      <c r="U79" s="19" t="n">
        <v>61.96005829369255</v>
      </c>
      <c r="V79" s="20">
        <f>IFERROR(BDP(E79&amp;" Corp","LAST_PRICE"),"--")</f>
        <v/>
      </c>
      <c r="W79" s="21">
        <f>IFERROR(BDP(E79&amp;" Corp","YAS_BENCHMARK_BOND_ISIN"),"--")</f>
        <v/>
      </c>
      <c r="X79" s="22">
        <f>IFERROR(BDP(W79&amp;" CORP","LAST_PRICE"),"--")</f>
        <v/>
      </c>
      <c r="Y79" s="23">
        <f>IFERROR(BDP(E79&amp;" Corp","YAS_YLD_SPREAD","YAS_BOND_PX="&amp;V79,"YAS_BNCHMRK_BOND_PX="&amp;X79),"--")</f>
        <v/>
      </c>
      <c r="Z79" s="23">
        <f>IFERROR(BDP(E79&amp;" Corp","BLOOMBERG_MID_G_SPREAD","YAS_BOND_PX="&amp;V79,"YAS_BNCHMRK_BOND_PX="&amp;X79),"--")</f>
        <v/>
      </c>
      <c r="AA79" s="23">
        <f>IFERROR(BDP(D79,"LAST_PRICE"),"--")</f>
        <v/>
      </c>
      <c r="AB79" s="24" t="n"/>
      <c r="AC79" s="23">
        <f>IFERROR(IF(ISBLANK(AB79),AA79,AB79),"--")</f>
        <v/>
      </c>
      <c r="AD79" s="23">
        <f>IFERROR(MAX(-500,MIN(500,AC79-Z79)),"--")</f>
        <v/>
      </c>
      <c r="AE79" s="25">
        <f>IFERROR((AD79-S79)/(T79-S79)*100,"--")</f>
        <v/>
      </c>
    </row>
    <row r="80">
      <c r="A80" s="26" t="inlineStr">
        <is>
          <t>NAVI</t>
        </is>
      </c>
      <c r="B80" s="27" t="inlineStr">
        <is>
          <t>HY</t>
        </is>
      </c>
      <c r="C80" s="26" t="inlineStr">
        <is>
          <t>NAVI 7 7/8 06/15/32</t>
        </is>
      </c>
      <c r="D80" s="27" t="inlineStr">
        <is>
          <t>NAVI CDS USD SR 5Y D14 Corp</t>
        </is>
      </c>
      <c r="E80" s="27" t="inlineStr">
        <is>
          <t>US63938CAQ15</t>
        </is>
      </c>
      <c r="F80" s="28" t="n">
        <v>45792</v>
      </c>
      <c r="G80" s="28" t="n">
        <v>46225</v>
      </c>
      <c r="H80" s="28" t="n">
        <v>48385</v>
      </c>
      <c r="I80" s="29" t="n">
        <v>485.5776062011719</v>
      </c>
      <c r="J80" s="29" t="n">
        <v>444.7533874511719</v>
      </c>
      <c r="K80" s="29" t="n">
        <v>504.367</v>
      </c>
      <c r="L80" s="29" t="n">
        <v>510.806</v>
      </c>
      <c r="M80" s="30" t="n">
        <v>297</v>
      </c>
      <c r="N80" s="31" t="n">
        <v>-18.78939379882814</v>
      </c>
      <c r="O80" s="32" t="n">
        <v>-41.9293859863281</v>
      </c>
      <c r="P80" s="32" t="n">
        <v>70.29202783203129</v>
      </c>
      <c r="Q80" s="33" t="n">
        <v>20.61994355636451</v>
      </c>
      <c r="R80" s="32" t="n">
        <v>-59.61361254882814</v>
      </c>
      <c r="S80" s="32" t="n">
        <v>-70.78909570312499</v>
      </c>
      <c r="T80" s="32" t="n">
        <v>30.38052880859379</v>
      </c>
      <c r="U80" s="34" t="n">
        <v>11.04628311929966</v>
      </c>
      <c r="V80" s="20">
        <f>IFERROR(BDP(E80&amp;" Corp","LAST_PRICE"),"--")</f>
        <v/>
      </c>
      <c r="W80" s="21">
        <f>IFERROR(BDP(E80&amp;" Corp","YAS_BENCHMARK_BOND_ISIN"),"--")</f>
        <v/>
      </c>
      <c r="X80" s="22">
        <f>IFERROR(BDP(W80&amp;" CORP","LAST_PRICE"),"--")</f>
        <v/>
      </c>
      <c r="Y80" s="23">
        <f>IFERROR(BDP(E80&amp;" Corp","YAS_YLD_SPREAD","YAS_BOND_PX="&amp;V80,"YAS_BNCHMRK_BOND_PX="&amp;X80),"--")</f>
        <v/>
      </c>
      <c r="Z80" s="23">
        <f>IFERROR(BDP(E80&amp;" Corp","BLOOMBERG_MID_G_SPREAD","YAS_BOND_PX="&amp;V80,"YAS_BNCHMRK_BOND_PX="&amp;X80),"--")</f>
        <v/>
      </c>
      <c r="AA80" s="23">
        <f>IFERROR(BDP(D80,"LAST_PRICE"),"--")</f>
        <v/>
      </c>
      <c r="AB80" s="24" t="n"/>
      <c r="AC80" s="23">
        <f>IFERROR(IF(ISBLANK(AB80),AA80,AB80),"--")</f>
        <v/>
      </c>
      <c r="AD80" s="23">
        <f>IFERROR(MAX(-500,MIN(500,AC80-Z80)),"--")</f>
        <v/>
      </c>
      <c r="AE80" s="25">
        <f>IFERROR((AD80-S80)/(T80-S80)*100,"--")</f>
        <v/>
      </c>
    </row>
    <row r="81">
      <c r="A81" s="11" t="inlineStr">
        <is>
          <t>NBR</t>
        </is>
      </c>
      <c r="B81" s="12" t="inlineStr">
        <is>
          <t>HY</t>
        </is>
      </c>
      <c r="C81" s="11" t="inlineStr">
        <is>
          <t>NBR 8 7/8 08/15/31</t>
        </is>
      </c>
      <c r="D81" s="12" t="inlineStr">
        <is>
          <t>NBR CDS USD SR 5Y D14 Corp</t>
        </is>
      </c>
      <c r="E81" s="12" t="inlineStr">
        <is>
          <t>US62957HAQ83</t>
        </is>
      </c>
      <c r="F81" s="13" t="n">
        <v>45659</v>
      </c>
      <c r="G81" s="13" t="n">
        <v>46225</v>
      </c>
      <c r="H81" s="13" t="n">
        <v>48202</v>
      </c>
      <c r="I81" s="14" t="n">
        <v>300.3275146484375</v>
      </c>
      <c r="J81" s="14" t="n">
        <v>283.1788024902344</v>
      </c>
      <c r="K81" s="14" t="n">
        <v>337.629</v>
      </c>
      <c r="L81" s="14" t="n">
        <v>341.58</v>
      </c>
      <c r="M81" s="15" t="n">
        <v>362</v>
      </c>
      <c r="N81" s="16" t="n">
        <v>-37.30148535156252</v>
      </c>
      <c r="O81" s="17" t="n">
        <v>-131.5709272460938</v>
      </c>
      <c r="P81" s="17" t="n">
        <v>458.3416455078125</v>
      </c>
      <c r="Q81" s="18" t="n">
        <v>15.98023948776858</v>
      </c>
      <c r="R81" s="17" t="n">
        <v>-54.45019750976564</v>
      </c>
      <c r="S81" s="17" t="n">
        <v>-120.9156945800781</v>
      </c>
      <c r="T81" s="17" t="n">
        <v>438.4578564453125</v>
      </c>
      <c r="U81" s="19" t="n">
        <v>11.88213081374231</v>
      </c>
      <c r="V81" s="20">
        <f>IFERROR(BDP(E81&amp;" Corp","LAST_PRICE"),"--")</f>
        <v/>
      </c>
      <c r="W81" s="21">
        <f>IFERROR(BDP(E81&amp;" Corp","YAS_BENCHMARK_BOND_ISIN"),"--")</f>
        <v/>
      </c>
      <c r="X81" s="22">
        <f>IFERROR(BDP(W81&amp;" CORP","LAST_PRICE"),"--")</f>
        <v/>
      </c>
      <c r="Y81" s="23">
        <f>IFERROR(BDP(E81&amp;" Corp","YAS_YLD_SPREAD","YAS_BOND_PX="&amp;V81,"YAS_BNCHMRK_BOND_PX="&amp;X81),"--")</f>
        <v/>
      </c>
      <c r="Z81" s="23">
        <f>IFERROR(BDP(E81&amp;" Corp","BLOOMBERG_MID_G_SPREAD","YAS_BOND_PX="&amp;V81,"YAS_BNCHMRK_BOND_PX="&amp;X81),"--")</f>
        <v/>
      </c>
      <c r="AA81" s="23">
        <f>IFERROR(BDP(D81,"LAST_PRICE"),"--")</f>
        <v/>
      </c>
      <c r="AB81" s="24" t="n"/>
      <c r="AC81" s="23">
        <f>IFERROR(IF(ISBLANK(AB81),AA81,AB81),"--")</f>
        <v/>
      </c>
      <c r="AD81" s="23">
        <f>IFERROR(MAX(-500,MIN(500,AC81-Z81)),"--")</f>
        <v/>
      </c>
      <c r="AE81" s="25">
        <f>IFERROR((AD81-S81)/(T81-S81)*100,"--")</f>
        <v/>
      </c>
    </row>
    <row r="82">
      <c r="A82" s="26" t="inlineStr">
        <is>
          <t>NCLH</t>
        </is>
      </c>
      <c r="B82" s="27" t="inlineStr">
        <is>
          <t>HY</t>
        </is>
      </c>
      <c r="C82" s="26" t="inlineStr">
        <is>
          <t>NCLH 5 7/8 01/15/31</t>
        </is>
      </c>
      <c r="D82" s="27" t="inlineStr">
        <is>
          <t>NCLH CDS USD SR 5Y D14 Corp</t>
        </is>
      </c>
      <c r="E82" s="27" t="inlineStr">
        <is>
          <t>US62886HBY62</t>
        </is>
      </c>
      <c r="F82" s="28" t="n">
        <v>45909</v>
      </c>
      <c r="G82" s="28" t="n">
        <v>46225</v>
      </c>
      <c r="H82" s="28" t="n">
        <v>48019</v>
      </c>
      <c r="I82" s="29" t="n">
        <v>204.89990234375</v>
      </c>
      <c r="J82" s="29" t="n">
        <v>204.89990234375</v>
      </c>
      <c r="K82" s="29" t="n">
        <v>234.764</v>
      </c>
      <c r="L82" s="29" t="n">
        <v>246.657</v>
      </c>
      <c r="M82" s="30" t="n">
        <v>217</v>
      </c>
      <c r="N82" s="31" t="n">
        <v>-29.86409765625001</v>
      </c>
      <c r="O82" s="32" t="n">
        <v>-60.80760302734376</v>
      </c>
      <c r="P82" s="32" t="n">
        <v>-5.133503906249985</v>
      </c>
      <c r="Q82" s="33" t="n">
        <v>55.57971455234538</v>
      </c>
      <c r="R82" s="32" t="n">
        <v>-29.86409765625001</v>
      </c>
      <c r="S82" s="32" t="n">
        <v>-60.80760302734376</v>
      </c>
      <c r="T82" s="32" t="n">
        <v>-5.133503906249985</v>
      </c>
      <c r="U82" s="34" t="n">
        <v>55.57971455234538</v>
      </c>
      <c r="V82" s="20">
        <f>IFERROR(BDP(E82&amp;" Corp","LAST_PRICE"),"--")</f>
        <v/>
      </c>
      <c r="W82" s="21">
        <f>IFERROR(BDP(E82&amp;" Corp","YAS_BENCHMARK_BOND_ISIN"),"--")</f>
        <v/>
      </c>
      <c r="X82" s="22">
        <f>IFERROR(BDP(W82&amp;" CORP","LAST_PRICE"),"--")</f>
        <v/>
      </c>
      <c r="Y82" s="23">
        <f>IFERROR(BDP(E82&amp;" Corp","YAS_YLD_SPREAD","YAS_BOND_PX="&amp;V82,"YAS_BNCHMRK_BOND_PX="&amp;X82),"--")</f>
        <v/>
      </c>
      <c r="Z82" s="23">
        <f>IFERROR(BDP(E82&amp;" Corp","BLOOMBERG_MID_G_SPREAD","YAS_BOND_PX="&amp;V82,"YAS_BNCHMRK_BOND_PX="&amp;X82),"--")</f>
        <v/>
      </c>
      <c r="AA82" s="23">
        <f>IFERROR(BDP(D82,"LAST_PRICE"),"--")</f>
        <v/>
      </c>
      <c r="AB82" s="24" t="n"/>
      <c r="AC82" s="23">
        <f>IFERROR(IF(ISBLANK(AB82),AA82,AB82),"--")</f>
        <v/>
      </c>
      <c r="AD82" s="23">
        <f>IFERROR(MAX(-500,MIN(500,AC82-Z82)),"--")</f>
        <v/>
      </c>
      <c r="AE82" s="25">
        <f>IFERROR((AD82-S82)/(T82-S82)*100,"--")</f>
        <v/>
      </c>
    </row>
    <row r="83">
      <c r="A83" s="11" t="inlineStr">
        <is>
          <t>NEWALB</t>
        </is>
      </c>
      <c r="B83" s="12" t="inlineStr">
        <is>
          <t>HY</t>
        </is>
      </c>
      <c r="C83" s="11" t="inlineStr">
        <is>
          <t>ACI 5 5/8 03/31/32</t>
        </is>
      </c>
      <c r="D83" s="12" t="inlineStr">
        <is>
          <t>NEWALB CDS USD SR 5Y D14 Corp</t>
        </is>
      </c>
      <c r="E83" s="12" t="inlineStr">
        <is>
          <t>US01309QAE89</t>
        </is>
      </c>
      <c r="F83" s="13" t="n">
        <v>46045</v>
      </c>
      <c r="G83" s="13" t="n">
        <v>46225</v>
      </c>
      <c r="H83" s="13" t="n">
        <v>48385</v>
      </c>
      <c r="I83" s="14" t="n">
        <v>136.0460052490234</v>
      </c>
      <c r="J83" s="14" t="n">
        <v>116.4620971679688</v>
      </c>
      <c r="K83" s="14" t="n">
        <v>189.567</v>
      </c>
      <c r="L83" s="14" t="n">
        <v>228.784</v>
      </c>
      <c r="M83" s="15" t="n">
        <v>124</v>
      </c>
      <c r="N83" s="16" t="n">
        <v>-53.52099475097657</v>
      </c>
      <c r="O83" s="17" t="n">
        <v>-118.8464013671875</v>
      </c>
      <c r="P83" s="17" t="n">
        <v>-47.50569689941406</v>
      </c>
      <c r="Q83" s="18" t="n">
        <v>91.56821074807331</v>
      </c>
      <c r="R83" s="17" t="n">
        <v>-73.10490283203126</v>
      </c>
      <c r="S83" s="17" t="n">
        <v>-127.0820962524414</v>
      </c>
      <c r="T83" s="17" t="n">
        <v>-68.94180072021484</v>
      </c>
      <c r="U83" s="19" t="n">
        <v>92.83955804884265</v>
      </c>
      <c r="V83" s="20">
        <f>IFERROR(BDP(E83&amp;" Corp","LAST_PRICE"),"--")</f>
        <v/>
      </c>
      <c r="W83" s="21">
        <f>IFERROR(BDP(E83&amp;" Corp","YAS_BENCHMARK_BOND_ISIN"),"--")</f>
        <v/>
      </c>
      <c r="X83" s="22">
        <f>IFERROR(BDP(W83&amp;" CORP","LAST_PRICE"),"--")</f>
        <v/>
      </c>
      <c r="Y83" s="23">
        <f>IFERROR(BDP(E83&amp;" Corp","YAS_YLD_SPREAD","YAS_BOND_PX="&amp;V83,"YAS_BNCHMRK_BOND_PX="&amp;X83),"--")</f>
        <v/>
      </c>
      <c r="Z83" s="23">
        <f>IFERROR(BDP(E83&amp;" Corp","BLOOMBERG_MID_G_SPREAD","YAS_BOND_PX="&amp;V83,"YAS_BNCHMRK_BOND_PX="&amp;X83),"--")</f>
        <v/>
      </c>
      <c r="AA83" s="23">
        <f>IFERROR(BDP(D83,"LAST_PRICE"),"--")</f>
        <v/>
      </c>
      <c r="AB83" s="24" t="n"/>
      <c r="AC83" s="23">
        <f>IFERROR(IF(ISBLANK(AB83),AA83,AB83),"--")</f>
        <v/>
      </c>
      <c r="AD83" s="23">
        <f>IFERROR(MAX(-500,MIN(500,AC83-Z83)),"--")</f>
        <v/>
      </c>
      <c r="AE83" s="25">
        <f>IFERROR((AD83-S83)/(T83-S83)*100,"--")</f>
        <v/>
      </c>
    </row>
    <row r="84">
      <c r="A84" s="26" t="inlineStr">
        <is>
          <t>NRG</t>
        </is>
      </c>
      <c r="B84" s="27" t="inlineStr">
        <is>
          <t>HY</t>
        </is>
      </c>
      <c r="C84" s="26" t="inlineStr">
        <is>
          <t>NRG 6 02/01/33</t>
        </is>
      </c>
      <c r="D84" s="27" t="inlineStr">
        <is>
          <t>NRG CDS USD SR 5Y D14 Corp</t>
        </is>
      </c>
      <c r="E84" s="27" t="inlineStr">
        <is>
          <t>USU66962BB30</t>
        </is>
      </c>
      <c r="F84" s="28" t="n">
        <v>45659</v>
      </c>
      <c r="G84" s="28" t="n">
        <v>46225</v>
      </c>
      <c r="H84" s="28" t="n">
        <v>48750</v>
      </c>
      <c r="I84" s="29" t="n">
        <v>146.7920074462891</v>
      </c>
      <c r="J84" s="29" t="n">
        <v>110.9934005737305</v>
      </c>
      <c r="K84" s="29" t="n">
        <v>152.265</v>
      </c>
      <c r="L84" s="29" t="n">
        <v>142.679</v>
      </c>
      <c r="M84" s="30" t="n">
        <v>388</v>
      </c>
      <c r="N84" s="31" t="n">
        <v>-5.472992553710924</v>
      </c>
      <c r="O84" s="32" t="n">
        <v>-91.36399243164061</v>
      </c>
      <c r="P84" s="32" t="n">
        <v>4.325405639648437</v>
      </c>
      <c r="Q84" s="33" t="n">
        <v>89.76020500613923</v>
      </c>
      <c r="R84" s="32" t="n">
        <v>-41.27159942626952</v>
      </c>
      <c r="S84" s="32" t="n">
        <v>-110.5120026855469</v>
      </c>
      <c r="T84" s="32" t="n">
        <v>-33.71990563964843</v>
      </c>
      <c r="U84" s="34" t="n">
        <v>90.16605343892685</v>
      </c>
      <c r="V84" s="20">
        <f>IFERROR(BDP(E84&amp;" Corp","LAST_PRICE"),"--")</f>
        <v/>
      </c>
      <c r="W84" s="21">
        <f>IFERROR(BDP(E84&amp;" Corp","YAS_BENCHMARK_BOND_ISIN"),"--")</f>
        <v/>
      </c>
      <c r="X84" s="22">
        <f>IFERROR(BDP(W84&amp;" CORP","LAST_PRICE"),"--")</f>
        <v/>
      </c>
      <c r="Y84" s="23">
        <f>IFERROR(BDP(E84&amp;" Corp","YAS_YLD_SPREAD","YAS_BOND_PX="&amp;V84,"YAS_BNCHMRK_BOND_PX="&amp;X84),"--")</f>
        <v/>
      </c>
      <c r="Z84" s="23">
        <f>IFERROR(BDP(E84&amp;" Corp","BLOOMBERG_MID_G_SPREAD","YAS_BOND_PX="&amp;V84,"YAS_BNCHMRK_BOND_PX="&amp;X84),"--")</f>
        <v/>
      </c>
      <c r="AA84" s="23">
        <f>IFERROR(BDP(D84,"LAST_PRICE"),"--")</f>
        <v/>
      </c>
      <c r="AB84" s="24" t="n"/>
      <c r="AC84" s="23">
        <f>IFERROR(IF(ISBLANK(AB84),AA84,AB84),"--")</f>
        <v/>
      </c>
      <c r="AD84" s="23">
        <f>IFERROR(MAX(-500,MIN(500,AC84-Z84)),"--")</f>
        <v/>
      </c>
      <c r="AE84" s="25">
        <f>IFERROR((AD84-S84)/(T84-S84)*100,"--")</f>
        <v/>
      </c>
    </row>
    <row r="85">
      <c r="A85" s="11" t="inlineStr">
        <is>
          <t>NWL</t>
        </is>
      </c>
      <c r="B85" s="12" t="inlineStr">
        <is>
          <t>HY</t>
        </is>
      </c>
      <c r="C85" s="11" t="inlineStr">
        <is>
          <t>NWL 6 5/8 05/15/32</t>
        </is>
      </c>
      <c r="D85" s="12" t="inlineStr">
        <is>
          <t>NWL CDS USD SR 5Y D14 Corp</t>
        </is>
      </c>
      <c r="E85" s="12" t="inlineStr">
        <is>
          <t>US651229BE57</t>
        </is>
      </c>
      <c r="F85" s="13" t="n">
        <v>45659</v>
      </c>
      <c r="G85" s="13" t="n">
        <v>46225</v>
      </c>
      <c r="H85" s="13" t="n">
        <v>48385</v>
      </c>
      <c r="I85" s="14" t="n">
        <v>368.9241943359375</v>
      </c>
      <c r="J85" s="14" t="n">
        <v>334.4418029785156</v>
      </c>
      <c r="K85" s="14" t="n">
        <v>208.455</v>
      </c>
      <c r="L85" s="14" t="n">
        <v>219.211</v>
      </c>
      <c r="M85" s="15" t="n">
        <v>389</v>
      </c>
      <c r="N85" s="16" t="n">
        <v>160.4691943359375</v>
      </c>
      <c r="O85" s="17" t="n">
        <v>36.0853056640625</v>
      </c>
      <c r="P85" s="17" t="n">
        <v>196.4063120117187</v>
      </c>
      <c r="Q85" s="18" t="n">
        <v>77.58427389243579</v>
      </c>
      <c r="R85" s="17" t="n">
        <v>125.9868029785156</v>
      </c>
      <c r="S85" s="17" t="n">
        <v>28.9109892578125</v>
      </c>
      <c r="T85" s="17" t="n">
        <v>147.8178110351562</v>
      </c>
      <c r="U85" s="19" t="n">
        <v>81.64023919710866</v>
      </c>
      <c r="V85" s="20">
        <f>IFERROR(BDP(E85&amp;" Corp","LAST_PRICE"),"--")</f>
        <v/>
      </c>
      <c r="W85" s="21">
        <f>IFERROR(BDP(E85&amp;" Corp","YAS_BENCHMARK_BOND_ISIN"),"--")</f>
        <v/>
      </c>
      <c r="X85" s="22">
        <f>IFERROR(BDP(W85&amp;" CORP","LAST_PRICE"),"--")</f>
        <v/>
      </c>
      <c r="Y85" s="23">
        <f>IFERROR(BDP(E85&amp;" Corp","YAS_YLD_SPREAD","YAS_BOND_PX="&amp;V85,"YAS_BNCHMRK_BOND_PX="&amp;X85),"--")</f>
        <v/>
      </c>
      <c r="Z85" s="23">
        <f>IFERROR(BDP(E85&amp;" Corp","BLOOMBERG_MID_G_SPREAD","YAS_BOND_PX="&amp;V85,"YAS_BNCHMRK_BOND_PX="&amp;X85),"--")</f>
        <v/>
      </c>
      <c r="AA85" s="23">
        <f>IFERROR(BDP(D85,"LAST_PRICE"),"--")</f>
        <v/>
      </c>
      <c r="AB85" s="24" t="n"/>
      <c r="AC85" s="23">
        <f>IFERROR(IF(ISBLANK(AB85),AA85,AB85),"--")</f>
        <v/>
      </c>
      <c r="AD85" s="23">
        <f>IFERROR(MAX(-500,MIN(500,AC85-Z85)),"--")</f>
        <v/>
      </c>
      <c r="AE85" s="25">
        <f>IFERROR((AD85-S85)/(T85-S85)*100,"--")</f>
        <v/>
      </c>
    </row>
    <row r="86">
      <c r="A86" s="26" t="inlineStr">
        <is>
          <t>OGN</t>
        </is>
      </c>
      <c r="B86" s="27" t="inlineStr">
        <is>
          <t>HY</t>
        </is>
      </c>
      <c r="C86" s="26" t="inlineStr">
        <is>
          <t>OGN 5 1/8 04/30/31</t>
        </is>
      </c>
      <c r="D86" s="27" t="inlineStr">
        <is>
          <t>ORGANON&amp;CO CDS USD SR 5Y D14 Corp</t>
        </is>
      </c>
      <c r="E86" s="27" t="inlineStr">
        <is>
          <t>USU6835WAB01</t>
        </is>
      </c>
      <c r="F86" s="28" t="n">
        <v>45659</v>
      </c>
      <c r="G86" s="28" t="n">
        <v>46225</v>
      </c>
      <c r="H86" s="28" t="n">
        <v>48019</v>
      </c>
      <c r="I86" s="29" t="n">
        <v>67.83059692382812</v>
      </c>
      <c r="J86" s="29" t="n">
        <v>67.83059692382812</v>
      </c>
      <c r="K86" s="29" t="n">
        <v>94.68300000000001</v>
      </c>
      <c r="L86" s="29" t="n">
        <v>92.538</v>
      </c>
      <c r="M86" s="30" t="n">
        <v>387</v>
      </c>
      <c r="N86" s="31" t="n">
        <v>-26.85240307617188</v>
      </c>
      <c r="O86" s="32" t="n">
        <v>-121.4320971679688</v>
      </c>
      <c r="P86" s="32" t="n">
        <v>73.47007910156253</v>
      </c>
      <c r="Q86" s="33" t="n">
        <v>48.5267511641338</v>
      </c>
      <c r="R86" s="32" t="n">
        <v>-26.85240307617188</v>
      </c>
      <c r="S86" s="32" t="n">
        <v>-121.4320971679688</v>
      </c>
      <c r="T86" s="32" t="n">
        <v>73.47007910156253</v>
      </c>
      <c r="U86" s="34" t="n">
        <v>48.5267511641338</v>
      </c>
      <c r="V86" s="20">
        <f>IFERROR(BDP(E86&amp;" Corp","LAST_PRICE"),"--")</f>
        <v/>
      </c>
      <c r="W86" s="21">
        <f>IFERROR(BDP(E86&amp;" Corp","YAS_BENCHMARK_BOND_ISIN"),"--")</f>
        <v/>
      </c>
      <c r="X86" s="22">
        <f>IFERROR(BDP(W86&amp;" CORP","LAST_PRICE"),"--")</f>
        <v/>
      </c>
      <c r="Y86" s="23">
        <f>IFERROR(BDP(E86&amp;" Corp","YAS_YLD_SPREAD","YAS_BOND_PX="&amp;V86,"YAS_BNCHMRK_BOND_PX="&amp;X86),"--")</f>
        <v/>
      </c>
      <c r="Z86" s="23">
        <f>IFERROR(BDP(E86&amp;" Corp","BLOOMBERG_MID_G_SPREAD","YAS_BOND_PX="&amp;V86,"YAS_BNCHMRK_BOND_PX="&amp;X86),"--")</f>
        <v/>
      </c>
      <c r="AA86" s="23">
        <f>IFERROR(BDP(D86,"LAST_PRICE"),"--")</f>
        <v/>
      </c>
      <c r="AB86" s="24" t="n"/>
      <c r="AC86" s="23">
        <f>IFERROR(IF(ISBLANK(AB86),AA86,AB86),"--")</f>
        <v/>
      </c>
      <c r="AD86" s="23">
        <f>IFERROR(MAX(-500,MIN(500,AC86-Z86)),"--")</f>
        <v/>
      </c>
      <c r="AE86" s="25">
        <f>IFERROR((AD86-S86)/(T86-S86)*100,"--")</f>
        <v/>
      </c>
    </row>
    <row r="87">
      <c r="A87" s="11" t="inlineStr">
        <is>
          <t>OLN</t>
        </is>
      </c>
      <c r="B87" s="12" t="inlineStr">
        <is>
          <t>HY</t>
        </is>
      </c>
      <c r="C87" s="11" t="inlineStr">
        <is>
          <t>OLN 6 5/8 04/01/33</t>
        </is>
      </c>
      <c r="D87" s="12" t="inlineStr">
        <is>
          <t>OLN CDS USD SR 5Y D14 Corp</t>
        </is>
      </c>
      <c r="E87" s="12" t="inlineStr">
        <is>
          <t>US680665AN65</t>
        </is>
      </c>
      <c r="F87" s="13" t="n">
        <v>45719</v>
      </c>
      <c r="G87" s="13" t="n">
        <v>46225</v>
      </c>
      <c r="H87" s="13" t="n">
        <v>48750</v>
      </c>
      <c r="I87" s="14" t="n">
        <v>208.1672058105469</v>
      </c>
      <c r="J87" s="14" t="n">
        <v>156.8011932373047</v>
      </c>
      <c r="K87" s="14" t="n">
        <v>223.908</v>
      </c>
      <c r="L87" s="14" t="n">
        <v>206.515</v>
      </c>
      <c r="M87" s="15" t="n">
        <v>345</v>
      </c>
      <c r="N87" s="16" t="n">
        <v>-15.74079418945311</v>
      </c>
      <c r="O87" s="17" t="n">
        <v>-80.28809350585936</v>
      </c>
      <c r="P87" s="17" t="n">
        <v>68.29619677734377</v>
      </c>
      <c r="Q87" s="18" t="n">
        <v>43.4415369171118</v>
      </c>
      <c r="R87" s="17" t="n">
        <v>-67.1068067626953</v>
      </c>
      <c r="S87" s="17" t="n">
        <v>-114.5648963623047</v>
      </c>
      <c r="T87" s="17" t="n">
        <v>24.88750537109377</v>
      </c>
      <c r="U87" s="19" t="n">
        <v>34.03174775744527</v>
      </c>
      <c r="V87" s="20">
        <f>IFERROR(BDP(E87&amp;" Corp","LAST_PRICE"),"--")</f>
        <v/>
      </c>
      <c r="W87" s="21">
        <f>IFERROR(BDP(E87&amp;" Corp","YAS_BENCHMARK_BOND_ISIN"),"--")</f>
        <v/>
      </c>
      <c r="X87" s="22">
        <f>IFERROR(BDP(W87&amp;" CORP","LAST_PRICE"),"--")</f>
        <v/>
      </c>
      <c r="Y87" s="23">
        <f>IFERROR(BDP(E87&amp;" Corp","YAS_YLD_SPREAD","YAS_BOND_PX="&amp;V87,"YAS_BNCHMRK_BOND_PX="&amp;X87),"--")</f>
        <v/>
      </c>
      <c r="Z87" s="23">
        <f>IFERROR(BDP(E87&amp;" Corp","BLOOMBERG_MID_G_SPREAD","YAS_BOND_PX="&amp;V87,"YAS_BNCHMRK_BOND_PX="&amp;X87),"--")</f>
        <v/>
      </c>
      <c r="AA87" s="23">
        <f>IFERROR(BDP(D87,"LAST_PRICE"),"--")</f>
        <v/>
      </c>
      <c r="AB87" s="24" t="n"/>
      <c r="AC87" s="23">
        <f>IFERROR(IF(ISBLANK(AB87),AA87,AB87),"--")</f>
        <v/>
      </c>
      <c r="AD87" s="23">
        <f>IFERROR(MAX(-500,MIN(500,AC87-Z87)),"--")</f>
        <v/>
      </c>
      <c r="AE87" s="25">
        <f>IFERROR((AD87-S87)/(T87-S87)*100,"--")</f>
        <v/>
      </c>
    </row>
    <row r="88">
      <c r="A88" s="26" t="inlineStr">
        <is>
          <t>OMF</t>
        </is>
      </c>
      <c r="B88" s="27" t="inlineStr">
        <is>
          <t>HY</t>
        </is>
      </c>
      <c r="C88" s="26" t="inlineStr">
        <is>
          <t>OMF 7 1/8 11/15/31</t>
        </is>
      </c>
      <c r="D88" s="27" t="inlineStr">
        <is>
          <t>AMGFIN CDS USD SR 5Y D14 Corp</t>
        </is>
      </c>
      <c r="E88" s="27" t="inlineStr">
        <is>
          <t>US682691AG50</t>
        </is>
      </c>
      <c r="F88" s="28" t="n">
        <v>45659</v>
      </c>
      <c r="G88" s="28" t="n">
        <v>46225</v>
      </c>
      <c r="H88" s="28" t="n">
        <v>48202</v>
      </c>
      <c r="I88" s="29" t="n">
        <v>218.2666931152344</v>
      </c>
      <c r="J88" s="29" t="n">
        <v>210.8128051757812</v>
      </c>
      <c r="K88" s="29" t="n">
        <v>230.574</v>
      </c>
      <c r="L88" s="29" t="n">
        <v>249.27</v>
      </c>
      <c r="M88" s="30" t="n">
        <v>387</v>
      </c>
      <c r="N88" s="31" t="n">
        <v>-12.30730688476564</v>
      </c>
      <c r="O88" s="32" t="n">
        <v>-77.47350683593748</v>
      </c>
      <c r="P88" s="32" t="n">
        <v>28.67750488281251</v>
      </c>
      <c r="Q88" s="33" t="n">
        <v>61.39008841840479</v>
      </c>
      <c r="R88" s="32" t="n">
        <v>-19.76119482421876</v>
      </c>
      <c r="S88" s="32" t="n">
        <v>-84.55788793945311</v>
      </c>
      <c r="T88" s="32" t="n">
        <v>18.97700439453126</v>
      </c>
      <c r="U88" s="34" t="n">
        <v>62.58440189053582</v>
      </c>
      <c r="V88" s="20">
        <f>IFERROR(BDP(E88&amp;" Corp","LAST_PRICE"),"--")</f>
        <v/>
      </c>
      <c r="W88" s="21">
        <f>IFERROR(BDP(E88&amp;" Corp","YAS_BENCHMARK_BOND_ISIN"),"--")</f>
        <v/>
      </c>
      <c r="X88" s="22">
        <f>IFERROR(BDP(W88&amp;" CORP","LAST_PRICE"),"--")</f>
        <v/>
      </c>
      <c r="Y88" s="23">
        <f>IFERROR(BDP(E88&amp;" Corp","YAS_YLD_SPREAD","YAS_BOND_PX="&amp;V88,"YAS_BNCHMRK_BOND_PX="&amp;X88),"--")</f>
        <v/>
      </c>
      <c r="Z88" s="23">
        <f>IFERROR(BDP(E88&amp;" Corp","BLOOMBERG_MID_G_SPREAD","YAS_BOND_PX="&amp;V88,"YAS_BNCHMRK_BOND_PX="&amp;X88),"--")</f>
        <v/>
      </c>
      <c r="AA88" s="23">
        <f>IFERROR(BDP(D88,"LAST_PRICE"),"--")</f>
        <v/>
      </c>
      <c r="AB88" s="24" t="n"/>
      <c r="AC88" s="23">
        <f>IFERROR(IF(ISBLANK(AB88),AA88,AB88),"--")</f>
        <v/>
      </c>
      <c r="AD88" s="23">
        <f>IFERROR(MAX(-500,MIN(500,AC88-Z88)),"--")</f>
        <v/>
      </c>
      <c r="AE88" s="25">
        <f>IFERROR((AD88-S88)/(T88-S88)*100,"--")</f>
        <v/>
      </c>
    </row>
    <row r="89">
      <c r="A89" s="11" t="inlineStr">
        <is>
          <t>PARA</t>
        </is>
      </c>
      <c r="B89" s="12" t="inlineStr">
        <is>
          <t>HY</t>
        </is>
      </c>
      <c r="C89" s="11" t="inlineStr">
        <is>
          <t>PARA 4.95 01/15/31</t>
        </is>
      </c>
      <c r="D89" s="12" t="inlineStr">
        <is>
          <t>PARA CDS USD SR 5Y D14 Corp</t>
        </is>
      </c>
      <c r="E89" s="12" t="inlineStr">
        <is>
          <t>US92556HAB33</t>
        </is>
      </c>
      <c r="F89" s="13" t="n">
        <v>45659</v>
      </c>
      <c r="G89" s="13" t="n">
        <v>46225</v>
      </c>
      <c r="H89" s="13" t="n">
        <v>48019</v>
      </c>
      <c r="I89" s="14" t="n">
        <v>309.1318054199219</v>
      </c>
      <c r="J89" s="14" t="n">
        <v>309.1318054199219</v>
      </c>
      <c r="K89" s="14" t="n">
        <v>256.247</v>
      </c>
      <c r="L89" s="14" t="n">
        <v>258.802</v>
      </c>
      <c r="M89" s="15" t="n">
        <v>389</v>
      </c>
      <c r="N89" s="16" t="n">
        <v>52.88480541992186</v>
      </c>
      <c r="O89" s="17" t="n">
        <v>-55.37950085449219</v>
      </c>
      <c r="P89" s="17" t="n">
        <v>112.7628063964844</v>
      </c>
      <c r="Q89" s="18" t="n">
        <v>64.38849807907894</v>
      </c>
      <c r="R89" s="17" t="n">
        <v>52.88480541992186</v>
      </c>
      <c r="S89" s="17" t="n">
        <v>-55.37950085449219</v>
      </c>
      <c r="T89" s="17" t="n">
        <v>112.7628063964844</v>
      </c>
      <c r="U89" s="19" t="n">
        <v>64.38849807907894</v>
      </c>
      <c r="V89" s="20">
        <f>IFERROR(BDP(E89&amp;" Corp","LAST_PRICE"),"--")</f>
        <v/>
      </c>
      <c r="W89" s="21">
        <f>IFERROR(BDP(E89&amp;" Corp","YAS_BENCHMARK_BOND_ISIN"),"--")</f>
        <v/>
      </c>
      <c r="X89" s="22">
        <f>IFERROR(BDP(W89&amp;" CORP","LAST_PRICE"),"--")</f>
        <v/>
      </c>
      <c r="Y89" s="23">
        <f>IFERROR(BDP(E89&amp;" Corp","YAS_YLD_SPREAD","YAS_BOND_PX="&amp;V89,"YAS_BNCHMRK_BOND_PX="&amp;X89),"--")</f>
        <v/>
      </c>
      <c r="Z89" s="23">
        <f>IFERROR(BDP(E89&amp;" Corp","BLOOMBERG_MID_G_SPREAD","YAS_BOND_PX="&amp;V89,"YAS_BNCHMRK_BOND_PX="&amp;X89),"--")</f>
        <v/>
      </c>
      <c r="AA89" s="23">
        <f>IFERROR(BDP(D89,"LAST_PRICE"),"--")</f>
        <v/>
      </c>
      <c r="AB89" s="24" t="n"/>
      <c r="AC89" s="23">
        <f>IFERROR(IF(ISBLANK(AB89),AA89,AB89),"--")</f>
        <v/>
      </c>
      <c r="AD89" s="23">
        <f>IFERROR(MAX(-500,MIN(500,AC89-Z89)),"--")</f>
        <v/>
      </c>
      <c r="AE89" s="25">
        <f>IFERROR((AD89-S89)/(T89-S89)*100,"--")</f>
        <v/>
      </c>
    </row>
    <row r="90">
      <c r="A90" s="26" t="inlineStr">
        <is>
          <t>PBI</t>
        </is>
      </c>
      <c r="B90" s="27" t="inlineStr">
        <is>
          <t>HY</t>
        </is>
      </c>
      <c r="C90" s="26" t="inlineStr">
        <is>
          <t>PBI 7 1/4 03/15/29</t>
        </is>
      </c>
      <c r="D90" s="27" t="inlineStr">
        <is>
          <t>PBI CDS USD SR 5Y D14 Corp</t>
        </is>
      </c>
      <c r="E90" s="27" t="inlineStr">
        <is>
          <t>US724479AQ31</t>
        </is>
      </c>
      <c r="F90" s="28" t="n">
        <v>45659</v>
      </c>
      <c r="G90" s="28" t="n">
        <v>46225</v>
      </c>
      <c r="H90" s="28" t="n">
        <v>47289</v>
      </c>
      <c r="I90" s="29" t="n">
        <v>107.1218032836914</v>
      </c>
      <c r="J90" s="29" t="n">
        <v>156.0995025634766</v>
      </c>
      <c r="K90" s="29" t="n">
        <v>182.17</v>
      </c>
      <c r="L90" s="29" t="n">
        <v>203.714</v>
      </c>
      <c r="M90" s="30" t="n">
        <v>389</v>
      </c>
      <c r="N90" s="31" t="n">
        <v>-75.04819671630858</v>
      </c>
      <c r="O90" s="32" t="n">
        <v>-196.113598022461</v>
      </c>
      <c r="P90" s="32" t="n">
        <v>25.98289306640626</v>
      </c>
      <c r="Q90" s="33" t="n">
        <v>54.51027195999716</v>
      </c>
      <c r="R90" s="32" t="n">
        <v>-26.07049743652342</v>
      </c>
      <c r="S90" s="32" t="n">
        <v>-138.6623956298828</v>
      </c>
      <c r="T90" s="32" t="n">
        <v>93.84458740234376</v>
      </c>
      <c r="U90" s="34" t="n">
        <v>48.42516845085621</v>
      </c>
      <c r="V90" s="20">
        <f>IFERROR(BDP(E90&amp;" Corp","LAST_PRICE"),"--")</f>
        <v/>
      </c>
      <c r="W90" s="21">
        <f>IFERROR(BDP(E90&amp;" Corp","YAS_BENCHMARK_BOND_ISIN"),"--")</f>
        <v/>
      </c>
      <c r="X90" s="22">
        <f>IFERROR(BDP(W90&amp;" CORP","LAST_PRICE"),"--")</f>
        <v/>
      </c>
      <c r="Y90" s="23">
        <f>IFERROR(BDP(E90&amp;" Corp","YAS_YLD_SPREAD","YAS_BOND_PX="&amp;V90,"YAS_BNCHMRK_BOND_PX="&amp;X90),"--")</f>
        <v/>
      </c>
      <c r="Z90" s="23">
        <f>IFERROR(BDP(E90&amp;" Corp","BLOOMBERG_MID_G_SPREAD","YAS_BOND_PX="&amp;V90,"YAS_BNCHMRK_BOND_PX="&amp;X90),"--")</f>
        <v/>
      </c>
      <c r="AA90" s="23">
        <f>IFERROR(BDP(D90,"LAST_PRICE"),"--")</f>
        <v/>
      </c>
      <c r="AB90" s="24" t="n"/>
      <c r="AC90" s="23">
        <f>IFERROR(IF(ISBLANK(AB90),AA90,AB90),"--")</f>
        <v/>
      </c>
      <c r="AD90" s="23">
        <f>IFERROR(MAX(-500,MIN(500,AC90-Z90)),"--")</f>
        <v/>
      </c>
      <c r="AE90" s="25">
        <f>IFERROR((AD90-S90)/(T90-S90)*100,"--")</f>
        <v/>
      </c>
    </row>
    <row r="91">
      <c r="A91" s="11" t="inlineStr">
        <is>
          <t>PCG</t>
        </is>
      </c>
      <c r="B91" s="12" t="inlineStr">
        <is>
          <t>HY</t>
        </is>
      </c>
      <c r="C91" s="11" t="inlineStr">
        <is>
          <t>PCG 5 1/4 07/01/30</t>
        </is>
      </c>
      <c r="D91" s="12" t="inlineStr">
        <is>
          <t>PG&amp;E CDS USD SR 5Y D14 Corp</t>
        </is>
      </c>
      <c r="E91" s="12" t="inlineStr">
        <is>
          <t>US69331CAJ71</t>
        </is>
      </c>
      <c r="F91" s="13" t="n">
        <v>45659</v>
      </c>
      <c r="G91" s="13" t="n">
        <v>46225</v>
      </c>
      <c r="H91" s="13" t="n">
        <v>47837</v>
      </c>
      <c r="I91" s="14" t="n">
        <v>96.37480163574219</v>
      </c>
      <c r="J91" s="14" t="n">
        <v>103.7183990478516</v>
      </c>
      <c r="K91" s="14" t="n">
        <v>138.69</v>
      </c>
      <c r="L91" s="14" t="n">
        <v>141.879</v>
      </c>
      <c r="M91" s="15" t="n">
        <v>388</v>
      </c>
      <c r="N91" s="16" t="n">
        <v>-42.31519836425781</v>
      </c>
      <c r="O91" s="17" t="n">
        <v>-86.36569860839845</v>
      </c>
      <c r="P91" s="17" t="n">
        <v>17.36660485839843</v>
      </c>
      <c r="Q91" s="18" t="n">
        <v>42.46555679566156</v>
      </c>
      <c r="R91" s="17" t="n">
        <v>-34.97160095214844</v>
      </c>
      <c r="S91" s="17" t="n">
        <v>-82.1984012451172</v>
      </c>
      <c r="T91" s="17" t="n">
        <v>23.74920373535156</v>
      </c>
      <c r="U91" s="19" t="n">
        <v>44.57561858210475</v>
      </c>
      <c r="V91" s="20">
        <f>IFERROR(BDP(E91&amp;" Corp","LAST_PRICE"),"--")</f>
        <v/>
      </c>
      <c r="W91" s="21">
        <f>IFERROR(BDP(E91&amp;" Corp","YAS_BENCHMARK_BOND_ISIN"),"--")</f>
        <v/>
      </c>
      <c r="X91" s="22">
        <f>IFERROR(BDP(W91&amp;" CORP","LAST_PRICE"),"--")</f>
        <v/>
      </c>
      <c r="Y91" s="23">
        <f>IFERROR(BDP(E91&amp;" Corp","YAS_YLD_SPREAD","YAS_BOND_PX="&amp;V91,"YAS_BNCHMRK_BOND_PX="&amp;X91),"--")</f>
        <v/>
      </c>
      <c r="Z91" s="23">
        <f>IFERROR(BDP(E91&amp;" Corp","BLOOMBERG_MID_G_SPREAD","YAS_BOND_PX="&amp;V91,"YAS_BNCHMRK_BOND_PX="&amp;X91),"--")</f>
        <v/>
      </c>
      <c r="AA91" s="23">
        <f>IFERROR(BDP(D91,"LAST_PRICE"),"--")</f>
        <v/>
      </c>
      <c r="AB91" s="24" t="n"/>
      <c r="AC91" s="23">
        <f>IFERROR(IF(ISBLANK(AB91),AA91,AB91),"--")</f>
        <v/>
      </c>
      <c r="AD91" s="23">
        <f>IFERROR(MAX(-500,MIN(500,AC91-Z91)),"--")</f>
        <v/>
      </c>
      <c r="AE91" s="25">
        <f>IFERROR((AD91-S91)/(T91-S91)*100,"--")</f>
        <v/>
      </c>
    </row>
    <row r="92">
      <c r="A92" s="26" t="inlineStr">
        <is>
          <t>PFSI</t>
        </is>
      </c>
      <c r="B92" s="27" t="inlineStr">
        <is>
          <t>HY</t>
        </is>
      </c>
      <c r="C92" s="26" t="inlineStr">
        <is>
          <t>PFSI 7 1/8 11/15/30</t>
        </is>
      </c>
      <c r="D92" s="27" t="inlineStr">
        <is>
          <t>PFSI CDS USD SR 5Y D14 Corp</t>
        </is>
      </c>
      <c r="E92" s="27" t="inlineStr">
        <is>
          <t>US70932MAE75</t>
        </is>
      </c>
      <c r="F92" s="28" t="n">
        <v>46044</v>
      </c>
      <c r="G92" s="28" t="n">
        <v>46225</v>
      </c>
      <c r="H92" s="28" t="n">
        <v>47837</v>
      </c>
      <c r="I92" s="29" t="n">
        <v>163.3784027099609</v>
      </c>
      <c r="J92" s="29" t="n">
        <v>180.4888000488281</v>
      </c>
      <c r="K92" s="29" t="n">
        <v>228.871</v>
      </c>
      <c r="L92" s="29" t="n">
        <v>240.38</v>
      </c>
      <c r="M92" s="30" t="n">
        <v>126</v>
      </c>
      <c r="N92" s="31" t="n">
        <v>-65.49259729003907</v>
      </c>
      <c r="O92" s="32" t="n">
        <v>-153.5158039550781</v>
      </c>
      <c r="P92" s="32" t="n">
        <v>-59.94599353027343</v>
      </c>
      <c r="Q92" s="33" t="n">
        <v>94.07222934984671</v>
      </c>
      <c r="R92" s="32" t="n">
        <v>-48.38219995117188</v>
      </c>
      <c r="S92" s="32" t="n">
        <v>-139.3426929931641</v>
      </c>
      <c r="T92" s="32" t="n">
        <v>-42.55129443359374</v>
      </c>
      <c r="U92" s="34" t="n">
        <v>93.97580197791076</v>
      </c>
      <c r="V92" s="20">
        <f>IFERROR(BDP(E92&amp;" Corp","LAST_PRICE"),"--")</f>
        <v/>
      </c>
      <c r="W92" s="21">
        <f>IFERROR(BDP(E92&amp;" Corp","YAS_BENCHMARK_BOND_ISIN"),"--")</f>
        <v/>
      </c>
      <c r="X92" s="22">
        <f>IFERROR(BDP(W92&amp;" CORP","LAST_PRICE"),"--")</f>
        <v/>
      </c>
      <c r="Y92" s="23">
        <f>IFERROR(BDP(E92&amp;" Corp","YAS_YLD_SPREAD","YAS_BOND_PX="&amp;V92,"YAS_BNCHMRK_BOND_PX="&amp;X92),"--")</f>
        <v/>
      </c>
      <c r="Z92" s="23">
        <f>IFERROR(BDP(E92&amp;" Corp","BLOOMBERG_MID_G_SPREAD","YAS_BOND_PX="&amp;V92,"YAS_BNCHMRK_BOND_PX="&amp;X92),"--")</f>
        <v/>
      </c>
      <c r="AA92" s="23">
        <f>IFERROR(BDP(D92,"LAST_PRICE"),"--")</f>
        <v/>
      </c>
      <c r="AB92" s="24" t="n"/>
      <c r="AC92" s="23">
        <f>IFERROR(IF(ISBLANK(AB92),AA92,AB92),"--")</f>
        <v/>
      </c>
      <c r="AD92" s="23">
        <f>IFERROR(MAX(-500,MIN(500,AC92-Z92)),"--")</f>
        <v/>
      </c>
      <c r="AE92" s="25">
        <f>IFERROR((AD92-S92)/(T92-S92)*100,"--")</f>
        <v/>
      </c>
    </row>
    <row r="93">
      <c r="A93" s="11" t="inlineStr">
        <is>
          <t>POST</t>
        </is>
      </c>
      <c r="B93" s="12" t="inlineStr">
        <is>
          <t>HY</t>
        </is>
      </c>
      <c r="C93" s="11" t="inlineStr">
        <is>
          <t>POST 6 1/4 02/15/32</t>
        </is>
      </c>
      <c r="D93" s="12" t="inlineStr">
        <is>
          <t>POST CDS USD SR 5Y D14 Corp</t>
        </is>
      </c>
      <c r="E93" s="12" t="inlineStr">
        <is>
          <t>USU7318UAV45</t>
        </is>
      </c>
      <c r="F93" s="13" t="n">
        <v>45659</v>
      </c>
      <c r="G93" s="13" t="n">
        <v>46225</v>
      </c>
      <c r="H93" s="13" t="n">
        <v>48385</v>
      </c>
      <c r="I93" s="14" t="n">
        <v>178.8650054931641</v>
      </c>
      <c r="J93" s="14" t="n">
        <v>143.7230987548828</v>
      </c>
      <c r="K93" s="14" t="n">
        <v>154.414</v>
      </c>
      <c r="L93" s="14" t="n">
        <v>167.661</v>
      </c>
      <c r="M93" s="15" t="n">
        <v>386</v>
      </c>
      <c r="N93" s="16" t="n">
        <v>24.45100549316408</v>
      </c>
      <c r="O93" s="17" t="n">
        <v>-30.86489929199217</v>
      </c>
      <c r="P93" s="17" t="n">
        <v>46.76270629882814</v>
      </c>
      <c r="Q93" s="18" t="n">
        <v>71.25803296926308</v>
      </c>
      <c r="R93" s="17" t="n">
        <v>-10.69090124511717</v>
      </c>
      <c r="S93" s="17" t="n">
        <v>-56.49049438476561</v>
      </c>
      <c r="T93" s="17" t="n">
        <v>21.51569702148439</v>
      </c>
      <c r="U93" s="19" t="n">
        <v>58.71276665864615</v>
      </c>
      <c r="V93" s="20">
        <f>IFERROR(BDP(E93&amp;" Corp","LAST_PRICE"),"--")</f>
        <v/>
      </c>
      <c r="W93" s="21">
        <f>IFERROR(BDP(E93&amp;" Corp","YAS_BENCHMARK_BOND_ISIN"),"--")</f>
        <v/>
      </c>
      <c r="X93" s="22">
        <f>IFERROR(BDP(W93&amp;" CORP","LAST_PRICE"),"--")</f>
        <v/>
      </c>
      <c r="Y93" s="23">
        <f>IFERROR(BDP(E93&amp;" Corp","YAS_YLD_SPREAD","YAS_BOND_PX="&amp;V93,"YAS_BNCHMRK_BOND_PX="&amp;X93),"--")</f>
        <v/>
      </c>
      <c r="Z93" s="23">
        <f>IFERROR(BDP(E93&amp;" Corp","BLOOMBERG_MID_G_SPREAD","YAS_BOND_PX="&amp;V93,"YAS_BNCHMRK_BOND_PX="&amp;X93),"--")</f>
        <v/>
      </c>
      <c r="AA93" s="23">
        <f>IFERROR(BDP(D93,"LAST_PRICE"),"--")</f>
        <v/>
      </c>
      <c r="AB93" s="24" t="n"/>
      <c r="AC93" s="23">
        <f>IFERROR(IF(ISBLANK(AB93),AA93,AB93),"--")</f>
        <v/>
      </c>
      <c r="AD93" s="23">
        <f>IFERROR(MAX(-500,MIN(500,AC93-Z93)),"--")</f>
        <v/>
      </c>
      <c r="AE93" s="25">
        <f>IFERROR((AD93-S93)/(T93-S93)*100,"--")</f>
        <v/>
      </c>
    </row>
    <row r="94">
      <c r="A94" s="26" t="inlineStr">
        <is>
          <t>RGCARE</t>
        </is>
      </c>
      <c r="B94" s="27" t="inlineStr">
        <is>
          <t>HY</t>
        </is>
      </c>
      <c r="C94" s="26" t="inlineStr">
        <is>
          <t>RGCARE 10 06/01/32</t>
        </is>
      </c>
      <c r="D94" s="27" t="inlineStr">
        <is>
          <t>RGCARE CDS USD SR 5Y D14 Corp</t>
        </is>
      </c>
      <c r="E94" s="27" t="inlineStr">
        <is>
          <t>US53219LAX73</t>
        </is>
      </c>
      <c r="F94" s="28" t="n">
        <v>45659</v>
      </c>
      <c r="G94" s="28" t="n">
        <v>46225</v>
      </c>
      <c r="H94" s="28" t="n">
        <v>48385</v>
      </c>
      <c r="I94" s="29" t="n">
        <v>530.9196166992188</v>
      </c>
      <c r="J94" s="29" t="n">
        <v>484.3283081054688</v>
      </c>
      <c r="K94" s="29" t="n">
        <v>647.208</v>
      </c>
      <c r="L94" s="29" t="n">
        <v>655.61</v>
      </c>
      <c r="M94" s="30" t="n">
        <v>386</v>
      </c>
      <c r="N94" s="31" t="n">
        <v>-116.2883833007812</v>
      </c>
      <c r="O94" s="32" t="n">
        <v>-202.941087890625</v>
      </c>
      <c r="P94" s="32" t="n">
        <v>-3.172297363281245</v>
      </c>
      <c r="Q94" s="33" t="n">
        <v>43.3764975805783</v>
      </c>
      <c r="R94" s="32" t="n">
        <v>-162.8796918945312</v>
      </c>
      <c r="S94" s="32" t="n">
        <v>-249.4210073242187</v>
      </c>
      <c r="T94" s="32" t="n">
        <v>-43.9213818359375</v>
      </c>
      <c r="U94" s="34" t="n">
        <v>42.11263900070835</v>
      </c>
      <c r="V94" s="20">
        <f>IFERROR(BDP(E94&amp;" Corp","LAST_PRICE"),"--")</f>
        <v/>
      </c>
      <c r="W94" s="21">
        <f>IFERROR(BDP(E94&amp;" Corp","YAS_BENCHMARK_BOND_ISIN"),"--")</f>
        <v/>
      </c>
      <c r="X94" s="22">
        <f>IFERROR(BDP(W94&amp;" CORP","LAST_PRICE"),"--")</f>
        <v/>
      </c>
      <c r="Y94" s="23">
        <f>IFERROR(BDP(E94&amp;" Corp","YAS_YLD_SPREAD","YAS_BOND_PX="&amp;V94,"YAS_BNCHMRK_BOND_PX="&amp;X94),"--")</f>
        <v/>
      </c>
      <c r="Z94" s="23">
        <f>IFERROR(BDP(E94&amp;" Corp","BLOOMBERG_MID_G_SPREAD","YAS_BOND_PX="&amp;V94,"YAS_BNCHMRK_BOND_PX="&amp;X94),"--")</f>
        <v/>
      </c>
      <c r="AA94" s="23">
        <f>IFERROR(BDP(D94,"LAST_PRICE"),"--")</f>
        <v/>
      </c>
      <c r="AB94" s="24" t="n"/>
      <c r="AC94" s="23">
        <f>IFERROR(IF(ISBLANK(AB94),AA94,AB94),"--")</f>
        <v/>
      </c>
      <c r="AD94" s="23">
        <f>IFERROR(MAX(-500,MIN(500,AC94-Z94)),"--")</f>
        <v/>
      </c>
      <c r="AE94" s="25">
        <f>IFERROR((AD94-S94)/(T94-S94)*100,"--")</f>
        <v/>
      </c>
    </row>
    <row r="95">
      <c r="A95" s="11" t="inlineStr">
        <is>
          <t>RIG</t>
        </is>
      </c>
      <c r="B95" s="12" t="inlineStr">
        <is>
          <t>HY</t>
        </is>
      </c>
      <c r="C95" s="11" t="inlineStr">
        <is>
          <t>RIG 7 1/2 04/15/31</t>
        </is>
      </c>
      <c r="D95" s="12" t="inlineStr">
        <is>
          <t>RIGINC CDS USD SR 5Y D14 Corp</t>
        </is>
      </c>
      <c r="E95" s="12" t="inlineStr">
        <is>
          <t>US893830AF64</t>
        </is>
      </c>
      <c r="F95" s="13" t="n">
        <v>45659</v>
      </c>
      <c r="G95" s="13" t="n">
        <v>46225</v>
      </c>
      <c r="H95" s="13" t="n">
        <v>48019</v>
      </c>
      <c r="I95" s="14" t="n">
        <v>214.3323059082031</v>
      </c>
      <c r="J95" s="14" t="n">
        <v>214.3323059082031</v>
      </c>
      <c r="K95" s="14" t="n">
        <v>260.917</v>
      </c>
      <c r="L95" s="14" t="n">
        <v>256.269</v>
      </c>
      <c r="M95" s="15" t="n">
        <v>378</v>
      </c>
      <c r="N95" s="16" t="n">
        <v>-46.58469409179685</v>
      </c>
      <c r="O95" s="17" t="n">
        <v>-129.2331015625</v>
      </c>
      <c r="P95" s="17" t="n">
        <v>215.17709375</v>
      </c>
      <c r="Q95" s="18" t="n">
        <v>23.99708504439372</v>
      </c>
      <c r="R95" s="17" t="n">
        <v>-46.58469409179685</v>
      </c>
      <c r="S95" s="17" t="n">
        <v>-129.2331015625</v>
      </c>
      <c r="T95" s="17" t="n">
        <v>215.17709375</v>
      </c>
      <c r="U95" s="19" t="n">
        <v>23.99708504439372</v>
      </c>
      <c r="V95" s="20">
        <f>IFERROR(BDP(E95&amp;" Corp","LAST_PRICE"),"--")</f>
        <v/>
      </c>
      <c r="W95" s="21">
        <f>IFERROR(BDP(E95&amp;" Corp","YAS_BENCHMARK_BOND_ISIN"),"--")</f>
        <v/>
      </c>
      <c r="X95" s="22">
        <f>IFERROR(BDP(W95&amp;" CORP","LAST_PRICE"),"--")</f>
        <v/>
      </c>
      <c r="Y95" s="23">
        <f>IFERROR(BDP(E95&amp;" Corp","YAS_YLD_SPREAD","YAS_BOND_PX="&amp;V95,"YAS_BNCHMRK_BOND_PX="&amp;X95),"--")</f>
        <v/>
      </c>
      <c r="Z95" s="23">
        <f>IFERROR(BDP(E95&amp;" Corp","BLOOMBERG_MID_G_SPREAD","YAS_BOND_PX="&amp;V95,"YAS_BNCHMRK_BOND_PX="&amp;X95),"--")</f>
        <v/>
      </c>
      <c r="AA95" s="23">
        <f>IFERROR(BDP(D95,"LAST_PRICE"),"--")</f>
        <v/>
      </c>
      <c r="AB95" s="24" t="n"/>
      <c r="AC95" s="23">
        <f>IFERROR(IF(ISBLANK(AB95),AA95,AB95),"--")</f>
        <v/>
      </c>
      <c r="AD95" s="23">
        <f>IFERROR(MAX(-500,MIN(500,AC95-Z95)),"--")</f>
        <v/>
      </c>
      <c r="AE95" s="25">
        <f>IFERROR((AD95-S95)/(T95-S95)*100,"--")</f>
        <v/>
      </c>
    </row>
    <row r="96">
      <c r="A96" s="26" t="inlineStr">
        <is>
          <t>RRD</t>
        </is>
      </c>
      <c r="B96" s="27" t="inlineStr">
        <is>
          <t>HY</t>
        </is>
      </c>
      <c r="C96" s="26" t="inlineStr">
        <is>
          <t>RRD 11 06/01/31</t>
        </is>
      </c>
      <c r="D96" s="27" t="inlineStr">
        <is>
          <t>RRD CDS USD SR 5Y D14 Corp</t>
        </is>
      </c>
      <c r="E96" s="27" t="inlineStr">
        <is>
          <t>US257867BL44</t>
        </is>
      </c>
      <c r="F96" s="28" t="n">
        <v>46163</v>
      </c>
      <c r="G96" s="28" t="n">
        <v>46225</v>
      </c>
      <c r="H96" s="28" t="n">
        <v>48019</v>
      </c>
      <c r="I96" s="29" t="n">
        <v>549.6828002929688</v>
      </c>
      <c r="J96" s="29" t="n">
        <v>549.6828002929688</v>
      </c>
      <c r="K96" s="29" t="n">
        <v>750.855</v>
      </c>
      <c r="L96" s="29" t="n">
        <v>758.333</v>
      </c>
      <c r="M96" s="30" t="n">
        <v>42</v>
      </c>
      <c r="N96" s="31" t="n">
        <v>-201.1721997070313</v>
      </c>
      <c r="O96" s="32" t="n">
        <v>-251.8552856445312</v>
      </c>
      <c r="P96" s="32" t="n">
        <v>-155.4047934570312</v>
      </c>
      <c r="Q96" s="33" t="n">
        <v>52.54829165513426</v>
      </c>
      <c r="R96" s="32" t="n">
        <v>-201.1721997070313</v>
      </c>
      <c r="S96" s="32" t="n">
        <v>-251.8552856445312</v>
      </c>
      <c r="T96" s="32" t="n">
        <v>-155.4047934570312</v>
      </c>
      <c r="U96" s="34" t="n">
        <v>52.54829165513426</v>
      </c>
      <c r="V96" s="20">
        <f>IFERROR(BDP(E96&amp;" Corp","LAST_PRICE"),"--")</f>
        <v/>
      </c>
      <c r="W96" s="21">
        <f>IFERROR(BDP(E96&amp;" Corp","YAS_BENCHMARK_BOND_ISIN"),"--")</f>
        <v/>
      </c>
      <c r="X96" s="22">
        <f>IFERROR(BDP(W96&amp;" CORP","LAST_PRICE"),"--")</f>
        <v/>
      </c>
      <c r="Y96" s="23">
        <f>IFERROR(BDP(E96&amp;" Corp","YAS_YLD_SPREAD","YAS_BOND_PX="&amp;V96,"YAS_BNCHMRK_BOND_PX="&amp;X96),"--")</f>
        <v/>
      </c>
      <c r="Z96" s="23">
        <f>IFERROR(BDP(E96&amp;" Corp","BLOOMBERG_MID_G_SPREAD","YAS_BOND_PX="&amp;V96,"YAS_BNCHMRK_BOND_PX="&amp;X96),"--")</f>
        <v/>
      </c>
      <c r="AA96" s="23">
        <f>IFERROR(BDP(D96,"LAST_PRICE"),"--")</f>
        <v/>
      </c>
      <c r="AB96" s="24" t="n"/>
      <c r="AC96" s="23">
        <f>IFERROR(IF(ISBLANK(AB96),AA96,AB96),"--")</f>
        <v/>
      </c>
      <c r="AD96" s="23">
        <f>IFERROR(MAX(-500,MIN(500,AC96-Z96)),"--")</f>
        <v/>
      </c>
      <c r="AE96" s="25">
        <f>IFERROR((AD96-S96)/(T96-S96)*100,"--")</f>
        <v/>
      </c>
    </row>
    <row r="97">
      <c r="A97" s="11" t="inlineStr">
        <is>
          <t>SABHLD</t>
        </is>
      </c>
      <c r="B97" s="12" t="inlineStr">
        <is>
          <t>HY</t>
        </is>
      </c>
      <c r="C97" s="11" t="inlineStr">
        <is>
          <t>SABHLD 11 1/8 07/15/30</t>
        </is>
      </c>
      <c r="D97" s="12" t="inlineStr">
        <is>
          <t>SABHLD CDS USD SR 5Y D14 Corp</t>
        </is>
      </c>
      <c r="E97" s="12" t="inlineStr">
        <is>
          <t>US78573NAM48</t>
        </is>
      </c>
      <c r="F97" s="13" t="n">
        <v>45798</v>
      </c>
      <c r="G97" s="13" t="n">
        <v>46225</v>
      </c>
      <c r="H97" s="13" t="n">
        <v>47837</v>
      </c>
      <c r="I97" s="14" t="n">
        <v>994.0880737304688</v>
      </c>
      <c r="J97" s="14" t="n">
        <v>990.2396850585938</v>
      </c>
      <c r="K97" s="14" t="n">
        <v>879.544</v>
      </c>
      <c r="L97" s="14" t="n">
        <v>932.478</v>
      </c>
      <c r="M97" s="15" t="n">
        <v>285</v>
      </c>
      <c r="N97" s="16" t="n">
        <v>114.5440737304688</v>
      </c>
      <c r="O97" s="17" t="n">
        <v>-212.3619472656251</v>
      </c>
      <c r="P97" s="17" t="n">
        <v>455.5565244140626</v>
      </c>
      <c r="Q97" s="18" t="n">
        <v>48.94400063139256</v>
      </c>
      <c r="R97" s="17" t="n">
        <v>110.6956850585938</v>
      </c>
      <c r="S97" s="17" t="n">
        <v>-195.4792568359376</v>
      </c>
      <c r="T97" s="17" t="n">
        <v>464.6535703125001</v>
      </c>
      <c r="U97" s="19" t="n">
        <v>46.38080842261837</v>
      </c>
      <c r="V97" s="20">
        <f>IFERROR(BDP(E97&amp;" Corp","LAST_PRICE"),"--")</f>
        <v/>
      </c>
      <c r="W97" s="21">
        <f>IFERROR(BDP(E97&amp;" Corp","YAS_BENCHMARK_BOND_ISIN"),"--")</f>
        <v/>
      </c>
      <c r="X97" s="22">
        <f>IFERROR(BDP(W97&amp;" CORP","LAST_PRICE"),"--")</f>
        <v/>
      </c>
      <c r="Y97" s="23">
        <f>IFERROR(BDP(E97&amp;" Corp","YAS_YLD_SPREAD","YAS_BOND_PX="&amp;V97,"YAS_BNCHMRK_BOND_PX="&amp;X97),"--")</f>
        <v/>
      </c>
      <c r="Z97" s="23">
        <f>IFERROR(BDP(E97&amp;" Corp","BLOOMBERG_MID_G_SPREAD","YAS_BOND_PX="&amp;V97,"YAS_BNCHMRK_BOND_PX="&amp;X97),"--")</f>
        <v/>
      </c>
      <c r="AA97" s="23">
        <f>IFERROR(BDP(D97,"LAST_PRICE"),"--")</f>
        <v/>
      </c>
      <c r="AB97" s="24" t="n"/>
      <c r="AC97" s="23">
        <f>IFERROR(IF(ISBLANK(AB97),AA97,AB97),"--")</f>
        <v/>
      </c>
      <c r="AD97" s="23">
        <f>IFERROR(MAX(-500,MIN(500,AC97-Z97)),"--")</f>
        <v/>
      </c>
      <c r="AE97" s="25">
        <f>IFERROR((AD97-S97)/(T97-S97)*100,"--")</f>
        <v/>
      </c>
    </row>
    <row r="98">
      <c r="A98" s="26" t="inlineStr">
        <is>
          <t>SEE</t>
        </is>
      </c>
      <c r="B98" s="27" t="inlineStr">
        <is>
          <t>HY</t>
        </is>
      </c>
      <c r="C98" s="26" t="inlineStr">
        <is>
          <t>SEE 6 7/8 07/15/33</t>
        </is>
      </c>
      <c r="D98" s="27" t="inlineStr">
        <is>
          <t>SEE CDS USD SR 5Y D14 Corp</t>
        </is>
      </c>
      <c r="E98" s="27" t="inlineStr">
        <is>
          <t>US81211KAK60</t>
        </is>
      </c>
      <c r="F98" s="28" t="n">
        <v>45659</v>
      </c>
      <c r="G98" s="28" t="n">
        <v>46225</v>
      </c>
      <c r="H98" s="28" t="n">
        <v>48933</v>
      </c>
      <c r="I98" s="29" t="n">
        <v>249.4691925048828</v>
      </c>
      <c r="J98" s="29" t="n">
        <v>194.8632965087891</v>
      </c>
      <c r="K98" s="29" t="n">
        <v>268.347</v>
      </c>
      <c r="L98" s="29" t="n">
        <v>272.733</v>
      </c>
      <c r="M98" s="30" t="n">
        <v>388</v>
      </c>
      <c r="N98" s="31" t="n">
        <v>-18.87780749511717</v>
      </c>
      <c r="O98" s="32" t="n">
        <v>-35.12810070800782</v>
      </c>
      <c r="P98" s="32" t="n">
        <v>210.0888083496094</v>
      </c>
      <c r="Q98" s="33" t="n">
        <v>6.626905654810458</v>
      </c>
      <c r="R98" s="32" t="n">
        <v>-73.48370349121092</v>
      </c>
      <c r="S98" s="32" t="n">
        <v>-73.48370349121092</v>
      </c>
      <c r="T98" s="32" t="n">
        <v>161.2416098632812</v>
      </c>
      <c r="U98" s="34" t="n">
        <v>0</v>
      </c>
      <c r="V98" s="20">
        <f>IFERROR(BDP(E98&amp;" Corp","LAST_PRICE"),"--")</f>
        <v/>
      </c>
      <c r="W98" s="21">
        <f>IFERROR(BDP(E98&amp;" Corp","YAS_BENCHMARK_BOND_ISIN"),"--")</f>
        <v/>
      </c>
      <c r="X98" s="22">
        <f>IFERROR(BDP(W98&amp;" CORP","LAST_PRICE"),"--")</f>
        <v/>
      </c>
      <c r="Y98" s="23">
        <f>IFERROR(BDP(E98&amp;" Corp","YAS_YLD_SPREAD","YAS_BOND_PX="&amp;V98,"YAS_BNCHMRK_BOND_PX="&amp;X98),"--")</f>
        <v/>
      </c>
      <c r="Z98" s="23">
        <f>IFERROR(BDP(E98&amp;" Corp","BLOOMBERG_MID_G_SPREAD","YAS_BOND_PX="&amp;V98,"YAS_BNCHMRK_BOND_PX="&amp;X98),"--")</f>
        <v/>
      </c>
      <c r="AA98" s="23">
        <f>IFERROR(BDP(D98,"LAST_PRICE"),"--")</f>
        <v/>
      </c>
      <c r="AB98" s="24" t="n"/>
      <c r="AC98" s="23">
        <f>IFERROR(IF(ISBLANK(AB98),AA98,AB98),"--")</f>
        <v/>
      </c>
      <c r="AD98" s="23">
        <f>IFERROR(MAX(-500,MIN(500,AC98-Z98)),"--")</f>
        <v/>
      </c>
      <c r="AE98" s="25">
        <f>IFERROR((AD98-S98)/(T98-S98)*100,"--")</f>
        <v/>
      </c>
    </row>
    <row r="99">
      <c r="A99" s="11" t="inlineStr">
        <is>
          <t>SIRI</t>
        </is>
      </c>
      <c r="B99" s="12" t="inlineStr">
        <is>
          <t>HY</t>
        </is>
      </c>
      <c r="C99" s="11" t="inlineStr">
        <is>
          <t>SIRI 3 7/8 09/01/31</t>
        </is>
      </c>
      <c r="D99" s="12" t="inlineStr">
        <is>
          <t>SIRI CDS USD SR 5Y D14 Corp</t>
        </is>
      </c>
      <c r="E99" s="12" t="inlineStr">
        <is>
          <t>US82967NBM92</t>
        </is>
      </c>
      <c r="F99" s="13" t="n">
        <v>45659</v>
      </c>
      <c r="G99" s="13" t="n">
        <v>46225</v>
      </c>
      <c r="H99" s="13" t="n">
        <v>48202</v>
      </c>
      <c r="I99" s="14" t="n">
        <v>174.0335998535156</v>
      </c>
      <c r="J99" s="14" t="n">
        <v>149.8045043945312</v>
      </c>
      <c r="K99" s="14" t="n">
        <v>160.63</v>
      </c>
      <c r="L99" s="14" t="n">
        <v>171.806</v>
      </c>
      <c r="M99" s="15" t="n">
        <v>383</v>
      </c>
      <c r="N99" s="16" t="n">
        <v>13.40359985351563</v>
      </c>
      <c r="O99" s="17" t="n">
        <v>-17.19600146484376</v>
      </c>
      <c r="P99" s="17" t="n">
        <v>65.47930285644532</v>
      </c>
      <c r="Q99" s="18" t="n">
        <v>37.01177947824007</v>
      </c>
      <c r="R99" s="17" t="n">
        <v>-10.82549560546875</v>
      </c>
      <c r="S99" s="17" t="n">
        <v>-23.90150683593751</v>
      </c>
      <c r="T99" s="17" t="n">
        <v>40.45729492187499</v>
      </c>
      <c r="U99" s="19" t="n">
        <v>20.31736277451976</v>
      </c>
      <c r="V99" s="20">
        <f>IFERROR(BDP(E99&amp;" Corp","LAST_PRICE"),"--")</f>
        <v/>
      </c>
      <c r="W99" s="21">
        <f>IFERROR(BDP(E99&amp;" Corp","YAS_BENCHMARK_BOND_ISIN"),"--")</f>
        <v/>
      </c>
      <c r="X99" s="22">
        <f>IFERROR(BDP(W99&amp;" CORP","LAST_PRICE"),"--")</f>
        <v/>
      </c>
      <c r="Y99" s="23">
        <f>IFERROR(BDP(E99&amp;" Corp","YAS_YLD_SPREAD","YAS_BOND_PX="&amp;V99,"YAS_BNCHMRK_BOND_PX="&amp;X99),"--")</f>
        <v/>
      </c>
      <c r="Z99" s="23">
        <f>IFERROR(BDP(E99&amp;" Corp","BLOOMBERG_MID_G_SPREAD","YAS_BOND_PX="&amp;V99,"YAS_BNCHMRK_BOND_PX="&amp;X99),"--")</f>
        <v/>
      </c>
      <c r="AA99" s="23">
        <f>IFERROR(BDP(D99,"LAST_PRICE"),"--")</f>
        <v/>
      </c>
      <c r="AB99" s="24" t="n"/>
      <c r="AC99" s="23">
        <f>IFERROR(IF(ISBLANK(AB99),AA99,AB99),"--")</f>
        <v/>
      </c>
      <c r="AD99" s="23">
        <f>IFERROR(MAX(-500,MIN(500,AC99-Z99)),"--")</f>
        <v/>
      </c>
      <c r="AE99" s="25">
        <f>IFERROR((AD99-S99)/(T99-S99)*100,"--")</f>
        <v/>
      </c>
    </row>
    <row r="100">
      <c r="A100" s="26" t="inlineStr">
        <is>
          <t>SM</t>
        </is>
      </c>
      <c r="B100" s="27" t="inlineStr">
        <is>
          <t>HY</t>
        </is>
      </c>
      <c r="C100" s="26" t="inlineStr">
        <is>
          <t>SM 7 08/01/32</t>
        </is>
      </c>
      <c r="D100" s="27" t="inlineStr">
        <is>
          <t>CZ061015 Curncy</t>
        </is>
      </c>
      <c r="E100" s="27" t="inlineStr">
        <is>
          <t>US78454LAY65</t>
        </is>
      </c>
      <c r="F100" s="28" t="n">
        <v>46070</v>
      </c>
      <c r="G100" s="28" t="n">
        <v>46225</v>
      </c>
      <c r="H100" s="28" t="n">
        <v>48568</v>
      </c>
      <c r="I100" s="29" t="n">
        <v>173.8988952636719</v>
      </c>
      <c r="J100" s="29" t="n">
        <v>150</v>
      </c>
      <c r="K100" s="29" t="n">
        <v>202.537</v>
      </c>
      <c r="L100" s="29" t="n">
        <v>208.304</v>
      </c>
      <c r="M100" s="30" t="n">
        <v>109</v>
      </c>
      <c r="N100" s="31" t="n">
        <v>-28.63810473632813</v>
      </c>
      <c r="O100" s="32" t="n">
        <v>-91.02569604492186</v>
      </c>
      <c r="P100" s="32" t="n">
        <v>-13.07249377441406</v>
      </c>
      <c r="Q100" s="33" t="n">
        <v>80.03210835662739</v>
      </c>
      <c r="R100" s="32" t="n">
        <v>-52.53700000000001</v>
      </c>
      <c r="S100" s="32" t="n">
        <v>-114.5104067382812</v>
      </c>
      <c r="T100" s="32" t="n">
        <v>-38.67050097656249</v>
      </c>
      <c r="U100" s="34" t="n">
        <v>81.71609143739624</v>
      </c>
      <c r="V100" s="20">
        <f>IFERROR(BDP(E100&amp;" Corp","LAST_PRICE"),"--")</f>
        <v/>
      </c>
      <c r="W100" s="21">
        <f>IFERROR(BDP(E100&amp;" Corp","YAS_BENCHMARK_BOND_ISIN"),"--")</f>
        <v/>
      </c>
      <c r="X100" s="22">
        <f>IFERROR(BDP(W100&amp;" CORP","LAST_PRICE"),"--")</f>
        <v/>
      </c>
      <c r="Y100" s="23">
        <f>IFERROR(BDP(E100&amp;" Corp","YAS_YLD_SPREAD","YAS_BOND_PX="&amp;V100,"YAS_BNCHMRK_BOND_PX="&amp;X100),"--")</f>
        <v/>
      </c>
      <c r="Z100" s="23">
        <f>IFERROR(BDP(E100&amp;" Corp","BLOOMBERG_MID_G_SPREAD","YAS_BOND_PX="&amp;V100,"YAS_BNCHMRK_BOND_PX="&amp;X100),"--")</f>
        <v/>
      </c>
      <c r="AA100" s="23">
        <f>IFERROR(BDP(D100,"LAST_PRICE"),"--")</f>
        <v/>
      </c>
      <c r="AB100" s="24" t="n"/>
      <c r="AC100" s="23">
        <f>IFERROR(IF(ISBLANK(AB100),AA100,AB100),"--")</f>
        <v/>
      </c>
      <c r="AD100" s="23">
        <f>IFERROR(MAX(-500,MIN(500,AC100-Z100)),"--")</f>
        <v/>
      </c>
      <c r="AE100" s="25">
        <f>IFERROR((AD100-S100)/(T100-S100)*100,"--")</f>
        <v/>
      </c>
    </row>
    <row r="101">
      <c r="A101" s="11" t="inlineStr">
        <is>
          <t>SPLS</t>
        </is>
      </c>
      <c r="B101" s="12" t="inlineStr">
        <is>
          <t>HY</t>
        </is>
      </c>
      <c r="C101" s="11" t="inlineStr">
        <is>
          <t>SPLS 12 3/4 01/15/30</t>
        </is>
      </c>
      <c r="D101" s="12" t="inlineStr">
        <is>
          <t>SPLS CDS USD SR 5Y D14 Corp</t>
        </is>
      </c>
      <c r="E101" s="12" t="inlineStr">
        <is>
          <t>US855030AS17</t>
        </is>
      </c>
      <c r="F101" s="13" t="n">
        <v>45659</v>
      </c>
      <c r="G101" s="13" t="n">
        <v>46225</v>
      </c>
      <c r="H101" s="13" t="n">
        <v>47654</v>
      </c>
      <c r="I101" s="14" t="n">
        <v>1765.555053710938</v>
      </c>
      <c r="J101" s="14" t="n">
        <v>1841.932495117188</v>
      </c>
      <c r="K101" s="14" t="n">
        <v>1751.47</v>
      </c>
      <c r="L101" s="14" t="n">
        <v>1752.09</v>
      </c>
      <c r="M101" s="15" t="n">
        <v>389</v>
      </c>
      <c r="N101" s="16" t="n">
        <v>14.08505371093747</v>
      </c>
      <c r="O101" s="17" t="n">
        <v>-448.4674208984375</v>
      </c>
      <c r="P101" s="17" t="n">
        <v>1907.89045703125</v>
      </c>
      <c r="Q101" s="18" t="n">
        <v>19.62997552034739</v>
      </c>
      <c r="R101" s="17" t="n">
        <v>90.46249511718747</v>
      </c>
      <c r="S101" s="17" t="n">
        <v>-180.11024609375</v>
      </c>
      <c r="T101" s="17" t="n">
        <v>1837.35858984375</v>
      </c>
      <c r="U101" s="19" t="n">
        <v>13.41149545366854</v>
      </c>
      <c r="V101" s="20">
        <f>IFERROR(BDP(E101&amp;" Corp","LAST_PRICE"),"--")</f>
        <v/>
      </c>
      <c r="W101" s="21">
        <f>IFERROR(BDP(E101&amp;" Corp","YAS_BENCHMARK_BOND_ISIN"),"--")</f>
        <v/>
      </c>
      <c r="X101" s="22">
        <f>IFERROR(BDP(W101&amp;" CORP","LAST_PRICE"),"--")</f>
        <v/>
      </c>
      <c r="Y101" s="23">
        <f>IFERROR(BDP(E101&amp;" Corp","YAS_YLD_SPREAD","YAS_BOND_PX="&amp;V101,"YAS_BNCHMRK_BOND_PX="&amp;X101),"--")</f>
        <v/>
      </c>
      <c r="Z101" s="23">
        <f>IFERROR(BDP(E101&amp;" Corp","BLOOMBERG_MID_G_SPREAD","YAS_BOND_PX="&amp;V101,"YAS_BNCHMRK_BOND_PX="&amp;X101),"--")</f>
        <v/>
      </c>
      <c r="AA101" s="23">
        <f>IFERROR(BDP(D101,"LAST_PRICE"),"--")</f>
        <v/>
      </c>
      <c r="AB101" s="24" t="n"/>
      <c r="AC101" s="23">
        <f>IFERROR(IF(ISBLANK(AB101),AA101,AB101),"--")</f>
        <v/>
      </c>
      <c r="AD101" s="23">
        <f>IFERROR(MAX(-500,MIN(500,AC101-Z101)),"--")</f>
        <v/>
      </c>
      <c r="AE101" s="25">
        <f>IFERROR((AD101-S101)/(T101-S101)*100,"--")</f>
        <v/>
      </c>
    </row>
    <row r="102">
      <c r="A102" s="26" t="inlineStr">
        <is>
          <t>SVC</t>
        </is>
      </c>
      <c r="B102" s="27" t="inlineStr">
        <is>
          <t>HY</t>
        </is>
      </c>
      <c r="C102" s="26" t="inlineStr">
        <is>
          <t>SVC 4 3/8 02/15/30</t>
        </is>
      </c>
      <c r="D102" s="27" t="inlineStr">
        <is>
          <t>HPT CDS USD SR 5Y D14 Corp</t>
        </is>
      </c>
      <c r="E102" s="27" t="inlineStr">
        <is>
          <t>US44106MAY84</t>
        </is>
      </c>
      <c r="F102" s="28" t="n">
        <v>45659</v>
      </c>
      <c r="G102" s="28" t="n">
        <v>46225</v>
      </c>
      <c r="H102" s="28" t="n">
        <v>47654</v>
      </c>
      <c r="I102" s="29" t="n">
        <v>291.8171081542969</v>
      </c>
      <c r="J102" s="29" t="n">
        <v>341.8398132324219</v>
      </c>
      <c r="K102" s="29" t="n">
        <v>299.825</v>
      </c>
      <c r="L102" s="29" t="n">
        <v>299.745</v>
      </c>
      <c r="M102" s="30" t="n">
        <v>389</v>
      </c>
      <c r="N102" s="31" t="n">
        <v>-8.007891845703114</v>
      </c>
      <c r="O102" s="32" t="n">
        <v>-126.287</v>
      </c>
      <c r="P102" s="32" t="n">
        <v>119.1637951660156</v>
      </c>
      <c r="Q102" s="33" t="n">
        <v>48.18852107376406</v>
      </c>
      <c r="R102" s="32" t="n">
        <v>42.01481323242189</v>
      </c>
      <c r="S102" s="32" t="n">
        <v>-96.06940966796878</v>
      </c>
      <c r="T102" s="32" t="n">
        <v>192.9719921875</v>
      </c>
      <c r="U102" s="34" t="n">
        <v>47.7731639875722</v>
      </c>
      <c r="V102" s="20">
        <f>IFERROR(BDP(E102&amp;" Corp","LAST_PRICE"),"--")</f>
        <v/>
      </c>
      <c r="W102" s="21">
        <f>IFERROR(BDP(E102&amp;" Corp","YAS_BENCHMARK_BOND_ISIN"),"--")</f>
        <v/>
      </c>
      <c r="X102" s="22">
        <f>IFERROR(BDP(W102&amp;" CORP","LAST_PRICE"),"--")</f>
        <v/>
      </c>
      <c r="Y102" s="23">
        <f>IFERROR(BDP(E102&amp;" Corp","YAS_YLD_SPREAD","YAS_BOND_PX="&amp;V102,"YAS_BNCHMRK_BOND_PX="&amp;X102),"--")</f>
        <v/>
      </c>
      <c r="Z102" s="23">
        <f>IFERROR(BDP(E102&amp;" Corp","BLOOMBERG_MID_G_SPREAD","YAS_BOND_PX="&amp;V102,"YAS_BNCHMRK_BOND_PX="&amp;X102),"--")</f>
        <v/>
      </c>
      <c r="AA102" s="23">
        <f>IFERROR(BDP(D102,"LAST_PRICE"),"--")</f>
        <v/>
      </c>
      <c r="AB102" s="24" t="n"/>
      <c r="AC102" s="23">
        <f>IFERROR(IF(ISBLANK(AB102),AA102,AB102),"--")</f>
        <v/>
      </c>
      <c r="AD102" s="23">
        <f>IFERROR(MAX(-500,MIN(500,AC102-Z102)),"--")</f>
        <v/>
      </c>
      <c r="AE102" s="25">
        <f>IFERROR((AD102-S102)/(T102-S102)*100,"--")</f>
        <v/>
      </c>
    </row>
    <row r="103">
      <c r="A103" s="11" t="inlineStr">
        <is>
          <t>SWY</t>
        </is>
      </c>
      <c r="B103" s="12" t="inlineStr">
        <is>
          <t>HY</t>
        </is>
      </c>
      <c r="C103" s="11" t="inlineStr">
        <is>
          <t>SWY 7 1/4 02/01/31</t>
        </is>
      </c>
      <c r="D103" s="12" t="inlineStr">
        <is>
          <t>SWY CDS USD SR 5Y D14 Corp</t>
        </is>
      </c>
      <c r="E103" s="12" t="inlineStr">
        <is>
          <t>US786514BA67</t>
        </is>
      </c>
      <c r="F103" s="13" t="n">
        <v>45659</v>
      </c>
      <c r="G103" s="13" t="n">
        <v>46225</v>
      </c>
      <c r="H103" s="13" t="n">
        <v>48019</v>
      </c>
      <c r="I103" s="14" t="n">
        <v>116.9928970336914</v>
      </c>
      <c r="J103" s="14" t="n">
        <v>116.9928970336914</v>
      </c>
      <c r="K103" s="14" t="n">
        <v>134.478</v>
      </c>
      <c r="L103" s="14" t="n">
        <v>152.683</v>
      </c>
      <c r="M103" s="15" t="n">
        <v>389</v>
      </c>
      <c r="N103" s="16" t="n">
        <v>-17.4851029663086</v>
      </c>
      <c r="O103" s="17" t="n">
        <v>-206.4378973388672</v>
      </c>
      <c r="P103" s="17" t="n">
        <v>-9.986699462890613</v>
      </c>
      <c r="Q103" s="18" t="n">
        <v>96.18307061270663</v>
      </c>
      <c r="R103" s="17" t="n">
        <v>-17.4851029663086</v>
      </c>
      <c r="S103" s="17" t="n">
        <v>-206.4378973388672</v>
      </c>
      <c r="T103" s="17" t="n">
        <v>-9.986699462890613</v>
      </c>
      <c r="U103" s="19" t="n">
        <v>96.18307061270663</v>
      </c>
      <c r="V103" s="20">
        <f>IFERROR(BDP(E103&amp;" Corp","LAST_PRICE"),"--")</f>
        <v/>
      </c>
      <c r="W103" s="21">
        <f>IFERROR(BDP(E103&amp;" Corp","YAS_BENCHMARK_BOND_ISIN"),"--")</f>
        <v/>
      </c>
      <c r="X103" s="22">
        <f>IFERROR(BDP(W103&amp;" CORP","LAST_PRICE"),"--")</f>
        <v/>
      </c>
      <c r="Y103" s="23">
        <f>IFERROR(BDP(E103&amp;" Corp","YAS_YLD_SPREAD","YAS_BOND_PX="&amp;V103,"YAS_BNCHMRK_BOND_PX="&amp;X103),"--")</f>
        <v/>
      </c>
      <c r="Z103" s="23">
        <f>IFERROR(BDP(E103&amp;" Corp","BLOOMBERG_MID_G_SPREAD","YAS_BOND_PX="&amp;V103,"YAS_BNCHMRK_BOND_PX="&amp;X103),"--")</f>
        <v/>
      </c>
      <c r="AA103" s="23">
        <f>IFERROR(BDP(D103,"LAST_PRICE"),"--")</f>
        <v/>
      </c>
      <c r="AB103" s="24" t="n"/>
      <c r="AC103" s="23">
        <f>IFERROR(IF(ISBLANK(AB103),AA103,AB103),"--")</f>
        <v/>
      </c>
      <c r="AD103" s="23">
        <f>IFERROR(MAX(-500,MIN(500,AC103-Z103)),"--")</f>
        <v/>
      </c>
      <c r="AE103" s="25">
        <f>IFERROR((AD103-S103)/(T103-S103)*100,"--")</f>
        <v/>
      </c>
    </row>
    <row r="104">
      <c r="A104" s="26" t="inlineStr">
        <is>
          <t>TDG</t>
        </is>
      </c>
      <c r="B104" s="27" t="inlineStr">
        <is>
          <t>HY</t>
        </is>
      </c>
      <c r="C104" s="26" t="inlineStr">
        <is>
          <t>TDG 6 3/8 05/31/33</t>
        </is>
      </c>
      <c r="D104" s="27" t="inlineStr">
        <is>
          <t>TDG CDS USD SUB 5Y D14 Corp</t>
        </is>
      </c>
      <c r="E104" s="27" t="inlineStr">
        <is>
          <t>US893647BY22</t>
        </is>
      </c>
      <c r="F104" s="28" t="n">
        <v>45791</v>
      </c>
      <c r="G104" s="28" t="n">
        <v>46225</v>
      </c>
      <c r="H104" s="28" t="n">
        <v>48750</v>
      </c>
      <c r="I104" s="29" t="n">
        <v>124.3150024414062</v>
      </c>
      <c r="J104" s="29" t="n">
        <v>98.38089752197266</v>
      </c>
      <c r="K104" s="29" t="n">
        <v>188.319</v>
      </c>
      <c r="L104" s="29" t="n">
        <v>193.041</v>
      </c>
      <c r="M104" s="30" t="n">
        <v>290</v>
      </c>
      <c r="N104" s="31" t="n">
        <v>-64.00399755859374</v>
      </c>
      <c r="O104" s="32" t="n">
        <v>-125.9372968139648</v>
      </c>
      <c r="P104" s="32" t="n">
        <v>-42.74370349121094</v>
      </c>
      <c r="Q104" s="33" t="n">
        <v>74.44479410223047</v>
      </c>
      <c r="R104" s="32" t="n">
        <v>-89.93810247802733</v>
      </c>
      <c r="S104" s="32" t="n">
        <v>-142.4498013916016</v>
      </c>
      <c r="T104" s="32" t="n">
        <v>-66.67839587402344</v>
      </c>
      <c r="U104" s="34" t="n">
        <v>69.30279114512678</v>
      </c>
      <c r="V104" s="20">
        <f>IFERROR(BDP(E104&amp;" Corp","LAST_PRICE"),"--")</f>
        <v/>
      </c>
      <c r="W104" s="21">
        <f>IFERROR(BDP(E104&amp;" Corp","YAS_BENCHMARK_BOND_ISIN"),"--")</f>
        <v/>
      </c>
      <c r="X104" s="22">
        <f>IFERROR(BDP(W104&amp;" CORP","LAST_PRICE"),"--")</f>
        <v/>
      </c>
      <c r="Y104" s="23">
        <f>IFERROR(BDP(E104&amp;" Corp","YAS_YLD_SPREAD","YAS_BOND_PX="&amp;V104,"YAS_BNCHMRK_BOND_PX="&amp;X104),"--")</f>
        <v/>
      </c>
      <c r="Z104" s="23">
        <f>IFERROR(BDP(E104&amp;" Corp","BLOOMBERG_MID_G_SPREAD","YAS_BOND_PX="&amp;V104,"YAS_BNCHMRK_BOND_PX="&amp;X104),"--")</f>
        <v/>
      </c>
      <c r="AA104" s="23">
        <f>IFERROR(BDP(D104,"LAST_PRICE"),"--")</f>
        <v/>
      </c>
      <c r="AB104" s="24" t="n"/>
      <c r="AC104" s="23">
        <f>IFERROR(IF(ISBLANK(AB104),AA104,AB104),"--")</f>
        <v/>
      </c>
      <c r="AD104" s="23">
        <f>IFERROR(MAX(-500,MIN(500,AC104-Z104)),"--")</f>
        <v/>
      </c>
      <c r="AE104" s="25">
        <f>IFERROR((AD104-S104)/(T104-S104)*100,"--")</f>
        <v/>
      </c>
    </row>
    <row r="105">
      <c r="A105" s="11" t="inlineStr">
        <is>
          <t>TEVA</t>
        </is>
      </c>
      <c r="B105" s="12" t="inlineStr">
        <is>
          <t>HY</t>
        </is>
      </c>
      <c r="C105" s="11" t="inlineStr">
        <is>
          <t>TEVA 6 12/01/32</t>
        </is>
      </c>
      <c r="D105" s="12" t="inlineStr">
        <is>
          <t>TEVVF CDS USD SR 5Y D14 Corp</t>
        </is>
      </c>
      <c r="E105" s="12" t="inlineStr">
        <is>
          <t>US88167AAT88</t>
        </is>
      </c>
      <c r="F105" s="13" t="n">
        <v>45797</v>
      </c>
      <c r="G105" s="13" t="n">
        <v>46225</v>
      </c>
      <c r="H105" s="13" t="n">
        <v>48568</v>
      </c>
      <c r="I105" s="14" t="n">
        <v>87.62380218505859</v>
      </c>
      <c r="J105" s="14" t="n">
        <v>70.64219665527344</v>
      </c>
      <c r="K105" s="14" t="n">
        <v>95.373</v>
      </c>
      <c r="L105" s="14" t="n">
        <v>104.729</v>
      </c>
      <c r="M105" s="15" t="n">
        <v>294</v>
      </c>
      <c r="N105" s="16" t="n">
        <v>-7.749197814941411</v>
      </c>
      <c r="O105" s="17" t="n">
        <v>-51.00690270996094</v>
      </c>
      <c r="P105" s="17" t="n">
        <v>0.8993001708984423</v>
      </c>
      <c r="Q105" s="18" t="n">
        <v>83.33821873718868</v>
      </c>
      <c r="R105" s="17" t="n">
        <v>-24.73080334472657</v>
      </c>
      <c r="S105" s="17" t="n">
        <v>-62.19520379638672</v>
      </c>
      <c r="T105" s="17" t="n">
        <v>-17.69149725341796</v>
      </c>
      <c r="U105" s="19" t="n">
        <v>84.18265210221966</v>
      </c>
      <c r="V105" s="20">
        <f>IFERROR(BDP(E105&amp;" Corp","LAST_PRICE"),"--")</f>
        <v/>
      </c>
      <c r="W105" s="21">
        <f>IFERROR(BDP(E105&amp;" Corp","YAS_BENCHMARK_BOND_ISIN"),"--")</f>
        <v/>
      </c>
      <c r="X105" s="22">
        <f>IFERROR(BDP(W105&amp;" CORP","LAST_PRICE"),"--")</f>
        <v/>
      </c>
      <c r="Y105" s="23">
        <f>IFERROR(BDP(E105&amp;" Corp","YAS_YLD_SPREAD","YAS_BOND_PX="&amp;V105,"YAS_BNCHMRK_BOND_PX="&amp;X105),"--")</f>
        <v/>
      </c>
      <c r="Z105" s="23">
        <f>IFERROR(BDP(E105&amp;" Corp","BLOOMBERG_MID_G_SPREAD","YAS_BOND_PX="&amp;V105,"YAS_BNCHMRK_BOND_PX="&amp;X105),"--")</f>
        <v/>
      </c>
      <c r="AA105" s="23">
        <f>IFERROR(BDP(D105,"LAST_PRICE"),"--")</f>
        <v/>
      </c>
      <c r="AB105" s="24" t="n"/>
      <c r="AC105" s="23">
        <f>IFERROR(IF(ISBLANK(AB105),AA105,AB105),"--")</f>
        <v/>
      </c>
      <c r="AD105" s="23">
        <f>IFERROR(MAX(-500,MIN(500,AC105-Z105)),"--")</f>
        <v/>
      </c>
      <c r="AE105" s="25">
        <f>IFERROR((AD105-S105)/(T105-S105)*100,"--")</f>
        <v/>
      </c>
    </row>
    <row r="106">
      <c r="A106" s="26" t="inlineStr">
        <is>
          <t>THC</t>
        </is>
      </c>
      <c r="B106" s="27" t="inlineStr">
        <is>
          <t>HY</t>
        </is>
      </c>
      <c r="C106" s="26" t="inlineStr">
        <is>
          <t>THC 6 11/15/33</t>
        </is>
      </c>
      <c r="D106" s="27" t="inlineStr">
        <is>
          <t>THC CDS USD SR 5Y D14 Corp</t>
        </is>
      </c>
      <c r="E106" s="27" t="inlineStr">
        <is>
          <t>USU88030BP28</t>
        </is>
      </c>
      <c r="F106" s="28" t="n">
        <v>45965</v>
      </c>
      <c r="G106" s="28" t="n">
        <v>46225</v>
      </c>
      <c r="H106" s="28" t="n">
        <v>48933</v>
      </c>
      <c r="I106" s="29" t="n">
        <v>159.4579010009766</v>
      </c>
      <c r="J106" s="29" t="n">
        <v>108.4999008178711</v>
      </c>
      <c r="K106" s="29" t="n">
        <v>151.894</v>
      </c>
      <c r="L106" s="29" t="n">
        <v>153.322</v>
      </c>
      <c r="M106" s="30" t="n">
        <v>178</v>
      </c>
      <c r="N106" s="31" t="n">
        <v>7.563901000976557</v>
      </c>
      <c r="O106" s="32" t="n">
        <v>-60.59580505371093</v>
      </c>
      <c r="P106" s="32" t="n">
        <v>18.2568018798828</v>
      </c>
      <c r="Q106" s="33" t="n">
        <v>86.43938191173395</v>
      </c>
      <c r="R106" s="32" t="n">
        <v>-43.39409918212891</v>
      </c>
      <c r="S106" s="32" t="n">
        <v>-97.7289990234375</v>
      </c>
      <c r="T106" s="32" t="n">
        <v>-28.79599908447267</v>
      </c>
      <c r="U106" s="34" t="n">
        <v>78.82276977560558</v>
      </c>
      <c r="V106" s="20">
        <f>IFERROR(BDP(E106&amp;" Corp","LAST_PRICE"),"--")</f>
        <v/>
      </c>
      <c r="W106" s="21">
        <f>IFERROR(BDP(E106&amp;" Corp","YAS_BENCHMARK_BOND_ISIN"),"--")</f>
        <v/>
      </c>
      <c r="X106" s="22">
        <f>IFERROR(BDP(W106&amp;" CORP","LAST_PRICE"),"--")</f>
        <v/>
      </c>
      <c r="Y106" s="23">
        <f>IFERROR(BDP(E106&amp;" Corp","YAS_YLD_SPREAD","YAS_BOND_PX="&amp;V106,"YAS_BNCHMRK_BOND_PX="&amp;X106),"--")</f>
        <v/>
      </c>
      <c r="Z106" s="23">
        <f>IFERROR(BDP(E106&amp;" Corp","BLOOMBERG_MID_G_SPREAD","YAS_BOND_PX="&amp;V106,"YAS_BNCHMRK_BOND_PX="&amp;X106),"--")</f>
        <v/>
      </c>
      <c r="AA106" s="23">
        <f>IFERROR(BDP(D106,"LAST_PRICE"),"--")</f>
        <v/>
      </c>
      <c r="AB106" s="24" t="n"/>
      <c r="AC106" s="23">
        <f>IFERROR(IF(ISBLANK(AB106),AA106,AB106),"--")</f>
        <v/>
      </c>
      <c r="AD106" s="23">
        <f>IFERROR(MAX(-500,MIN(500,AC106-Z106)),"--")</f>
        <v/>
      </c>
      <c r="AE106" s="25">
        <f>IFERROR((AD106-S106)/(T106-S106)*100,"--")</f>
        <v/>
      </c>
    </row>
    <row r="107">
      <c r="A107" s="11" t="inlineStr">
        <is>
          <t>TIBX</t>
        </is>
      </c>
      <c r="B107" s="12" t="inlineStr">
        <is>
          <t>HY</t>
        </is>
      </c>
      <c r="C107" s="11" t="inlineStr">
        <is>
          <t>TIBX 9 09/30/29</t>
        </is>
      </c>
      <c r="D107" s="12" t="inlineStr">
        <is>
          <t>TIBX CDS USD SR 5Y D14 Corp</t>
        </is>
      </c>
      <c r="E107" s="12" t="inlineStr">
        <is>
          <t>USU18898AA16</t>
        </is>
      </c>
      <c r="F107" s="13" t="n">
        <v>45659</v>
      </c>
      <c r="G107" s="13" t="n">
        <v>46225</v>
      </c>
      <c r="H107" s="13" t="n">
        <v>47472</v>
      </c>
      <c r="I107" s="14" t="n">
        <v>392.7586975097656</v>
      </c>
      <c r="J107" s="14" t="n">
        <v>519.5390014648438</v>
      </c>
      <c r="K107" s="14" t="n">
        <v>569.551</v>
      </c>
      <c r="L107" s="14" t="n">
        <v>539.487</v>
      </c>
      <c r="M107" s="15" t="n">
        <v>389</v>
      </c>
      <c r="N107" s="16" t="n">
        <v>-176.7923024902344</v>
      </c>
      <c r="O107" s="17" t="n">
        <v>-255.721296875</v>
      </c>
      <c r="P107" s="17" t="n">
        <v>-37.60381494140626</v>
      </c>
      <c r="Q107" s="18" t="n">
        <v>36.18645955613758</v>
      </c>
      <c r="R107" s="17" t="n">
        <v>-50.01199853515629</v>
      </c>
      <c r="S107" s="17" t="n">
        <v>-192.8658850097656</v>
      </c>
      <c r="T107" s="17" t="n">
        <v>71.17281494140627</v>
      </c>
      <c r="U107" s="19" t="n">
        <v>54.10338957926508</v>
      </c>
      <c r="V107" s="20">
        <f>IFERROR(BDP(E107&amp;" Corp","LAST_PRICE"),"--")</f>
        <v/>
      </c>
      <c r="W107" s="21">
        <f>IFERROR(BDP(E107&amp;" Corp","YAS_BENCHMARK_BOND_ISIN"),"--")</f>
        <v/>
      </c>
      <c r="X107" s="22">
        <f>IFERROR(BDP(W107&amp;" CORP","LAST_PRICE"),"--")</f>
        <v/>
      </c>
      <c r="Y107" s="23">
        <f>IFERROR(BDP(E107&amp;" Corp","YAS_YLD_SPREAD","YAS_BOND_PX="&amp;V107,"YAS_BNCHMRK_BOND_PX="&amp;X107),"--")</f>
        <v/>
      </c>
      <c r="Z107" s="23">
        <f>IFERROR(BDP(E107&amp;" Corp","BLOOMBERG_MID_G_SPREAD","YAS_BOND_PX="&amp;V107,"YAS_BNCHMRK_BOND_PX="&amp;X107),"--")</f>
        <v/>
      </c>
      <c r="AA107" s="23">
        <f>IFERROR(BDP(D107,"LAST_PRICE"),"--")</f>
        <v/>
      </c>
      <c r="AB107" s="24" t="n"/>
      <c r="AC107" s="23">
        <f>IFERROR(IF(ISBLANK(AB107),AA107,AB107),"--")</f>
        <v/>
      </c>
      <c r="AD107" s="23">
        <f>IFERROR(MAX(-500,MIN(500,AC107-Z107)),"--")</f>
        <v/>
      </c>
      <c r="AE107" s="25">
        <f>IFERROR((AD107-S107)/(T107-S107)*100,"--")</f>
        <v/>
      </c>
    </row>
    <row r="108">
      <c r="A108" s="26" t="inlineStr">
        <is>
          <t>UAL</t>
        </is>
      </c>
      <c r="B108" s="27" t="inlineStr">
        <is>
          <t>HY</t>
        </is>
      </c>
      <c r="C108" s="26" t="inlineStr">
        <is>
          <t>UAL 5 3/8 03/01/31</t>
        </is>
      </c>
      <c r="D108" s="27" t="inlineStr">
        <is>
          <t>UAUA CDS USD SR 5Y D14 Corp</t>
        </is>
      </c>
      <c r="E108" s="27" t="inlineStr">
        <is>
          <t>US910047AL34</t>
        </is>
      </c>
      <c r="F108" s="28" t="n">
        <v>46050</v>
      </c>
      <c r="G108" s="28" t="n">
        <v>46225</v>
      </c>
      <c r="H108" s="28" t="n">
        <v>48019</v>
      </c>
      <c r="I108" s="29" t="n">
        <v>156.3527984619141</v>
      </c>
      <c r="J108" s="29" t="n">
        <v>156.3527984619141</v>
      </c>
      <c r="K108" s="29" t="n">
        <v>128.584</v>
      </c>
      <c r="L108" s="29" t="n">
        <v>136.383</v>
      </c>
      <c r="M108" s="30" t="n">
        <v>122</v>
      </c>
      <c r="N108" s="31" t="n">
        <v>27.76879846191406</v>
      </c>
      <c r="O108" s="32" t="n">
        <v>1.999196166992192</v>
      </c>
      <c r="P108" s="32" t="n">
        <v>64.78449572753905</v>
      </c>
      <c r="Q108" s="33" t="n">
        <v>41.044006280596</v>
      </c>
      <c r="R108" s="32" t="n">
        <v>27.76879846191406</v>
      </c>
      <c r="S108" s="32" t="n">
        <v>1.999196166992192</v>
      </c>
      <c r="T108" s="32" t="n">
        <v>64.78449572753905</v>
      </c>
      <c r="U108" s="34" t="n">
        <v>41.044006280596</v>
      </c>
      <c r="V108" s="20">
        <f>IFERROR(BDP(E108&amp;" Corp","LAST_PRICE"),"--")</f>
        <v/>
      </c>
      <c r="W108" s="21">
        <f>IFERROR(BDP(E108&amp;" Corp","YAS_BENCHMARK_BOND_ISIN"),"--")</f>
        <v/>
      </c>
      <c r="X108" s="22">
        <f>IFERROR(BDP(W108&amp;" CORP","LAST_PRICE"),"--")</f>
        <v/>
      </c>
      <c r="Y108" s="23">
        <f>IFERROR(BDP(E108&amp;" Corp","YAS_YLD_SPREAD","YAS_BOND_PX="&amp;V108,"YAS_BNCHMRK_BOND_PX="&amp;X108),"--")</f>
        <v/>
      </c>
      <c r="Z108" s="23">
        <f>IFERROR(BDP(E108&amp;" Corp","BLOOMBERG_MID_G_SPREAD","YAS_BOND_PX="&amp;V108,"YAS_BNCHMRK_BOND_PX="&amp;X108),"--")</f>
        <v/>
      </c>
      <c r="AA108" s="23">
        <f>IFERROR(BDP(D108,"LAST_PRICE"),"--")</f>
        <v/>
      </c>
      <c r="AB108" s="24" t="n"/>
      <c r="AC108" s="23">
        <f>IFERROR(IF(ISBLANK(AB108),AA108,AB108),"--")</f>
        <v/>
      </c>
      <c r="AD108" s="23">
        <f>IFERROR(MAX(-500,MIN(500,AC108-Z108)),"--")</f>
        <v/>
      </c>
      <c r="AE108" s="25">
        <f>IFERROR((AD108-S108)/(T108-S108)*100,"--")</f>
        <v/>
      </c>
    </row>
    <row r="109">
      <c r="A109" s="11" t="inlineStr">
        <is>
          <t>UFS</t>
        </is>
      </c>
      <c r="B109" s="12" t="inlineStr">
        <is>
          <t>HY</t>
        </is>
      </c>
      <c r="C109" s="11" t="inlineStr">
        <is>
          <t>UFS 6 3/4 10/01/28</t>
        </is>
      </c>
      <c r="D109" s="12" t="inlineStr">
        <is>
          <t>UFS CDS USD SR 5Y D14 Corp</t>
        </is>
      </c>
      <c r="E109" s="12" t="inlineStr">
        <is>
          <t>USU7051JAA61</t>
        </is>
      </c>
      <c r="F109" s="13" t="n">
        <v>45659</v>
      </c>
      <c r="G109" s="13" t="n">
        <v>46225</v>
      </c>
      <c r="H109" s="13" t="n">
        <v>47107</v>
      </c>
      <c r="I109" s="14" t="n">
        <v>4211.47216796875</v>
      </c>
      <c r="J109" s="14" t="n">
        <v>12503.4013671875</v>
      </c>
      <c r="K109" s="14" t="n">
        <v>2101.066</v>
      </c>
      <c r="L109" s="14" t="n">
        <v>2148.381</v>
      </c>
      <c r="M109" s="15" t="n">
        <v>389</v>
      </c>
      <c r="N109" s="16" t="n">
        <v>2110.40616796875</v>
      </c>
      <c r="O109" s="17" t="n">
        <v>-251.3532016601563</v>
      </c>
      <c r="P109" s="17" t="n">
        <v>2734.6856875</v>
      </c>
      <c r="Q109" s="18" t="n">
        <v>79.09338951352932</v>
      </c>
      <c r="R109" s="17" t="n">
        <v>10402.3353671875</v>
      </c>
      <c r="S109" s="17" t="n">
        <v>-190.4716098632813</v>
      </c>
      <c r="T109" s="17" t="n">
        <v>10402.3353671875</v>
      </c>
      <c r="U109" s="19" t="n">
        <v>100</v>
      </c>
      <c r="V109" s="20">
        <f>IFERROR(BDP(E109&amp;" Corp","LAST_PRICE"),"--")</f>
        <v/>
      </c>
      <c r="W109" s="21">
        <f>IFERROR(BDP(E109&amp;" Corp","YAS_BENCHMARK_BOND_ISIN"),"--")</f>
        <v/>
      </c>
      <c r="X109" s="22">
        <f>IFERROR(BDP(W109&amp;" CORP","LAST_PRICE"),"--")</f>
        <v/>
      </c>
      <c r="Y109" s="23">
        <f>IFERROR(BDP(E109&amp;" Corp","YAS_YLD_SPREAD","YAS_BOND_PX="&amp;V109,"YAS_BNCHMRK_BOND_PX="&amp;X109),"--")</f>
        <v/>
      </c>
      <c r="Z109" s="23">
        <f>IFERROR(BDP(E109&amp;" Corp","BLOOMBERG_MID_G_SPREAD","YAS_BOND_PX="&amp;V109,"YAS_BNCHMRK_BOND_PX="&amp;X109),"--")</f>
        <v/>
      </c>
      <c r="AA109" s="23">
        <f>IFERROR(BDP(D109,"LAST_PRICE"),"--")</f>
        <v/>
      </c>
      <c r="AB109" s="24" t="n"/>
      <c r="AC109" s="23">
        <f>IFERROR(IF(ISBLANK(AB109),AA109,AB109),"--")</f>
        <v/>
      </c>
      <c r="AD109" s="23">
        <f>IFERROR(MAX(-500,MIN(500,AC109-Z109)),"--")</f>
        <v/>
      </c>
      <c r="AE109" s="25">
        <f>IFERROR((AD109-S109)/(T109-S109)*100,"--")</f>
        <v/>
      </c>
    </row>
    <row r="110">
      <c r="A110" s="26" t="inlineStr">
        <is>
          <t>UHS</t>
        </is>
      </c>
      <c r="B110" s="27" t="inlineStr">
        <is>
          <t>HY</t>
        </is>
      </c>
      <c r="C110" s="26" t="inlineStr">
        <is>
          <t>UHS 5.05 10/15/34</t>
        </is>
      </c>
      <c r="D110" s="27" t="inlineStr">
        <is>
          <t>UHS CDS USD SR 5Y D14 Corp</t>
        </is>
      </c>
      <c r="E110" s="27" t="inlineStr">
        <is>
          <t>US913903BC31</t>
        </is>
      </c>
      <c r="F110" s="28" t="n">
        <v>45659</v>
      </c>
      <c r="G110" s="28" t="n">
        <v>46225</v>
      </c>
      <c r="H110" s="28" t="n">
        <v>49298</v>
      </c>
      <c r="I110" s="29" t="n">
        <v>107.0155029296875</v>
      </c>
      <c r="J110" s="29" t="n">
        <v>73.91670227050781</v>
      </c>
      <c r="K110" s="29" t="n">
        <v>133.426</v>
      </c>
      <c r="L110" s="29" t="n">
        <v>126.863</v>
      </c>
      <c r="M110" s="30" t="n">
        <v>388</v>
      </c>
      <c r="N110" s="31" t="n">
        <v>-26.41049707031249</v>
      </c>
      <c r="O110" s="32" t="n">
        <v>-68.95530261230468</v>
      </c>
      <c r="P110" s="32" t="n">
        <v>-14.89909692382813</v>
      </c>
      <c r="Q110" s="33" t="n">
        <v>78.70475739117904</v>
      </c>
      <c r="R110" s="32" t="n">
        <v>-59.50929772949218</v>
      </c>
      <c r="S110" s="32" t="n">
        <v>-88.35820330810546</v>
      </c>
      <c r="T110" s="32" t="n">
        <v>-50.03360064697264</v>
      </c>
      <c r="U110" s="34" t="n">
        <v>75.2751589721519</v>
      </c>
      <c r="V110" s="20">
        <f>IFERROR(BDP(E110&amp;" Corp","LAST_PRICE"),"--")</f>
        <v/>
      </c>
      <c r="W110" s="21">
        <f>IFERROR(BDP(E110&amp;" Corp","YAS_BENCHMARK_BOND_ISIN"),"--")</f>
        <v/>
      </c>
      <c r="X110" s="22">
        <f>IFERROR(BDP(W110&amp;" CORP","LAST_PRICE"),"--")</f>
        <v/>
      </c>
      <c r="Y110" s="23">
        <f>IFERROR(BDP(E110&amp;" Corp","YAS_YLD_SPREAD","YAS_BOND_PX="&amp;V110,"YAS_BNCHMRK_BOND_PX="&amp;X110),"--")</f>
        <v/>
      </c>
      <c r="Z110" s="23">
        <f>IFERROR(BDP(E110&amp;" Corp","BLOOMBERG_MID_G_SPREAD","YAS_BOND_PX="&amp;V110,"YAS_BNCHMRK_BOND_PX="&amp;X110),"--")</f>
        <v/>
      </c>
      <c r="AA110" s="23">
        <f>IFERROR(BDP(D110,"LAST_PRICE"),"--")</f>
        <v/>
      </c>
      <c r="AB110" s="24" t="n"/>
      <c r="AC110" s="23">
        <f>IFERROR(IF(ISBLANK(AB110),AA110,AB110),"--")</f>
        <v/>
      </c>
      <c r="AD110" s="23">
        <f>IFERROR(MAX(-500,MIN(500,AC110-Z110)),"--")</f>
        <v/>
      </c>
      <c r="AE110" s="25">
        <f>IFERROR((AD110-S110)/(T110-S110)*100,"--")</f>
        <v/>
      </c>
    </row>
    <row r="111">
      <c r="A111" s="11" t="inlineStr">
        <is>
          <t>UIS</t>
        </is>
      </c>
      <c r="B111" s="12" t="inlineStr">
        <is>
          <t>HY</t>
        </is>
      </c>
      <c r="C111" s="11" t="inlineStr">
        <is>
          <t>UIS 10 5/8 01/15/31</t>
        </is>
      </c>
      <c r="D111" s="12" t="inlineStr">
        <is>
          <t>UIS CDS USD SR 5Y D14 Corp</t>
        </is>
      </c>
      <c r="E111" s="12" t="inlineStr">
        <is>
          <t>US909214BX53</t>
        </is>
      </c>
      <c r="F111" s="13" t="n">
        <v>45824</v>
      </c>
      <c r="G111" s="13" t="n">
        <v>46225</v>
      </c>
      <c r="H111" s="13" t="n">
        <v>48019</v>
      </c>
      <c r="I111" s="14" t="n">
        <v>634.8084106445312</v>
      </c>
      <c r="J111" s="14" t="n">
        <v>634.8084106445312</v>
      </c>
      <c r="K111" s="14" t="n">
        <v>772.603</v>
      </c>
      <c r="L111" s="14" t="n">
        <v>801.208</v>
      </c>
      <c r="M111" s="15" t="n">
        <v>276</v>
      </c>
      <c r="N111" s="16" t="n">
        <v>-137.7945893554687</v>
      </c>
      <c r="O111" s="17" t="n">
        <v>-271.0241938476563</v>
      </c>
      <c r="P111" s="17" t="n">
        <v>163.8555114746094</v>
      </c>
      <c r="Q111" s="18" t="n">
        <v>30.63596734031504</v>
      </c>
      <c r="R111" s="17" t="n">
        <v>-137.7945893554687</v>
      </c>
      <c r="S111" s="17" t="n">
        <v>-271.0241938476563</v>
      </c>
      <c r="T111" s="17" t="n">
        <v>163.8555114746094</v>
      </c>
      <c r="U111" s="19" t="n">
        <v>30.63596734031504</v>
      </c>
      <c r="V111" s="20">
        <f>IFERROR(BDP(E111&amp;" Corp","LAST_PRICE"),"--")</f>
        <v/>
      </c>
      <c r="W111" s="21">
        <f>IFERROR(BDP(E111&amp;" Corp","YAS_BENCHMARK_BOND_ISIN"),"--")</f>
        <v/>
      </c>
      <c r="X111" s="22">
        <f>IFERROR(BDP(W111&amp;" CORP","LAST_PRICE"),"--")</f>
        <v/>
      </c>
      <c r="Y111" s="23">
        <f>IFERROR(BDP(E111&amp;" Corp","YAS_YLD_SPREAD","YAS_BOND_PX="&amp;V111,"YAS_BNCHMRK_BOND_PX="&amp;X111),"--")</f>
        <v/>
      </c>
      <c r="Z111" s="23">
        <f>IFERROR(BDP(E111&amp;" Corp","BLOOMBERG_MID_G_SPREAD","YAS_BOND_PX="&amp;V111,"YAS_BNCHMRK_BOND_PX="&amp;X111),"--")</f>
        <v/>
      </c>
      <c r="AA111" s="23">
        <f>IFERROR(BDP(D111,"LAST_PRICE"),"--")</f>
        <v/>
      </c>
      <c r="AB111" s="24" t="n"/>
      <c r="AC111" s="23">
        <f>IFERROR(IF(ISBLANK(AB111),AA111,AB111),"--")</f>
        <v/>
      </c>
      <c r="AD111" s="23">
        <f>IFERROR(MAX(-500,MIN(500,AC111-Z111)),"--")</f>
        <v/>
      </c>
      <c r="AE111" s="25">
        <f>IFERROR((AD111-S111)/(T111-S111)*100,"--")</f>
        <v/>
      </c>
    </row>
    <row r="112">
      <c r="A112" s="26" t="inlineStr">
        <is>
          <t>UNIT</t>
        </is>
      </c>
      <c r="B112" s="27" t="inlineStr">
        <is>
          <t>HY</t>
        </is>
      </c>
      <c r="C112" s="26" t="inlineStr">
        <is>
          <t>UNIT 8 5/8 06/15/32</t>
        </is>
      </c>
      <c r="D112" s="27" t="inlineStr">
        <is>
          <t>CZ060998 Curncy</t>
        </is>
      </c>
      <c r="E112" s="27" t="inlineStr">
        <is>
          <t>USU91493AB94</t>
        </is>
      </c>
      <c r="F112" s="28" t="n">
        <v>46044</v>
      </c>
      <c r="G112" s="28" t="n">
        <v>46225</v>
      </c>
      <c r="H112" s="28" t="n">
        <v>48385</v>
      </c>
      <c r="I112" s="29" t="n">
        <v>65.65730285644531</v>
      </c>
      <c r="J112" s="29" t="n">
        <v>60.04349899291992</v>
      </c>
      <c r="K112" s="29" t="n">
        <v>308.659</v>
      </c>
      <c r="L112" s="29" t="n">
        <v>308.214</v>
      </c>
      <c r="M112" s="30" t="n">
        <v>119</v>
      </c>
      <c r="N112" s="31" t="n">
        <v>-243.0016971435547</v>
      </c>
      <c r="O112" s="32" t="n">
        <v>-248.5088024902344</v>
      </c>
      <c r="P112" s="32" t="n">
        <v>-77.56740551757815</v>
      </c>
      <c r="Q112" s="33" t="n">
        <v>3.221633521317599</v>
      </c>
      <c r="R112" s="32" t="n">
        <v>-248.6155010070801</v>
      </c>
      <c r="S112" s="32" t="n">
        <v>-257.0382992248535</v>
      </c>
      <c r="T112" s="32" t="n">
        <v>-94.8203962402344</v>
      </c>
      <c r="U112" s="34" t="n">
        <v>5.192274134237862</v>
      </c>
      <c r="V112" s="20">
        <f>IFERROR(BDP(E112&amp;" Corp","LAST_PRICE"),"--")</f>
        <v/>
      </c>
      <c r="W112" s="21">
        <f>IFERROR(BDP(E112&amp;" Corp","YAS_BENCHMARK_BOND_ISIN"),"--")</f>
        <v/>
      </c>
      <c r="X112" s="22">
        <f>IFERROR(BDP(W112&amp;" CORP","LAST_PRICE"),"--")</f>
        <v/>
      </c>
      <c r="Y112" s="23">
        <f>IFERROR(BDP(E112&amp;" Corp","YAS_YLD_SPREAD","YAS_BOND_PX="&amp;V112,"YAS_BNCHMRK_BOND_PX="&amp;X112),"--")</f>
        <v/>
      </c>
      <c r="Z112" s="23">
        <f>IFERROR(BDP(E112&amp;" Corp","BLOOMBERG_MID_G_SPREAD","YAS_BOND_PX="&amp;V112,"YAS_BNCHMRK_BOND_PX="&amp;X112),"--")</f>
        <v/>
      </c>
      <c r="AA112" s="23">
        <f>IFERROR(BDP(D112,"LAST_PRICE"),"--")</f>
        <v/>
      </c>
      <c r="AB112" s="24" t="n"/>
      <c r="AC112" s="23">
        <f>IFERROR(IF(ISBLANK(AB112),AA112,AB112),"--")</f>
        <v/>
      </c>
      <c r="AD112" s="23">
        <f>IFERROR(MAX(-500,MIN(500,AC112-Z112)),"--")</f>
        <v/>
      </c>
      <c r="AE112" s="25">
        <f>IFERROR((AD112-S112)/(T112-S112)*100,"--")</f>
        <v/>
      </c>
    </row>
    <row r="113">
      <c r="A113" s="11" t="inlineStr">
        <is>
          <t>URI</t>
        </is>
      </c>
      <c r="B113" s="12" t="inlineStr">
        <is>
          <t>HY</t>
        </is>
      </c>
      <c r="C113" s="11" t="inlineStr">
        <is>
          <t>URI 5 3/8 11/15/33</t>
        </is>
      </c>
      <c r="D113" s="12" t="inlineStr">
        <is>
          <t>URI CDS USD SR 5Y D14 Corp</t>
        </is>
      </c>
      <c r="E113" s="12" t="inlineStr">
        <is>
          <t>US911365BS20</t>
        </is>
      </c>
      <c r="F113" s="13" t="n">
        <v>45986</v>
      </c>
      <c r="G113" s="13" t="n">
        <v>46225</v>
      </c>
      <c r="H113" s="13" t="n">
        <v>48933</v>
      </c>
      <c r="I113" s="14" t="n">
        <v>100.2680969238281</v>
      </c>
      <c r="J113" s="14" t="n">
        <v>73.10440063476562</v>
      </c>
      <c r="K113" s="14" t="n">
        <v>122.354</v>
      </c>
      <c r="L113" s="14" t="n">
        <v>109.417</v>
      </c>
      <c r="M113" s="15" t="n">
        <v>165</v>
      </c>
      <c r="N113" s="16" t="n">
        <v>-22.08590307617187</v>
      </c>
      <c r="O113" s="17" t="n">
        <v>-73.95780017089845</v>
      </c>
      <c r="P113" s="17" t="n">
        <v>-18.32249932861328</v>
      </c>
      <c r="Q113" s="18" t="n">
        <v>93.23558300111095</v>
      </c>
      <c r="R113" s="17" t="n">
        <v>-49.24959936523437</v>
      </c>
      <c r="S113" s="17" t="n">
        <v>-95.65500048828125</v>
      </c>
      <c r="T113" s="17" t="n">
        <v>-45.36539880371093</v>
      </c>
      <c r="U113" s="19" t="n">
        <v>92.27633460712977</v>
      </c>
      <c r="V113" s="20">
        <f>IFERROR(BDP(E113&amp;" Corp","LAST_PRICE"),"--")</f>
        <v/>
      </c>
      <c r="W113" s="21">
        <f>IFERROR(BDP(E113&amp;" Corp","YAS_BENCHMARK_BOND_ISIN"),"--")</f>
        <v/>
      </c>
      <c r="X113" s="22">
        <f>IFERROR(BDP(W113&amp;" CORP","LAST_PRICE"),"--")</f>
        <v/>
      </c>
      <c r="Y113" s="23">
        <f>IFERROR(BDP(E113&amp;" Corp","YAS_YLD_SPREAD","YAS_BOND_PX="&amp;V113,"YAS_BNCHMRK_BOND_PX="&amp;X113),"--")</f>
        <v/>
      </c>
      <c r="Z113" s="23">
        <f>IFERROR(BDP(E113&amp;" Corp","BLOOMBERG_MID_G_SPREAD","YAS_BOND_PX="&amp;V113,"YAS_BNCHMRK_BOND_PX="&amp;X113),"--")</f>
        <v/>
      </c>
      <c r="AA113" s="23">
        <f>IFERROR(BDP(D113,"LAST_PRICE"),"--")</f>
        <v/>
      </c>
      <c r="AB113" s="24" t="n"/>
      <c r="AC113" s="23">
        <f>IFERROR(IF(ISBLANK(AB113),AA113,AB113),"--")</f>
        <v/>
      </c>
      <c r="AD113" s="23">
        <f>IFERROR(MAX(-500,MIN(500,AC113-Z113)),"--")</f>
        <v/>
      </c>
      <c r="AE113" s="25">
        <f>IFERROR((AD113-S113)/(T113-S113)*100,"--")</f>
        <v/>
      </c>
    </row>
    <row r="114">
      <c r="A114" s="26" t="inlineStr">
        <is>
          <t>UVN</t>
        </is>
      </c>
      <c r="B114" s="27" t="inlineStr">
        <is>
          <t>HY</t>
        </is>
      </c>
      <c r="C114" s="26" t="inlineStr">
        <is>
          <t>UVN 8 1/2 07/31/31</t>
        </is>
      </c>
      <c r="D114" s="27" t="inlineStr">
        <is>
          <t>UVN CDS USD SR 5Y D14 Corp</t>
        </is>
      </c>
      <c r="E114" s="27" t="inlineStr">
        <is>
          <t>US914906AZ55</t>
        </is>
      </c>
      <c r="F114" s="28" t="n">
        <v>45659</v>
      </c>
      <c r="G114" s="28" t="n">
        <v>46225</v>
      </c>
      <c r="H114" s="28" t="n">
        <v>48202</v>
      </c>
      <c r="I114" s="29" t="n">
        <v>350.3475952148438</v>
      </c>
      <c r="J114" s="29" t="n">
        <v>331.1257019042969</v>
      </c>
      <c r="K114" s="29" t="n">
        <v>405.548</v>
      </c>
      <c r="L114" s="29" t="n">
        <v>410.445</v>
      </c>
      <c r="M114" s="30" t="n">
        <v>387</v>
      </c>
      <c r="N114" s="31" t="n">
        <v>-55.20040478515625</v>
      </c>
      <c r="O114" s="32" t="n">
        <v>-141.56120703125</v>
      </c>
      <c r="P114" s="32" t="n">
        <v>2.497495605468771</v>
      </c>
      <c r="Q114" s="33" t="n">
        <v>59.94834096477657</v>
      </c>
      <c r="R114" s="32" t="n">
        <v>-74.42229809570313</v>
      </c>
      <c r="S114" s="32" t="n">
        <v>-156.6176950683594</v>
      </c>
      <c r="T114" s="32" t="n">
        <v>-13.51928906249998</v>
      </c>
      <c r="U114" s="34" t="n">
        <v>57.43977118046347</v>
      </c>
      <c r="V114" s="20">
        <f>IFERROR(BDP(E114&amp;" Corp","LAST_PRICE"),"--")</f>
        <v/>
      </c>
      <c r="W114" s="21">
        <f>IFERROR(BDP(E114&amp;" Corp","YAS_BENCHMARK_BOND_ISIN"),"--")</f>
        <v/>
      </c>
      <c r="X114" s="22">
        <f>IFERROR(BDP(W114&amp;" CORP","LAST_PRICE"),"--")</f>
        <v/>
      </c>
      <c r="Y114" s="23">
        <f>IFERROR(BDP(E114&amp;" Corp","YAS_YLD_SPREAD","YAS_BOND_PX="&amp;V114,"YAS_BNCHMRK_BOND_PX="&amp;X114),"--")</f>
        <v/>
      </c>
      <c r="Z114" s="23">
        <f>IFERROR(BDP(E114&amp;" Corp","BLOOMBERG_MID_G_SPREAD","YAS_BOND_PX="&amp;V114,"YAS_BNCHMRK_BOND_PX="&amp;X114),"--")</f>
        <v/>
      </c>
      <c r="AA114" s="23">
        <f>IFERROR(BDP(D114,"LAST_PRICE"),"--")</f>
        <v/>
      </c>
      <c r="AB114" s="24" t="n"/>
      <c r="AC114" s="23">
        <f>IFERROR(IF(ISBLANK(AB114),AA114,AB114),"--")</f>
        <v/>
      </c>
      <c r="AD114" s="23">
        <f>IFERROR(MAX(-500,MIN(500,AC114-Z114)),"--")</f>
        <v/>
      </c>
      <c r="AE114" s="25">
        <f>IFERROR((AD114-S114)/(T114-S114)*100,"--")</f>
        <v/>
      </c>
    </row>
    <row r="115">
      <c r="A115" s="11" t="inlineStr">
        <is>
          <t>VENLNG</t>
        </is>
      </c>
      <c r="B115" s="12" t="inlineStr">
        <is>
          <t>HY</t>
        </is>
      </c>
      <c r="C115" s="11" t="inlineStr">
        <is>
          <t>VENLNG 8 3/8 06/01/31</t>
        </is>
      </c>
      <c r="D115" s="12" t="inlineStr">
        <is>
          <t>VENLNG CDS USD SR 5Y D14 Corp</t>
        </is>
      </c>
      <c r="E115" s="12" t="inlineStr">
        <is>
          <t>US92332YAB74</t>
        </is>
      </c>
      <c r="F115" s="13" t="n">
        <v>45659</v>
      </c>
      <c r="G115" s="13" t="n">
        <v>46225</v>
      </c>
      <c r="H115" s="13" t="n">
        <v>48019</v>
      </c>
      <c r="I115" s="14" t="n">
        <v>176.6248016357422</v>
      </c>
      <c r="J115" s="14" t="n">
        <v>176.6248016357422</v>
      </c>
      <c r="K115" s="14" t="n">
        <v>171.982</v>
      </c>
      <c r="L115" s="14" t="n">
        <v>167.186</v>
      </c>
      <c r="M115" s="15" t="n">
        <v>372</v>
      </c>
      <c r="N115" s="16" t="n">
        <v>4.642801635742188</v>
      </c>
      <c r="O115" s="17" t="n">
        <v>-143.0618015136719</v>
      </c>
      <c r="P115" s="17" t="n">
        <v>115.9139929199219</v>
      </c>
      <c r="Q115" s="18" t="n">
        <v>57.03413458870121</v>
      </c>
      <c r="R115" s="17" t="n">
        <v>4.642801635742188</v>
      </c>
      <c r="S115" s="17" t="n">
        <v>-143.0618015136719</v>
      </c>
      <c r="T115" s="17" t="n">
        <v>115.9139929199219</v>
      </c>
      <c r="U115" s="19" t="n">
        <v>57.03413458870121</v>
      </c>
      <c r="V115" s="20">
        <f>IFERROR(BDP(E115&amp;" Corp","LAST_PRICE"),"--")</f>
        <v/>
      </c>
      <c r="W115" s="21">
        <f>IFERROR(BDP(E115&amp;" Corp","YAS_BENCHMARK_BOND_ISIN"),"--")</f>
        <v/>
      </c>
      <c r="X115" s="22">
        <f>IFERROR(BDP(W115&amp;" CORP","LAST_PRICE"),"--")</f>
        <v/>
      </c>
      <c r="Y115" s="23">
        <f>IFERROR(BDP(E115&amp;" Corp","YAS_YLD_SPREAD","YAS_BOND_PX="&amp;V115,"YAS_BNCHMRK_BOND_PX="&amp;X115),"--")</f>
        <v/>
      </c>
      <c r="Z115" s="23">
        <f>IFERROR(BDP(E115&amp;" Corp","BLOOMBERG_MID_G_SPREAD","YAS_BOND_PX="&amp;V115,"YAS_BNCHMRK_BOND_PX="&amp;X115),"--")</f>
        <v/>
      </c>
      <c r="AA115" s="23">
        <f>IFERROR(BDP(D115,"LAST_PRICE"),"--")</f>
        <v/>
      </c>
      <c r="AB115" s="24" t="n"/>
      <c r="AC115" s="23">
        <f>IFERROR(IF(ISBLANK(AB115),AA115,AB115),"--")</f>
        <v/>
      </c>
      <c r="AD115" s="23">
        <f>IFERROR(MAX(-500,MIN(500,AC115-Z115)),"--")</f>
        <v/>
      </c>
      <c r="AE115" s="25">
        <f>IFERROR((AD115-S115)/(T115-S115)*100,"--")</f>
        <v/>
      </c>
    </row>
    <row r="116">
      <c r="A116" s="26" t="inlineStr">
        <is>
          <t>VST</t>
        </is>
      </c>
      <c r="B116" s="27" t="inlineStr">
        <is>
          <t>HY</t>
        </is>
      </c>
      <c r="C116" s="26" t="inlineStr">
        <is>
          <t>VST 4.7 01/31/31</t>
        </is>
      </c>
      <c r="D116" s="27" t="inlineStr">
        <is>
          <t>VST B CDS USD SR 5Y D14 Corp</t>
        </is>
      </c>
      <c r="E116" s="27" t="inlineStr">
        <is>
          <t>US92840VAY83</t>
        </is>
      </c>
      <c r="F116" s="28" t="n">
        <v>46035</v>
      </c>
      <c r="G116" s="28" t="n">
        <v>46225</v>
      </c>
      <c r="H116" s="28" t="n">
        <v>48019</v>
      </c>
      <c r="I116" s="29" t="n">
        <v>87.26689910888672</v>
      </c>
      <c r="J116" s="29" t="n">
        <v>87.26689910888672</v>
      </c>
      <c r="K116" s="29" t="n">
        <v>93.423</v>
      </c>
      <c r="L116" s="29" t="n">
        <v>93.027</v>
      </c>
      <c r="M116" s="30" t="n">
        <v>132</v>
      </c>
      <c r="N116" s="31" t="n">
        <v>-6.156100891113283</v>
      </c>
      <c r="O116" s="32" t="n">
        <v>-12.78049780273437</v>
      </c>
      <c r="P116" s="32" t="n">
        <v>25.42739642333984</v>
      </c>
      <c r="Q116" s="33" t="n">
        <v>17.33777023257252</v>
      </c>
      <c r="R116" s="32" t="n">
        <v>-6.156100891113283</v>
      </c>
      <c r="S116" s="32" t="n">
        <v>-12.78049780273437</v>
      </c>
      <c r="T116" s="32" t="n">
        <v>25.42739642333984</v>
      </c>
      <c r="U116" s="34" t="n">
        <v>17.33777023257252</v>
      </c>
      <c r="V116" s="20">
        <f>IFERROR(BDP(E116&amp;" Corp","LAST_PRICE"),"--")</f>
        <v/>
      </c>
      <c r="W116" s="21">
        <f>IFERROR(BDP(E116&amp;" Corp","YAS_BENCHMARK_BOND_ISIN"),"--")</f>
        <v/>
      </c>
      <c r="X116" s="22">
        <f>IFERROR(BDP(W116&amp;" CORP","LAST_PRICE"),"--")</f>
        <v/>
      </c>
      <c r="Y116" s="23">
        <f>IFERROR(BDP(E116&amp;" Corp","YAS_YLD_SPREAD","YAS_BOND_PX="&amp;V116,"YAS_BNCHMRK_BOND_PX="&amp;X116),"--")</f>
        <v/>
      </c>
      <c r="Z116" s="23">
        <f>IFERROR(BDP(E116&amp;" Corp","BLOOMBERG_MID_G_SPREAD","YAS_BOND_PX="&amp;V116,"YAS_BNCHMRK_BOND_PX="&amp;X116),"--")</f>
        <v/>
      </c>
      <c r="AA116" s="23">
        <f>IFERROR(BDP(D116,"LAST_PRICE"),"--")</f>
        <v/>
      </c>
      <c r="AB116" s="24" t="n"/>
      <c r="AC116" s="23">
        <f>IFERROR(IF(ISBLANK(AB116),AA116,AB116),"--")</f>
        <v/>
      </c>
      <c r="AD116" s="23">
        <f>IFERROR(MAX(-500,MIN(500,AC116-Z116)),"--")</f>
        <v/>
      </c>
      <c r="AE116" s="25">
        <f>IFERROR((AD116-S116)/(T116-S116)*100,"--")</f>
        <v/>
      </c>
    </row>
    <row r="117">
      <c r="A117" s="11" t="inlineStr">
        <is>
          <t>WBD</t>
        </is>
      </c>
      <c r="B117" s="12" t="inlineStr">
        <is>
          <t>HY</t>
        </is>
      </c>
      <c r="C117" s="11" t="inlineStr">
        <is>
          <t>WBD 4.279 03/15/32</t>
        </is>
      </c>
      <c r="D117" s="12" t="inlineStr">
        <is>
          <t>WBD CDS USD SR 5Y D14 Corp</t>
        </is>
      </c>
      <c r="E117" s="12" t="inlineStr">
        <is>
          <t>US55903VBQ59</t>
        </is>
      </c>
      <c r="F117" s="13" t="n">
        <v>46160</v>
      </c>
      <c r="G117" s="13" t="n">
        <v>46225</v>
      </c>
      <c r="H117" s="13" t="n">
        <v>48385</v>
      </c>
      <c r="I117" s="14" t="n">
        <v>334.5427856445312</v>
      </c>
      <c r="J117" s="14" t="n">
        <v>300.1766967773438</v>
      </c>
      <c r="K117" s="14" t="n">
        <v>375.031</v>
      </c>
      <c r="L117" s="14" t="n">
        <v>373.299</v>
      </c>
      <c r="M117" s="15" t="n">
        <v>45</v>
      </c>
      <c r="N117" s="16" t="n">
        <v>-40.48821435546876</v>
      </c>
      <c r="O117" s="17" t="n">
        <v>-43.76209716796876</v>
      </c>
      <c r="P117" s="17" t="n">
        <v>198.4410959472656</v>
      </c>
      <c r="Q117" s="18" t="n">
        <v>1.35170918698102</v>
      </c>
      <c r="R117" s="17" t="n">
        <v>-74.85430322265626</v>
      </c>
      <c r="S117" s="17" t="n">
        <v>-87.70490722656251</v>
      </c>
      <c r="T117" s="17" t="n">
        <v>145.1219125976563</v>
      </c>
      <c r="U117" s="19" t="n">
        <v>5.519383039122509</v>
      </c>
      <c r="V117" s="20">
        <f>IFERROR(BDP(E117&amp;" Corp","LAST_PRICE"),"--")</f>
        <v/>
      </c>
      <c r="W117" s="21">
        <f>IFERROR(BDP(E117&amp;" Corp","YAS_BENCHMARK_BOND_ISIN"),"--")</f>
        <v/>
      </c>
      <c r="X117" s="22">
        <f>IFERROR(BDP(W117&amp;" CORP","LAST_PRICE"),"--")</f>
        <v/>
      </c>
      <c r="Y117" s="23">
        <f>IFERROR(BDP(E117&amp;" Corp","YAS_YLD_SPREAD","YAS_BOND_PX="&amp;V117,"YAS_BNCHMRK_BOND_PX="&amp;X117),"--")</f>
        <v/>
      </c>
      <c r="Z117" s="23">
        <f>IFERROR(BDP(E117&amp;" Corp","BLOOMBERG_MID_G_SPREAD","YAS_BOND_PX="&amp;V117,"YAS_BNCHMRK_BOND_PX="&amp;X117),"--")</f>
        <v/>
      </c>
      <c r="AA117" s="23">
        <f>IFERROR(BDP(D117,"LAST_PRICE"),"--")</f>
        <v/>
      </c>
      <c r="AB117" s="24" t="n"/>
      <c r="AC117" s="23">
        <f>IFERROR(IF(ISBLANK(AB117),AA117,AB117),"--")</f>
        <v/>
      </c>
      <c r="AD117" s="23">
        <f>IFERROR(MAX(-500,MIN(500,AC117-Z117)),"--")</f>
        <v/>
      </c>
      <c r="AE117" s="25">
        <f>IFERROR((AD117-S117)/(T117-S117)*100,"--")</f>
        <v/>
      </c>
    </row>
    <row r="118">
      <c r="A118" s="26" t="inlineStr">
        <is>
          <t>WFRD</t>
        </is>
      </c>
      <c r="B118" s="27" t="inlineStr">
        <is>
          <t>HY</t>
        </is>
      </c>
      <c r="C118" s="26" t="inlineStr">
        <is>
          <t>WFRD 6 3/4 10/15/33</t>
        </is>
      </c>
      <c r="D118" s="27" t="inlineStr">
        <is>
          <t>CWFT1U5 Curncy</t>
        </is>
      </c>
      <c r="E118" s="27" t="inlineStr">
        <is>
          <t>US947075AW79</t>
        </is>
      </c>
      <c r="F118" s="28" t="n">
        <v>45923</v>
      </c>
      <c r="G118" s="28" t="n">
        <v>46225</v>
      </c>
      <c r="H118" s="28" t="n">
        <v>48933</v>
      </c>
      <c r="I118" s="29" t="n">
        <v>148.3459014892578</v>
      </c>
      <c r="J118" s="29" t="n">
        <v>109.3649978637695</v>
      </c>
      <c r="K118" s="29" t="n">
        <v>181.175</v>
      </c>
      <c r="L118" s="29" t="n">
        <v>182.991</v>
      </c>
      <c r="M118" s="30" t="n">
        <v>208</v>
      </c>
      <c r="N118" s="31" t="n">
        <v>-32.8290985107422</v>
      </c>
      <c r="O118" s="32" t="n">
        <v>-94.97360314941409</v>
      </c>
      <c r="P118" s="32" t="n">
        <v>-12.66640075683594</v>
      </c>
      <c r="Q118" s="33" t="n">
        <v>75.50311859983182</v>
      </c>
      <c r="R118" s="32" t="n">
        <v>-71.81000213623048</v>
      </c>
      <c r="S118" s="32" t="n">
        <v>-135.2840069580078</v>
      </c>
      <c r="T118" s="32" t="n">
        <v>-56.42280102539061</v>
      </c>
      <c r="U118" s="34" t="n">
        <v>80.4882503014379</v>
      </c>
      <c r="V118" s="20">
        <f>IFERROR(BDP(E118&amp;" Corp","LAST_PRICE"),"--")</f>
        <v/>
      </c>
      <c r="W118" s="21">
        <f>IFERROR(BDP(E118&amp;" Corp","YAS_BENCHMARK_BOND_ISIN"),"--")</f>
        <v/>
      </c>
      <c r="X118" s="22">
        <f>IFERROR(BDP(W118&amp;" CORP","LAST_PRICE"),"--")</f>
        <v/>
      </c>
      <c r="Y118" s="23">
        <f>IFERROR(BDP(E118&amp;" Corp","YAS_YLD_SPREAD","YAS_BOND_PX="&amp;V118,"YAS_BNCHMRK_BOND_PX="&amp;X118),"--")</f>
        <v/>
      </c>
      <c r="Z118" s="23">
        <f>IFERROR(BDP(E118&amp;" Corp","BLOOMBERG_MID_G_SPREAD","YAS_BOND_PX="&amp;V118,"YAS_BNCHMRK_BOND_PX="&amp;X118),"--")</f>
        <v/>
      </c>
      <c r="AA118" s="23">
        <f>IFERROR(BDP(D118,"LAST_PRICE"),"--")</f>
        <v/>
      </c>
      <c r="AB118" s="24" t="n"/>
      <c r="AC118" s="23">
        <f>IFERROR(IF(ISBLANK(AB118),AA118,AB118),"--")</f>
        <v/>
      </c>
      <c r="AD118" s="23">
        <f>IFERROR(MAX(-500,MIN(500,AC118-Z118)),"--")</f>
        <v/>
      </c>
      <c r="AE118" s="25">
        <f>IFERROR((AD118-S118)/(T118-S118)*100,"--")</f>
        <v/>
      </c>
    </row>
    <row r="119">
      <c r="A119" s="11" t="inlineStr">
        <is>
          <t>WHR</t>
        </is>
      </c>
      <c r="B119" s="12" t="inlineStr">
        <is>
          <t>HY</t>
        </is>
      </c>
      <c r="C119" s="11" t="inlineStr">
        <is>
          <t>WHR 6 1/2 06/15/33</t>
        </is>
      </c>
      <c r="D119" s="12" t="inlineStr">
        <is>
          <t>WHRCORP CDS USD SR 5Y D14 Corp</t>
        </is>
      </c>
      <c r="E119" s="12" t="inlineStr">
        <is>
          <t>US963320BE54</t>
        </is>
      </c>
      <c r="F119" s="13" t="n">
        <v>45818</v>
      </c>
      <c r="G119" s="13" t="n">
        <v>46225</v>
      </c>
      <c r="H119" s="13" t="n">
        <v>48750</v>
      </c>
      <c r="I119" s="14" t="n">
        <v>559.3200073242188</v>
      </c>
      <c r="J119" s="14" t="n">
        <v>500.2011108398438</v>
      </c>
      <c r="K119" s="14" t="n">
        <v>528.5700000000001</v>
      </c>
      <c r="L119" s="14" t="n">
        <v>539.349</v>
      </c>
      <c r="M119" s="15" t="n">
        <v>279</v>
      </c>
      <c r="N119" s="16" t="n">
        <v>30.7500073242187</v>
      </c>
      <c r="O119" s="17" t="n">
        <v>-31.24059423828123</v>
      </c>
      <c r="P119" s="17" t="n">
        <v>105.9007900390625</v>
      </c>
      <c r="Q119" s="18" t="n">
        <v>45.20196575902655</v>
      </c>
      <c r="R119" s="17" t="n">
        <v>-28.3688891601563</v>
      </c>
      <c r="S119" s="17" t="n">
        <v>-52.3837979736328</v>
      </c>
      <c r="T119" s="17" t="n">
        <v>46.27719384765624</v>
      </c>
      <c r="U119" s="19" t="n">
        <v>24.34083457925929</v>
      </c>
      <c r="V119" s="20">
        <f>IFERROR(BDP(E119&amp;" Corp","LAST_PRICE"),"--")</f>
        <v/>
      </c>
      <c r="W119" s="21">
        <f>IFERROR(BDP(E119&amp;" Corp","YAS_BENCHMARK_BOND_ISIN"),"--")</f>
        <v/>
      </c>
      <c r="X119" s="22">
        <f>IFERROR(BDP(W119&amp;" CORP","LAST_PRICE"),"--")</f>
        <v/>
      </c>
      <c r="Y119" s="23">
        <f>IFERROR(BDP(E119&amp;" Corp","YAS_YLD_SPREAD","YAS_BOND_PX="&amp;V119,"YAS_BNCHMRK_BOND_PX="&amp;X119),"--")</f>
        <v/>
      </c>
      <c r="Z119" s="23">
        <f>IFERROR(BDP(E119&amp;" Corp","BLOOMBERG_MID_G_SPREAD","YAS_BOND_PX="&amp;V119,"YAS_BNCHMRK_BOND_PX="&amp;X119),"--")</f>
        <v/>
      </c>
      <c r="AA119" s="23">
        <f>IFERROR(BDP(D119,"LAST_PRICE"),"--")</f>
        <v/>
      </c>
      <c r="AB119" s="24" t="n"/>
      <c r="AC119" s="23">
        <f>IFERROR(IF(ISBLANK(AB119),AA119,AB119),"--")</f>
        <v/>
      </c>
      <c r="AD119" s="23">
        <f>IFERROR(MAX(-500,MIN(500,AC119-Z119)),"--")</f>
        <v/>
      </c>
      <c r="AE119" s="25">
        <f>IFERROR((AD119-S119)/(T119-S119)*100,"--")</f>
        <v/>
      </c>
    </row>
    <row r="120">
      <c r="A120" s="26" t="inlineStr">
        <is>
          <t>XPLR</t>
        </is>
      </c>
      <c r="B120" s="27" t="inlineStr">
        <is>
          <t>HY</t>
        </is>
      </c>
      <c r="C120" s="26" t="inlineStr">
        <is>
          <t>XIFR 8 3/8 01/15/31</t>
        </is>
      </c>
      <c r="D120" s="27" t="inlineStr">
        <is>
          <t>CZ060981 Curncy</t>
        </is>
      </c>
      <c r="E120" s="27" t="inlineStr">
        <is>
          <t>US98380MAA36</t>
        </is>
      </c>
      <c r="F120" s="28" t="n">
        <v>46111</v>
      </c>
      <c r="G120" s="28" t="n">
        <v>46225</v>
      </c>
      <c r="H120" s="28" t="n">
        <v>48019</v>
      </c>
      <c r="I120" s="29" t="n">
        <v>137.7998962402344</v>
      </c>
      <c r="J120" s="29" t="n">
        <v>137.7998962402344</v>
      </c>
      <c r="K120" s="29" t="n">
        <v>182.993</v>
      </c>
      <c r="L120" s="29" t="n">
        <v>185.313</v>
      </c>
      <c r="M120" s="30" t="n">
        <v>80</v>
      </c>
      <c r="N120" s="31" t="n">
        <v>-45.19310375976562</v>
      </c>
      <c r="O120" s="32" t="n">
        <v>-52.34490393066409</v>
      </c>
      <c r="P120" s="32" t="n">
        <v>22.29129553222657</v>
      </c>
      <c r="Q120" s="33" t="n">
        <v>9.582213754673246</v>
      </c>
      <c r="R120" s="32" t="n">
        <v>-45.19310375976562</v>
      </c>
      <c r="S120" s="32" t="n">
        <v>-52.34490393066409</v>
      </c>
      <c r="T120" s="32" t="n">
        <v>22.29129553222657</v>
      </c>
      <c r="U120" s="34" t="n">
        <v>9.582213754673246</v>
      </c>
      <c r="V120" s="20">
        <f>IFERROR(BDP(E120&amp;" Corp","LAST_PRICE"),"--")</f>
        <v/>
      </c>
      <c r="W120" s="21">
        <f>IFERROR(BDP(E120&amp;" Corp","YAS_BENCHMARK_BOND_ISIN"),"--")</f>
        <v/>
      </c>
      <c r="X120" s="22">
        <f>IFERROR(BDP(W120&amp;" CORP","LAST_PRICE"),"--")</f>
        <v/>
      </c>
      <c r="Y120" s="23">
        <f>IFERROR(BDP(E120&amp;" Corp","YAS_YLD_SPREAD","YAS_BOND_PX="&amp;V120,"YAS_BNCHMRK_BOND_PX="&amp;X120),"--")</f>
        <v/>
      </c>
      <c r="Z120" s="23">
        <f>IFERROR(BDP(E120&amp;" Corp","BLOOMBERG_MID_G_SPREAD","YAS_BOND_PX="&amp;V120,"YAS_BNCHMRK_BOND_PX="&amp;X120),"--")</f>
        <v/>
      </c>
      <c r="AA120" s="23">
        <f>IFERROR(BDP(D120,"LAST_PRICE"),"--")</f>
        <v/>
      </c>
      <c r="AB120" s="24" t="n"/>
      <c r="AC120" s="23">
        <f>IFERROR(IF(ISBLANK(AB120),AA120,AB120),"--")</f>
        <v/>
      </c>
      <c r="AD120" s="23">
        <f>IFERROR(MAX(-500,MIN(500,AC120-Z120)),"--")</f>
        <v/>
      </c>
      <c r="AE120" s="25">
        <f>IFERROR((AD120-S120)/(T120-S120)*100,"--")</f>
        <v/>
      </c>
    </row>
    <row r="121">
      <c r="A121" s="11" t="inlineStr">
        <is>
          <t>XRX</t>
        </is>
      </c>
      <c r="B121" s="12" t="inlineStr">
        <is>
          <t>HY</t>
        </is>
      </c>
      <c r="C121" s="11" t="inlineStr">
        <is>
          <t>XRX 8 7/8 11/30/29</t>
        </is>
      </c>
      <c r="D121" s="12" t="inlineStr">
        <is>
          <t>XRX CDS USD SR 5Y D14 Corp</t>
        </is>
      </c>
      <c r="E121" s="12" t="inlineStr">
        <is>
          <t>US98421MAC01</t>
        </is>
      </c>
      <c r="F121" s="13" t="n">
        <v>45659</v>
      </c>
      <c r="G121" s="13" t="n">
        <v>46225</v>
      </c>
      <c r="H121" s="13" t="n">
        <v>47472</v>
      </c>
      <c r="I121" s="14" t="n">
        <v>10732.5693359375</v>
      </c>
      <c r="J121" s="14" t="n">
        <v>0</v>
      </c>
      <c r="K121" s="14" t="n">
        <v>3656.606</v>
      </c>
      <c r="L121" s="14" t="n">
        <v>3721.676</v>
      </c>
      <c r="M121" s="15" t="n">
        <v>389</v>
      </c>
      <c r="N121" s="16" t="n">
        <v>7075.9633359375</v>
      </c>
      <c r="O121" s="17" t="n">
        <v>-5659.833</v>
      </c>
      <c r="P121" s="17" t="n">
        <v>91336.4388125</v>
      </c>
      <c r="Q121" s="18" t="n">
        <v>13.13019160216447</v>
      </c>
      <c r="R121" s="17" t="n">
        <v>-3656.606</v>
      </c>
      <c r="S121" s="17" t="n">
        <v>-5659.833</v>
      </c>
      <c r="T121" s="17" t="n">
        <v>67380.09831250001</v>
      </c>
      <c r="U121" s="19" t="n">
        <v>2.742646336055862</v>
      </c>
      <c r="V121" s="20">
        <f>IFERROR(BDP(E121&amp;" Corp","LAST_PRICE"),"--")</f>
        <v/>
      </c>
      <c r="W121" s="21">
        <f>IFERROR(BDP(E121&amp;" Corp","YAS_BENCHMARK_BOND_ISIN"),"--")</f>
        <v/>
      </c>
      <c r="X121" s="22">
        <f>IFERROR(BDP(W121&amp;" CORP","LAST_PRICE"),"--")</f>
        <v/>
      </c>
      <c r="Y121" s="23">
        <f>IFERROR(BDP(E121&amp;" Corp","YAS_YLD_SPREAD","YAS_BOND_PX="&amp;V121,"YAS_BNCHMRK_BOND_PX="&amp;X121),"--")</f>
        <v/>
      </c>
      <c r="Z121" s="23">
        <f>IFERROR(BDP(E121&amp;" Corp","BLOOMBERG_MID_G_SPREAD","YAS_BOND_PX="&amp;V121,"YAS_BNCHMRK_BOND_PX="&amp;X121),"--")</f>
        <v/>
      </c>
      <c r="AA121" s="23">
        <f>IFERROR(BDP(D121,"LAST_PRICE"),"--")</f>
        <v/>
      </c>
      <c r="AB121" s="24" t="n"/>
      <c r="AC121" s="23">
        <f>IFERROR(IF(ISBLANK(AB121),AA121,AB121),"--")</f>
        <v/>
      </c>
      <c r="AD121" s="23">
        <f>IFERROR(MAX(-500,MIN(500,AC121-Z121)),"--")</f>
        <v/>
      </c>
      <c r="AE121" s="25">
        <f>IFERROR((AD121-S121)/(T121-S121)*100,"--")</f>
        <v/>
      </c>
    </row>
    <row r="122">
      <c r="A122" s="26" t="inlineStr">
        <is>
          <t>YUM</t>
        </is>
      </c>
      <c r="B122" s="27" t="inlineStr">
        <is>
          <t>HY</t>
        </is>
      </c>
      <c r="C122" s="26" t="inlineStr">
        <is>
          <t>YUM 5 3/8 04/01/32</t>
        </is>
      </c>
      <c r="D122" s="27" t="inlineStr">
        <is>
          <t>YUM CDS USD SR 5Y D14 Corp</t>
        </is>
      </c>
      <c r="E122" s="27" t="inlineStr">
        <is>
          <t>US988498AR20</t>
        </is>
      </c>
      <c r="F122" s="28" t="n">
        <v>45659</v>
      </c>
      <c r="G122" s="28" t="n">
        <v>46225</v>
      </c>
      <c r="H122" s="28" t="n">
        <v>48385</v>
      </c>
      <c r="I122" s="29" t="n">
        <v>95.70809936523438</v>
      </c>
      <c r="J122" s="29" t="n">
        <v>81.16069793701172</v>
      </c>
      <c r="K122" s="29" t="n">
        <v>114.188</v>
      </c>
      <c r="L122" s="29" t="n">
        <v>121.108</v>
      </c>
      <c r="M122" s="30" t="n">
        <v>389</v>
      </c>
      <c r="N122" s="31" t="n">
        <v>-18.47990063476563</v>
      </c>
      <c r="O122" s="32" t="n">
        <v>-77.0422021484375</v>
      </c>
      <c r="P122" s="32" t="n">
        <v>-9.663601135253913</v>
      </c>
      <c r="Q122" s="33" t="n">
        <v>86.91528264621185</v>
      </c>
      <c r="R122" s="32" t="n">
        <v>-33.02730206298828</v>
      </c>
      <c r="S122" s="32" t="n">
        <v>-88.17570129394531</v>
      </c>
      <c r="T122" s="32" t="n">
        <v>-17.57490203857422</v>
      </c>
      <c r="U122" s="34" t="n">
        <v>78.11299562130878</v>
      </c>
      <c r="V122" s="20">
        <f>IFERROR(BDP(E122&amp;" Corp","LAST_PRICE"),"--")</f>
        <v/>
      </c>
      <c r="W122" s="21">
        <f>IFERROR(BDP(E122&amp;" Corp","YAS_BENCHMARK_BOND_ISIN"),"--")</f>
        <v/>
      </c>
      <c r="X122" s="22">
        <f>IFERROR(BDP(W122&amp;" CORP","LAST_PRICE"),"--")</f>
        <v/>
      </c>
      <c r="Y122" s="23">
        <f>IFERROR(BDP(E122&amp;" Corp","YAS_YLD_SPREAD","YAS_BOND_PX="&amp;V122,"YAS_BNCHMRK_BOND_PX="&amp;X122),"--")</f>
        <v/>
      </c>
      <c r="Z122" s="23">
        <f>IFERROR(BDP(E122&amp;" Corp","BLOOMBERG_MID_G_SPREAD","YAS_BOND_PX="&amp;V122,"YAS_BNCHMRK_BOND_PX="&amp;X122),"--")</f>
        <v/>
      </c>
      <c r="AA122" s="23">
        <f>IFERROR(BDP(D122,"LAST_PRICE"),"--")</f>
        <v/>
      </c>
      <c r="AB122" s="24" t="n"/>
      <c r="AC122" s="23">
        <f>IFERROR(IF(ISBLANK(AB122),AA122,AB122),"--")</f>
        <v/>
      </c>
      <c r="AD122" s="23">
        <f>IFERROR(MAX(-500,MIN(500,AC122-Z122)),"--")</f>
        <v/>
      </c>
      <c r="AE122" s="25">
        <f>IFERROR((AD122-S122)/(T122-S122)*100,"--")</f>
        <v/>
      </c>
    </row>
    <row r="123">
      <c r="A123" s="11" t="inlineStr">
        <is>
          <t>COOP</t>
        </is>
      </c>
      <c r="B123" s="12" t="inlineStr">
        <is>
          <t>HY_Legacy</t>
        </is>
      </c>
      <c r="C123" s="11" t="inlineStr">
        <is>
          <t>RKT 7 1/8 02/01/32</t>
        </is>
      </c>
      <c r="D123" s="12" t="inlineStr">
        <is>
          <t>COOP CDS USD SR 5Y D14 Corp</t>
        </is>
      </c>
      <c r="E123" s="12" t="inlineStr">
        <is>
          <t>US77311WAD39</t>
        </is>
      </c>
      <c r="F123" s="13" t="n">
        <v>45932</v>
      </c>
      <c r="G123" s="13" t="n">
        <v>46225</v>
      </c>
      <c r="H123" s="13" t="n">
        <v>48385</v>
      </c>
      <c r="I123" s="14" t="n">
        <v>80.30239868164062</v>
      </c>
      <c r="J123" s="14" t="n">
        <v>80.82099914550781</v>
      </c>
      <c r="K123" s="14" t="n">
        <v>145.04</v>
      </c>
      <c r="L123" s="14" t="n">
        <v>156.499</v>
      </c>
      <c r="M123" s="15" t="n">
        <v>201</v>
      </c>
      <c r="N123" s="16" t="n">
        <v>-64.73760131835937</v>
      </c>
      <c r="O123" s="17" t="n">
        <v>-146.1739975585938</v>
      </c>
      <c r="P123" s="17" t="n">
        <v>-45.62340209960936</v>
      </c>
      <c r="Q123" s="18" t="n">
        <v>80.99046640997081</v>
      </c>
      <c r="R123" s="17" t="n">
        <v>-64.21900085449218</v>
      </c>
      <c r="S123" s="17" t="n">
        <v>-156.424400390625</v>
      </c>
      <c r="T123" s="17" t="n">
        <v>-48.27109954833983</v>
      </c>
      <c r="U123" s="19" t="n">
        <v>85.25435545475545</v>
      </c>
      <c r="V123" s="20">
        <f>IFERROR(BDP(E123&amp;" Corp","LAST_PRICE"),"--")</f>
        <v/>
      </c>
      <c r="W123" s="21">
        <f>IFERROR(BDP(E123&amp;" Corp","YAS_BENCHMARK_BOND_ISIN"),"--")</f>
        <v/>
      </c>
      <c r="X123" s="22">
        <f>IFERROR(BDP(W123&amp;" CORP","LAST_PRICE"),"--")</f>
        <v/>
      </c>
      <c r="Y123" s="23">
        <f>IFERROR(BDP(E123&amp;" Corp","YAS_YLD_SPREAD","YAS_BOND_PX="&amp;V123,"YAS_BNCHMRK_BOND_PX="&amp;X123),"--")</f>
        <v/>
      </c>
      <c r="Z123" s="23">
        <f>IFERROR(BDP(E123&amp;" Corp","BLOOMBERG_MID_G_SPREAD","YAS_BOND_PX="&amp;V123,"YAS_BNCHMRK_BOND_PX="&amp;X123),"--")</f>
        <v/>
      </c>
      <c r="AA123" s="23">
        <f>IFERROR(BDP(D123,"LAST_PRICE"),"--")</f>
        <v/>
      </c>
      <c r="AB123" s="24" t="n"/>
      <c r="AC123" s="23">
        <f>IFERROR(IF(ISBLANK(AB123),AA123,AB123),"--")</f>
        <v/>
      </c>
      <c r="AD123" s="23">
        <f>IFERROR(MAX(-500,MIN(500,AC123-Z123)),"--")</f>
        <v/>
      </c>
      <c r="AE123" s="25">
        <f>IFERROR((AD123-S123)/(T123-S123)*100,"--")</f>
        <v/>
      </c>
    </row>
    <row r="124">
      <c r="A124" s="26" t="inlineStr">
        <is>
          <t>EQT</t>
        </is>
      </c>
      <c r="B124" s="27" t="inlineStr">
        <is>
          <t>HY_Legacy</t>
        </is>
      </c>
      <c r="C124" s="26" t="inlineStr">
        <is>
          <t>EQT 4 3/4 01/15/31</t>
        </is>
      </c>
      <c r="D124" s="27" t="inlineStr">
        <is>
          <t>EQT CDS USD SR 5Y D14 Corp</t>
        </is>
      </c>
      <c r="E124" s="27" t="inlineStr">
        <is>
          <t>US26884LBD01</t>
        </is>
      </c>
      <c r="F124" s="28" t="n">
        <v>45911</v>
      </c>
      <c r="G124" s="28" t="n">
        <v>46225</v>
      </c>
      <c r="H124" s="28" t="n">
        <v>48019</v>
      </c>
      <c r="I124" s="29" t="n">
        <v>69.50029754638672</v>
      </c>
      <c r="J124" s="29" t="n">
        <v>69.50029754638672</v>
      </c>
      <c r="K124" s="29" t="n">
        <v>75.387</v>
      </c>
      <c r="L124" s="29" t="n">
        <v>75.214</v>
      </c>
      <c r="M124" s="30" t="n">
        <v>216</v>
      </c>
      <c r="N124" s="31" t="n">
        <v>-5.886702453613282</v>
      </c>
      <c r="O124" s="32" t="n">
        <v>-154.3489013061524</v>
      </c>
      <c r="P124" s="32" t="n">
        <v>0.6276013793945339</v>
      </c>
      <c r="Q124" s="33" t="n">
        <v>95.79658611458952</v>
      </c>
      <c r="R124" s="32" t="n">
        <v>-5.886702453613282</v>
      </c>
      <c r="S124" s="32" t="n">
        <v>-154.3489013061524</v>
      </c>
      <c r="T124" s="32" t="n">
        <v>0.6276013793945339</v>
      </c>
      <c r="U124" s="34" t="n">
        <v>95.79658611458952</v>
      </c>
      <c r="V124" s="20">
        <f>IFERROR(BDP(E124&amp;" Corp","LAST_PRICE"),"--")</f>
        <v/>
      </c>
      <c r="W124" s="21">
        <f>IFERROR(BDP(E124&amp;" Corp","YAS_BENCHMARK_BOND_ISIN"),"--")</f>
        <v/>
      </c>
      <c r="X124" s="22">
        <f>IFERROR(BDP(W124&amp;" CORP","LAST_PRICE"),"--")</f>
        <v/>
      </c>
      <c r="Y124" s="23">
        <f>IFERROR(BDP(E124&amp;" Corp","YAS_YLD_SPREAD","YAS_BOND_PX="&amp;V124,"YAS_BNCHMRK_BOND_PX="&amp;X124),"--")</f>
        <v/>
      </c>
      <c r="Z124" s="23">
        <f>IFERROR(BDP(E124&amp;" Corp","BLOOMBERG_MID_G_SPREAD","YAS_BOND_PX="&amp;V124,"YAS_BNCHMRK_BOND_PX="&amp;X124),"--")</f>
        <v/>
      </c>
      <c r="AA124" s="23">
        <f>IFERROR(BDP(D124,"LAST_PRICE"),"--")</f>
        <v/>
      </c>
      <c r="AB124" s="24" t="n"/>
      <c r="AC124" s="23">
        <f>IFERROR(IF(ISBLANK(AB124),AA124,AB124),"--")</f>
        <v/>
      </c>
      <c r="AD124" s="23">
        <f>IFERROR(MAX(-500,MIN(500,AC124-Z124)),"--")</f>
        <v/>
      </c>
      <c r="AE124" s="25">
        <f>IFERROR((AD124-S124)/(T124-S124)*100,"--")</f>
        <v/>
      </c>
    </row>
    <row r="125">
      <c r="A125" s="11" t="inlineStr">
        <is>
          <t>EXE</t>
        </is>
      </c>
      <c r="B125" s="12" t="inlineStr">
        <is>
          <t>HY_Legacy</t>
        </is>
      </c>
      <c r="C125" s="11" t="inlineStr">
        <is>
          <t>EXE 5 3/8 03/15/30</t>
        </is>
      </c>
      <c r="D125" s="12" t="inlineStr">
        <is>
          <t>EXE CDS USD SR 5Y D14 Corp</t>
        </is>
      </c>
      <c r="E125" s="12" t="inlineStr">
        <is>
          <t>US845467AS85</t>
        </is>
      </c>
      <c r="F125" s="13" t="n">
        <v>45922</v>
      </c>
      <c r="G125" s="13" t="n">
        <v>46225</v>
      </c>
      <c r="H125" s="13" t="n">
        <v>47654</v>
      </c>
      <c r="I125" s="14" t="n">
        <v>61.59510040283203</v>
      </c>
      <c r="J125" s="14" t="n">
        <v>74.4739990234375</v>
      </c>
      <c r="K125" s="14" t="n">
        <v>92.27500000000001</v>
      </c>
      <c r="L125" s="14" t="n">
        <v>84.337</v>
      </c>
      <c r="M125" s="15" t="n">
        <v>209</v>
      </c>
      <c r="N125" s="16" t="n">
        <v>-30.67989959716797</v>
      </c>
      <c r="O125" s="17" t="n">
        <v>-60.33670294189453</v>
      </c>
      <c r="P125" s="17" t="n">
        <v>-25.51919955444336</v>
      </c>
      <c r="Q125" s="18" t="n">
        <v>85.17785728259707</v>
      </c>
      <c r="R125" s="17" t="n">
        <v>-17.80100097656251</v>
      </c>
      <c r="S125" s="17" t="n">
        <v>-47.69610083007812</v>
      </c>
      <c r="T125" s="17" t="n">
        <v>-12.75820178222656</v>
      </c>
      <c r="U125" s="19" t="n">
        <v>85.56639256576581</v>
      </c>
      <c r="V125" s="20">
        <f>IFERROR(BDP(E125&amp;" Corp","LAST_PRICE"),"--")</f>
        <v/>
      </c>
      <c r="W125" s="21">
        <f>IFERROR(BDP(E125&amp;" Corp","YAS_BENCHMARK_BOND_ISIN"),"--")</f>
        <v/>
      </c>
      <c r="X125" s="22">
        <f>IFERROR(BDP(W125&amp;" CORP","LAST_PRICE"),"--")</f>
        <v/>
      </c>
      <c r="Y125" s="23">
        <f>IFERROR(BDP(E125&amp;" Corp","YAS_YLD_SPREAD","YAS_BOND_PX="&amp;V125,"YAS_BNCHMRK_BOND_PX="&amp;X125),"--")</f>
        <v/>
      </c>
      <c r="Z125" s="23">
        <f>IFERROR(BDP(E125&amp;" Corp","BLOOMBERG_MID_G_SPREAD","YAS_BOND_PX="&amp;V125,"YAS_BNCHMRK_BOND_PX="&amp;X125),"--")</f>
        <v/>
      </c>
      <c r="AA125" s="23">
        <f>IFERROR(BDP(D125,"LAST_PRICE"),"--")</f>
        <v/>
      </c>
      <c r="AB125" s="24" t="n"/>
      <c r="AC125" s="23">
        <f>IFERROR(IF(ISBLANK(AB125),AA125,AB125),"--")</f>
        <v/>
      </c>
      <c r="AD125" s="23">
        <f>IFERROR(MAX(-500,MIN(500,AC125-Z125)),"--")</f>
        <v/>
      </c>
      <c r="AE125" s="25">
        <f>IFERROR((AD125-S125)/(T125-S125)*100,"--")</f>
        <v/>
      </c>
    </row>
    <row r="126">
      <c r="A126" s="26" t="inlineStr">
        <is>
          <t>LPX</t>
        </is>
      </c>
      <c r="B126" s="27" t="inlineStr">
        <is>
          <t>HY_Legacy</t>
        </is>
      </c>
      <c r="C126" s="26" t="inlineStr">
        <is>
          <t>LPX 3 5/8 03/15/29</t>
        </is>
      </c>
      <c r="D126" s="27" t="inlineStr">
        <is>
          <t>LPX CDS USD SR 5Y D14 Corp</t>
        </is>
      </c>
      <c r="E126" s="27" t="inlineStr">
        <is>
          <t>USU54627AE15</t>
        </is>
      </c>
      <c r="F126" s="28" t="n">
        <v>45659</v>
      </c>
      <c r="G126" s="28" t="n">
        <v>46225</v>
      </c>
      <c r="H126" s="28" t="n">
        <v>47289</v>
      </c>
      <c r="I126" s="29" t="n">
        <v>43.19020080566406</v>
      </c>
      <c r="J126" s="29" t="n">
        <v>69.22409820556641</v>
      </c>
      <c r="K126" s="29" t="n">
        <v>104.631</v>
      </c>
      <c r="L126" s="29" t="n">
        <v>102.107</v>
      </c>
      <c r="M126" s="30" t="n">
        <v>389</v>
      </c>
      <c r="N126" s="31" t="n">
        <v>-61.44079919433594</v>
      </c>
      <c r="O126" s="32" t="n">
        <v>-141.3696977539063</v>
      </c>
      <c r="P126" s="32" t="n">
        <v>-41.23720123291015</v>
      </c>
      <c r="Q126" s="33" t="n">
        <v>79.82313568184188</v>
      </c>
      <c r="R126" s="32" t="n">
        <v>-35.40690179443359</v>
      </c>
      <c r="S126" s="32" t="n">
        <v>-98.42890185546875</v>
      </c>
      <c r="T126" s="32" t="n">
        <v>-14.40570080566407</v>
      </c>
      <c r="U126" s="34" t="n">
        <v>75.00547381392779</v>
      </c>
      <c r="V126" s="20">
        <f>IFERROR(BDP(E126&amp;" Corp","LAST_PRICE"),"--")</f>
        <v/>
      </c>
      <c r="W126" s="21">
        <f>IFERROR(BDP(E126&amp;" Corp","YAS_BENCHMARK_BOND_ISIN"),"--")</f>
        <v/>
      </c>
      <c r="X126" s="22">
        <f>IFERROR(BDP(W126&amp;" CORP","LAST_PRICE"),"--")</f>
        <v/>
      </c>
      <c r="Y126" s="23">
        <f>IFERROR(BDP(E126&amp;" Corp","YAS_YLD_SPREAD","YAS_BOND_PX="&amp;V126,"YAS_BNCHMRK_BOND_PX="&amp;X126),"--")</f>
        <v/>
      </c>
      <c r="Z126" s="23">
        <f>IFERROR(BDP(E126&amp;" Corp","BLOOMBERG_MID_G_SPREAD","YAS_BOND_PX="&amp;V126,"YAS_BNCHMRK_BOND_PX="&amp;X126),"--")</f>
        <v/>
      </c>
      <c r="AA126" s="23">
        <f>IFERROR(BDP(D126,"LAST_PRICE"),"--")</f>
        <v/>
      </c>
      <c r="AB126" s="24" t="n"/>
      <c r="AC126" s="23">
        <f>IFERROR(IF(ISBLANK(AB126),AA126,AB126),"--")</f>
        <v/>
      </c>
      <c r="AD126" s="23">
        <f>IFERROR(MAX(-500,MIN(500,AC126-Z126)),"--")</f>
        <v/>
      </c>
      <c r="AE126" s="25">
        <f>IFERROR((AD126-S126)/(T126-S126)*100,"--")</f>
        <v/>
      </c>
    </row>
    <row r="127">
      <c r="A127" s="11" t="inlineStr">
        <is>
          <t>NCX</t>
        </is>
      </c>
      <c r="B127" s="12" t="inlineStr">
        <is>
          <t>HY_Legacy</t>
        </is>
      </c>
      <c r="C127" s="11" t="inlineStr">
        <is>
          <t>NCX 7 12/01/31</t>
        </is>
      </c>
      <c r="D127" s="12" t="inlineStr">
        <is>
          <t>NCX CDS USD SR 5Y D14 Corp</t>
        </is>
      </c>
      <c r="E127" s="12" t="inlineStr">
        <is>
          <t>US66977WAV19</t>
        </is>
      </c>
      <c r="F127" s="13" t="n">
        <v>45922</v>
      </c>
      <c r="G127" s="13" t="n">
        <v>46225</v>
      </c>
      <c r="H127" s="13" t="n">
        <v>48202</v>
      </c>
      <c r="I127" s="14" t="n">
        <v>62.7052001953125</v>
      </c>
      <c r="J127" s="14" t="n">
        <v>53.43709945678711</v>
      </c>
      <c r="K127" s="14" t="n">
        <v>95.295</v>
      </c>
      <c r="L127" s="14" t="n">
        <v>95.075</v>
      </c>
      <c r="M127" s="15" t="n">
        <v>177</v>
      </c>
      <c r="N127" s="16" t="n">
        <v>-32.5897998046875</v>
      </c>
      <c r="O127" s="17" t="n">
        <v>-101.1438004760742</v>
      </c>
      <c r="P127" s="17" t="n">
        <v>-29.35539648437501</v>
      </c>
      <c r="Q127" s="18" t="n">
        <v>95.4945323471929</v>
      </c>
      <c r="R127" s="17" t="n">
        <v>-41.85790054321289</v>
      </c>
      <c r="S127" s="17" t="n">
        <v>-109.6924989013672</v>
      </c>
      <c r="T127" s="17" t="n">
        <v>-33.77840063476563</v>
      </c>
      <c r="U127" s="19" t="n">
        <v>89.35704949023699</v>
      </c>
      <c r="V127" s="20">
        <f>IFERROR(BDP(E127&amp;" Corp","LAST_PRICE"),"--")</f>
        <v/>
      </c>
      <c r="W127" s="21">
        <f>IFERROR(BDP(E127&amp;" Corp","YAS_BENCHMARK_BOND_ISIN"),"--")</f>
        <v/>
      </c>
      <c r="X127" s="22">
        <f>IFERROR(BDP(W127&amp;" CORP","LAST_PRICE"),"--")</f>
        <v/>
      </c>
      <c r="Y127" s="23">
        <f>IFERROR(BDP(E127&amp;" Corp","YAS_YLD_SPREAD","YAS_BOND_PX="&amp;V127,"YAS_BNCHMRK_BOND_PX="&amp;X127),"--")</f>
        <v/>
      </c>
      <c r="Z127" s="23">
        <f>IFERROR(BDP(E127&amp;" Corp","BLOOMBERG_MID_G_SPREAD","YAS_BOND_PX="&amp;V127,"YAS_BNCHMRK_BOND_PX="&amp;X127),"--")</f>
        <v/>
      </c>
      <c r="AA127" s="23">
        <f>IFERROR(BDP(D127,"LAST_PRICE"),"--")</f>
        <v/>
      </c>
      <c r="AB127" s="24" t="n"/>
      <c r="AC127" s="23">
        <f>IFERROR(IF(ISBLANK(AB127),AA127,AB127),"--")</f>
        <v/>
      </c>
      <c r="AD127" s="23">
        <f>IFERROR(MAX(-500,MIN(500,AC127-Z127)),"--")</f>
        <v/>
      </c>
      <c r="AE127" s="25">
        <f>IFERROR((AD127-S127)/(T127-S127)*100,"--")</f>
        <v/>
      </c>
    </row>
    <row r="128">
      <c r="A128" s="26" t="inlineStr">
        <is>
          <t>ABBV</t>
        </is>
      </c>
      <c r="B128" s="27" t="inlineStr">
        <is>
          <t>IG</t>
        </is>
      </c>
      <c r="C128" s="26" t="inlineStr">
        <is>
          <t>ABBV 4.95 03/15/31</t>
        </is>
      </c>
      <c r="D128" s="27" t="inlineStr">
        <is>
          <t>ABBV CDS USD SR 5Y D14 Corp</t>
        </is>
      </c>
      <c r="E128" s="27" t="inlineStr">
        <is>
          <t>US00287YDT38</t>
        </is>
      </c>
      <c r="F128" s="28" t="n">
        <v>46101</v>
      </c>
      <c r="G128" s="28" t="n">
        <v>46225</v>
      </c>
      <c r="H128" s="28" t="n">
        <v>48019</v>
      </c>
      <c r="I128" s="29" t="n">
        <v>28</v>
      </c>
      <c r="J128" s="29" t="n">
        <v>28</v>
      </c>
      <c r="K128" s="29" t="n">
        <v>43.676</v>
      </c>
      <c r="L128" s="29" t="n">
        <v>42.697</v>
      </c>
      <c r="M128" s="30" t="n">
        <v>86</v>
      </c>
      <c r="N128" s="31" t="n">
        <v>-15.676</v>
      </c>
      <c r="O128" s="32" t="n">
        <v>-20.90570025634766</v>
      </c>
      <c r="P128" s="32" t="n">
        <v>-10.4533998260498</v>
      </c>
      <c r="Q128" s="33" t="n">
        <v>50.03396420933748</v>
      </c>
      <c r="R128" s="32" t="n">
        <v>-15.676</v>
      </c>
      <c r="S128" s="32" t="n">
        <v>-20.90570025634766</v>
      </c>
      <c r="T128" s="32" t="n">
        <v>-10.4533998260498</v>
      </c>
      <c r="U128" s="34" t="n">
        <v>50.03396420933748</v>
      </c>
      <c r="V128" s="20">
        <f>IFERROR(BDP(E128&amp;" Corp","LAST_PRICE"),"--")</f>
        <v/>
      </c>
      <c r="W128" s="21">
        <f>IFERROR(BDP(E128&amp;" Corp","YAS_BENCHMARK_BOND_ISIN"),"--")</f>
        <v/>
      </c>
      <c r="X128" s="22">
        <f>IFERROR(BDP(W128&amp;" CORP","LAST_PRICE"),"--")</f>
        <v/>
      </c>
      <c r="Y128" s="23">
        <f>IFERROR(BDP(E128&amp;" Corp","YAS_YLD_SPREAD","YAS_BOND_PX="&amp;V128,"YAS_BNCHMRK_BOND_PX="&amp;X128),"--")</f>
        <v/>
      </c>
      <c r="Z128" s="23">
        <f>IFERROR(BDP(E128&amp;" Corp","BLOOMBERG_MID_G_SPREAD","YAS_BOND_PX="&amp;V128,"YAS_BNCHMRK_BOND_PX="&amp;X128),"--")</f>
        <v/>
      </c>
      <c r="AA128" s="23">
        <f>IFERROR(BDP(D128,"LAST_PRICE"),"--")</f>
        <v/>
      </c>
      <c r="AB128" s="24" t="n"/>
      <c r="AC128" s="23">
        <f>IFERROR(IF(ISBLANK(AB128),AA128,AB128),"--")</f>
        <v/>
      </c>
      <c r="AD128" s="23">
        <f>IFERROR(MAX(-500,MIN(500,AC128-Z128)),"--")</f>
        <v/>
      </c>
      <c r="AE128" s="25">
        <f>IFERROR((AD128-S128)/(T128-S128)*100,"--")</f>
        <v/>
      </c>
    </row>
    <row r="129">
      <c r="A129" s="11" t="inlineStr">
        <is>
          <t>ABX</t>
        </is>
      </c>
      <c r="B129" s="12" t="inlineStr">
        <is>
          <t>IG</t>
        </is>
      </c>
      <c r="C129" s="11" t="inlineStr">
        <is>
          <t>ABXCN 5.8 11/15/34</t>
        </is>
      </c>
      <c r="D129" s="12" t="inlineStr">
        <is>
          <t>ABX CDS USD SR 5Y D14 Corp</t>
        </is>
      </c>
      <c r="E129" s="12" t="inlineStr">
        <is>
          <t>US067901AA64</t>
        </is>
      </c>
      <c r="F129" s="13" t="n">
        <v>45659</v>
      </c>
      <c r="G129" s="13" t="n">
        <v>46225</v>
      </c>
      <c r="H129" s="13" t="n">
        <v>49298</v>
      </c>
      <c r="I129" s="14" t="n">
        <v>52.8484001159668</v>
      </c>
      <c r="J129" s="14" t="n">
        <v>25.63089942932129</v>
      </c>
      <c r="K129" s="14" t="n">
        <v>77.584</v>
      </c>
      <c r="L129" s="14" t="n">
        <v>68.18300000000001</v>
      </c>
      <c r="M129" s="15" t="n">
        <v>389</v>
      </c>
      <c r="N129" s="16" t="n">
        <v>-24.73559988403321</v>
      </c>
      <c r="O129" s="17" t="n">
        <v>-51.91319897460937</v>
      </c>
      <c r="P129" s="17" t="n">
        <v>-10.60029986572266</v>
      </c>
      <c r="Q129" s="18" t="n">
        <v>65.7847783060329</v>
      </c>
      <c r="R129" s="17" t="n">
        <v>-51.95310057067871</v>
      </c>
      <c r="S129" s="17" t="n">
        <v>-77.32399990844726</v>
      </c>
      <c r="T129" s="17" t="n">
        <v>-36.59269958496094</v>
      </c>
      <c r="U129" s="19" t="n">
        <v>62.28845908741902</v>
      </c>
      <c r="V129" s="20">
        <f>IFERROR(BDP(E129&amp;" Corp","LAST_PRICE"),"--")</f>
        <v/>
      </c>
      <c r="W129" s="21">
        <f>IFERROR(BDP(E129&amp;" Corp","YAS_BENCHMARK_BOND_ISIN"),"--")</f>
        <v/>
      </c>
      <c r="X129" s="22">
        <f>IFERROR(BDP(W129&amp;" CORP","LAST_PRICE"),"--")</f>
        <v/>
      </c>
      <c r="Y129" s="23">
        <f>IFERROR(BDP(E129&amp;" Corp","YAS_YLD_SPREAD","YAS_BOND_PX="&amp;V129,"YAS_BNCHMRK_BOND_PX="&amp;X129),"--")</f>
        <v/>
      </c>
      <c r="Z129" s="23">
        <f>IFERROR(BDP(E129&amp;" Corp","BLOOMBERG_MID_G_SPREAD","YAS_BOND_PX="&amp;V129,"YAS_BNCHMRK_BOND_PX="&amp;X129),"--")</f>
        <v/>
      </c>
      <c r="AA129" s="23">
        <f>IFERROR(BDP(D129,"LAST_PRICE"),"--")</f>
        <v/>
      </c>
      <c r="AB129" s="24" t="n"/>
      <c r="AC129" s="23">
        <f>IFERROR(IF(ISBLANK(AB129),AA129,AB129),"--")</f>
        <v/>
      </c>
      <c r="AD129" s="23">
        <f>IFERROR(MAX(-500,MIN(500,AC129-Z129)),"--")</f>
        <v/>
      </c>
      <c r="AE129" s="25">
        <f>IFERROR((AD129-S129)/(T129-S129)*100,"--")</f>
        <v/>
      </c>
    </row>
    <row r="130">
      <c r="A130" s="26" t="inlineStr">
        <is>
          <t>AEP</t>
        </is>
      </c>
      <c r="B130" s="27" t="inlineStr">
        <is>
          <t>IG</t>
        </is>
      </c>
      <c r="C130" s="26" t="inlineStr">
        <is>
          <t>AEP 5 5/8 03/01/33</t>
        </is>
      </c>
      <c r="D130" s="27" t="inlineStr">
        <is>
          <t>AEP CDS USD SR 5Y D14 Corp</t>
        </is>
      </c>
      <c r="E130" s="27" t="inlineStr">
        <is>
          <t>US025537AX91</t>
        </is>
      </c>
      <c r="F130" s="28" t="n">
        <v>45659</v>
      </c>
      <c r="G130" s="28" t="n">
        <v>46225</v>
      </c>
      <c r="H130" s="28" t="n">
        <v>48750</v>
      </c>
      <c r="I130" s="29" t="n">
        <v>50.8672981262207</v>
      </c>
      <c r="J130" s="29" t="n">
        <v>35.90390014648438</v>
      </c>
      <c r="K130" s="29" t="n">
        <v>67.494</v>
      </c>
      <c r="L130" s="29" t="n">
        <v>51.628</v>
      </c>
      <c r="M130" s="30" t="n">
        <v>389</v>
      </c>
      <c r="N130" s="31" t="n">
        <v>-16.6267018737793</v>
      </c>
      <c r="O130" s="32" t="n">
        <v>-73.89040017700196</v>
      </c>
      <c r="P130" s="32" t="n">
        <v>-15.99899908447266</v>
      </c>
      <c r="Q130" s="33" t="n">
        <v>98.91572361791113</v>
      </c>
      <c r="R130" s="32" t="n">
        <v>-31.59009985351562</v>
      </c>
      <c r="S130" s="32" t="n">
        <v>-84.43959832763673</v>
      </c>
      <c r="T130" s="32" t="n">
        <v>-29.72500082397461</v>
      </c>
      <c r="U130" s="34" t="n">
        <v>96.5912222429925</v>
      </c>
      <c r="V130" s="20">
        <f>IFERROR(BDP(E130&amp;" Corp","LAST_PRICE"),"--")</f>
        <v/>
      </c>
      <c r="W130" s="21">
        <f>IFERROR(BDP(E130&amp;" Corp","YAS_BENCHMARK_BOND_ISIN"),"--")</f>
        <v/>
      </c>
      <c r="X130" s="22">
        <f>IFERROR(BDP(W130&amp;" CORP","LAST_PRICE"),"--")</f>
        <v/>
      </c>
      <c r="Y130" s="23">
        <f>IFERROR(BDP(E130&amp;" Corp","YAS_YLD_SPREAD","YAS_BOND_PX="&amp;V130,"YAS_BNCHMRK_BOND_PX="&amp;X130),"--")</f>
        <v/>
      </c>
      <c r="Z130" s="23">
        <f>IFERROR(BDP(E130&amp;" Corp","BLOOMBERG_MID_G_SPREAD","YAS_BOND_PX="&amp;V130,"YAS_BNCHMRK_BOND_PX="&amp;X130),"--")</f>
        <v/>
      </c>
      <c r="AA130" s="23">
        <f>IFERROR(BDP(D130,"LAST_PRICE"),"--")</f>
        <v/>
      </c>
      <c r="AB130" s="24" t="n"/>
      <c r="AC130" s="23">
        <f>IFERROR(IF(ISBLANK(AB130),AA130,AB130),"--")</f>
        <v/>
      </c>
      <c r="AD130" s="23">
        <f>IFERROR(MAX(-500,MIN(500,AC130-Z130)),"--")</f>
        <v/>
      </c>
      <c r="AE130" s="25">
        <f>IFERROR((AD130-S130)/(T130-S130)*100,"--")</f>
        <v/>
      </c>
    </row>
    <row r="131">
      <c r="A131" s="11" t="inlineStr">
        <is>
          <t>AES</t>
        </is>
      </c>
      <c r="B131" s="12" t="inlineStr">
        <is>
          <t>IG</t>
        </is>
      </c>
      <c r="C131" s="11" t="inlineStr">
        <is>
          <t>AES 5.8 03/15/32</t>
        </is>
      </c>
      <c r="D131" s="12" t="inlineStr">
        <is>
          <t>AESCORP CDS USD SR 5Y D14 Corp</t>
        </is>
      </c>
      <c r="E131" s="12" t="inlineStr">
        <is>
          <t>US00130HCM51</t>
        </is>
      </c>
      <c r="F131" s="13" t="n">
        <v>45729</v>
      </c>
      <c r="G131" s="13" t="n">
        <v>46225</v>
      </c>
      <c r="H131" s="13" t="n">
        <v>48385</v>
      </c>
      <c r="I131" s="14" t="n">
        <v>107.5169982910156</v>
      </c>
      <c r="J131" s="14" t="n">
        <v>88.15499877929688</v>
      </c>
      <c r="K131" s="14" t="n">
        <v>120.717</v>
      </c>
      <c r="L131" s="14" t="n">
        <v>125.251</v>
      </c>
      <c r="M131" s="15" t="n">
        <v>341</v>
      </c>
      <c r="N131" s="16" t="n">
        <v>-13.20000170898437</v>
      </c>
      <c r="O131" s="17" t="n">
        <v>-29.16919824218749</v>
      </c>
      <c r="P131" s="17" t="n">
        <v>20.90979296875</v>
      </c>
      <c r="Q131" s="18" t="n">
        <v>31.88801560706233</v>
      </c>
      <c r="R131" s="17" t="n">
        <v>-32.56200122070312</v>
      </c>
      <c r="S131" s="17" t="n">
        <v>-48.29229852294921</v>
      </c>
      <c r="T131" s="17" t="n">
        <v>5.618701049804685</v>
      </c>
      <c r="U131" s="19" t="n">
        <v>29.17827053274677</v>
      </c>
      <c r="V131" s="20">
        <f>IFERROR(BDP(E131&amp;" Corp","LAST_PRICE"),"--")</f>
        <v/>
      </c>
      <c r="W131" s="21">
        <f>IFERROR(BDP(E131&amp;" Corp","YAS_BENCHMARK_BOND_ISIN"),"--")</f>
        <v/>
      </c>
      <c r="X131" s="22">
        <f>IFERROR(BDP(W131&amp;" CORP","LAST_PRICE"),"--")</f>
        <v/>
      </c>
      <c r="Y131" s="23">
        <f>IFERROR(BDP(E131&amp;" Corp","YAS_YLD_SPREAD","YAS_BOND_PX="&amp;V131,"YAS_BNCHMRK_BOND_PX="&amp;X131),"--")</f>
        <v/>
      </c>
      <c r="Z131" s="23">
        <f>IFERROR(BDP(E131&amp;" Corp","BLOOMBERG_MID_G_SPREAD","YAS_BOND_PX="&amp;V131,"YAS_BNCHMRK_BOND_PX="&amp;X131),"--")</f>
        <v/>
      </c>
      <c r="AA131" s="23">
        <f>IFERROR(BDP(D131,"LAST_PRICE"),"--")</f>
        <v/>
      </c>
      <c r="AB131" s="24" t="n"/>
      <c r="AC131" s="23">
        <f>IFERROR(IF(ISBLANK(AB131),AA131,AB131),"--")</f>
        <v/>
      </c>
      <c r="AD131" s="23">
        <f>IFERROR(MAX(-500,MIN(500,AC131-Z131)),"--")</f>
        <v/>
      </c>
      <c r="AE131" s="25">
        <f>IFERROR((AD131-S131)/(T131-S131)*100,"--")</f>
        <v/>
      </c>
    </row>
    <row r="132">
      <c r="A132" s="26" t="inlineStr">
        <is>
          <t>AIG</t>
        </is>
      </c>
      <c r="B132" s="27" t="inlineStr">
        <is>
          <t>IG</t>
        </is>
      </c>
      <c r="C132" s="26" t="inlineStr">
        <is>
          <t>AIG 5 1/8 03/27/33</t>
        </is>
      </c>
      <c r="D132" s="27" t="inlineStr">
        <is>
          <t>AIG CDS USD SR 5Y D14 Corp</t>
        </is>
      </c>
      <c r="E132" s="27" t="inlineStr">
        <is>
          <t>US026874DS37</t>
        </is>
      </c>
      <c r="F132" s="28" t="n">
        <v>45659</v>
      </c>
      <c r="G132" s="28" t="n">
        <v>46225</v>
      </c>
      <c r="H132" s="28" t="n">
        <v>48750</v>
      </c>
      <c r="I132" s="29" t="n">
        <v>77.01750183105469</v>
      </c>
      <c r="J132" s="29" t="n">
        <v>52.8114013671875</v>
      </c>
      <c r="K132" s="29" t="n">
        <v>70.376</v>
      </c>
      <c r="L132" s="29" t="n">
        <v>55.817</v>
      </c>
      <c r="M132" s="30" t="n">
        <v>388</v>
      </c>
      <c r="N132" s="31" t="n">
        <v>6.641501831054683</v>
      </c>
      <c r="O132" s="32" t="n">
        <v>-19.09530377197265</v>
      </c>
      <c r="P132" s="32" t="n">
        <v>15.49849694824218</v>
      </c>
      <c r="Q132" s="33" t="n">
        <v>74.3971609571887</v>
      </c>
      <c r="R132" s="32" t="n">
        <v>-17.5645986328125</v>
      </c>
      <c r="S132" s="32" t="n">
        <v>-35.17660260009765</v>
      </c>
      <c r="T132" s="32" t="n">
        <v>-3.803697998046871</v>
      </c>
      <c r="U132" s="34" t="n">
        <v>56.13762637117728</v>
      </c>
      <c r="V132" s="20">
        <f>IFERROR(BDP(E132&amp;" Corp","LAST_PRICE"),"--")</f>
        <v/>
      </c>
      <c r="W132" s="21">
        <f>IFERROR(BDP(E132&amp;" Corp","YAS_BENCHMARK_BOND_ISIN"),"--")</f>
        <v/>
      </c>
      <c r="X132" s="22">
        <f>IFERROR(BDP(W132&amp;" CORP","LAST_PRICE"),"--")</f>
        <v/>
      </c>
      <c r="Y132" s="23">
        <f>IFERROR(BDP(E132&amp;" Corp","YAS_YLD_SPREAD","YAS_BOND_PX="&amp;V132,"YAS_BNCHMRK_BOND_PX="&amp;X132),"--")</f>
        <v/>
      </c>
      <c r="Z132" s="23">
        <f>IFERROR(BDP(E132&amp;" Corp","BLOOMBERG_MID_G_SPREAD","YAS_BOND_PX="&amp;V132,"YAS_BNCHMRK_BOND_PX="&amp;X132),"--")</f>
        <v/>
      </c>
      <c r="AA132" s="23">
        <f>IFERROR(BDP(D132,"LAST_PRICE"),"--")</f>
        <v/>
      </c>
      <c r="AB132" s="24" t="n"/>
      <c r="AC132" s="23">
        <f>IFERROR(IF(ISBLANK(AB132),AA132,AB132),"--")</f>
        <v/>
      </c>
      <c r="AD132" s="23">
        <f>IFERROR(MAX(-500,MIN(500,AC132-Z132)),"--")</f>
        <v/>
      </c>
      <c r="AE132" s="25">
        <f>IFERROR((AD132-S132)/(T132-S132)*100,"--")</f>
        <v/>
      </c>
    </row>
    <row r="133">
      <c r="A133" s="11" t="inlineStr">
        <is>
          <t>ALL</t>
        </is>
      </c>
      <c r="B133" s="12" t="inlineStr">
        <is>
          <t>IG</t>
        </is>
      </c>
      <c r="C133" s="11" t="inlineStr">
        <is>
          <t>ALL 5 1/4 03/30/33</t>
        </is>
      </c>
      <c r="D133" s="12" t="inlineStr">
        <is>
          <t>ALL CDS USD SR 5Y D14 Corp</t>
        </is>
      </c>
      <c r="E133" s="12" t="inlineStr">
        <is>
          <t>US020002BK68</t>
        </is>
      </c>
      <c r="F133" s="13" t="n">
        <v>45659</v>
      </c>
      <c r="G133" s="13" t="n">
        <v>46225</v>
      </c>
      <c r="H133" s="13" t="n">
        <v>48750</v>
      </c>
      <c r="I133" s="14" t="n">
        <v>39.53250122070312</v>
      </c>
      <c r="J133" s="14" t="n">
        <v>30.17650032043457</v>
      </c>
      <c r="K133" s="14" t="n">
        <v>63.895</v>
      </c>
      <c r="L133" s="14" t="n">
        <v>49.754</v>
      </c>
      <c r="M133" s="15" t="n">
        <v>389</v>
      </c>
      <c r="N133" s="16" t="n">
        <v>-24.36249877929688</v>
      </c>
      <c r="O133" s="17" t="n">
        <v>-70.51409826660156</v>
      </c>
      <c r="P133" s="17" t="n">
        <v>-20.70819931030273</v>
      </c>
      <c r="Q133" s="18" t="n">
        <v>92.66291835792275</v>
      </c>
      <c r="R133" s="17" t="n">
        <v>-33.71849967956543</v>
      </c>
      <c r="S133" s="17" t="n">
        <v>-77.11220083618164</v>
      </c>
      <c r="T133" s="17" t="n">
        <v>-30.98679809570312</v>
      </c>
      <c r="U133" s="19" t="n">
        <v>94.07766345319077</v>
      </c>
      <c r="V133" s="20">
        <f>IFERROR(BDP(E133&amp;" Corp","LAST_PRICE"),"--")</f>
        <v/>
      </c>
      <c r="W133" s="21">
        <f>IFERROR(BDP(E133&amp;" Corp","YAS_BENCHMARK_BOND_ISIN"),"--")</f>
        <v/>
      </c>
      <c r="X133" s="22">
        <f>IFERROR(BDP(W133&amp;" CORP","LAST_PRICE"),"--")</f>
        <v/>
      </c>
      <c r="Y133" s="23">
        <f>IFERROR(BDP(E133&amp;" Corp","YAS_YLD_SPREAD","YAS_BOND_PX="&amp;V133,"YAS_BNCHMRK_BOND_PX="&amp;X133),"--")</f>
        <v/>
      </c>
      <c r="Z133" s="23">
        <f>IFERROR(BDP(E133&amp;" Corp","BLOOMBERG_MID_G_SPREAD","YAS_BOND_PX="&amp;V133,"YAS_BNCHMRK_BOND_PX="&amp;X133),"--")</f>
        <v/>
      </c>
      <c r="AA133" s="23">
        <f>IFERROR(BDP(D133,"LAST_PRICE"),"--")</f>
        <v/>
      </c>
      <c r="AB133" s="24" t="n"/>
      <c r="AC133" s="23">
        <f>IFERROR(IF(ISBLANK(AB133),AA133,AB133),"--")</f>
        <v/>
      </c>
      <c r="AD133" s="23">
        <f>IFERROR(MAX(-500,MIN(500,AC133-Z133)),"--")</f>
        <v/>
      </c>
      <c r="AE133" s="25">
        <f>IFERROR((AD133-S133)/(T133-S133)*100,"--")</f>
        <v/>
      </c>
    </row>
    <row r="134">
      <c r="A134" s="26" t="inlineStr">
        <is>
          <t>ALLY</t>
        </is>
      </c>
      <c r="B134" s="27" t="inlineStr">
        <is>
          <t>IG</t>
        </is>
      </c>
      <c r="C134" s="26" t="inlineStr">
        <is>
          <t>ALLY 8 11/01/31</t>
        </is>
      </c>
      <c r="D134" s="27" t="inlineStr">
        <is>
          <t>ALLY CDS USD SR 5Y D14 Corp</t>
        </is>
      </c>
      <c r="E134" s="27" t="inlineStr">
        <is>
          <t>US36186CBY84</t>
        </is>
      </c>
      <c r="F134" s="28" t="n">
        <v>45659</v>
      </c>
      <c r="G134" s="28" t="n">
        <v>46225</v>
      </c>
      <c r="H134" s="28" t="n">
        <v>48202</v>
      </c>
      <c r="I134" s="29" t="n">
        <v>138.4192047119141</v>
      </c>
      <c r="J134" s="29" t="n">
        <v>125.7202987670898</v>
      </c>
      <c r="K134" s="29" t="n">
        <v>123.075</v>
      </c>
      <c r="L134" s="29" t="n">
        <v>125.763</v>
      </c>
      <c r="M134" s="30" t="n">
        <v>389</v>
      </c>
      <c r="N134" s="31" t="n">
        <v>15.34420471191406</v>
      </c>
      <c r="O134" s="32" t="n">
        <v>-26.649599609375</v>
      </c>
      <c r="P134" s="32" t="n">
        <v>35.27170385742187</v>
      </c>
      <c r="Q134" s="33" t="n">
        <v>67.81802379823411</v>
      </c>
      <c r="R134" s="32" t="n">
        <v>2.645298767089841</v>
      </c>
      <c r="S134" s="32" t="n">
        <v>-35.65869384765625</v>
      </c>
      <c r="T134" s="32" t="n">
        <v>24.78770263671876</v>
      </c>
      <c r="U134" s="34" t="n">
        <v>63.36852954443268</v>
      </c>
      <c r="V134" s="20">
        <f>IFERROR(BDP(E134&amp;" Corp","LAST_PRICE"),"--")</f>
        <v/>
      </c>
      <c r="W134" s="21">
        <f>IFERROR(BDP(E134&amp;" Corp","YAS_BENCHMARK_BOND_ISIN"),"--")</f>
        <v/>
      </c>
      <c r="X134" s="22">
        <f>IFERROR(BDP(W134&amp;" CORP","LAST_PRICE"),"--")</f>
        <v/>
      </c>
      <c r="Y134" s="23">
        <f>IFERROR(BDP(E134&amp;" Corp","YAS_YLD_SPREAD","YAS_BOND_PX="&amp;V134,"YAS_BNCHMRK_BOND_PX="&amp;X134),"--")</f>
        <v/>
      </c>
      <c r="Z134" s="23">
        <f>IFERROR(BDP(E134&amp;" Corp","BLOOMBERG_MID_G_SPREAD","YAS_BOND_PX="&amp;V134,"YAS_BNCHMRK_BOND_PX="&amp;X134),"--")</f>
        <v/>
      </c>
      <c r="AA134" s="23">
        <f>IFERROR(BDP(D134,"LAST_PRICE"),"--")</f>
        <v/>
      </c>
      <c r="AB134" s="24" t="n"/>
      <c r="AC134" s="23">
        <f>IFERROR(IF(ISBLANK(AB134),AA134,AB134),"--")</f>
        <v/>
      </c>
      <c r="AD134" s="23">
        <f>IFERROR(MAX(-500,MIN(500,AC134-Z134)),"--")</f>
        <v/>
      </c>
      <c r="AE134" s="25">
        <f>IFERROR((AD134-S134)/(T134-S134)*100,"--")</f>
        <v/>
      </c>
    </row>
    <row r="135">
      <c r="A135" s="11" t="inlineStr">
        <is>
          <t>AMD</t>
        </is>
      </c>
      <c r="B135" s="12" t="inlineStr">
        <is>
          <t>IG</t>
        </is>
      </c>
      <c r="C135" s="11" t="inlineStr">
        <is>
          <t>AMD 3.924 06/01/32</t>
        </is>
      </c>
      <c r="D135" s="12" t="inlineStr">
        <is>
          <t>AMD CDS USD SR 5Y D14 Corp</t>
        </is>
      </c>
      <c r="E135" s="12" t="inlineStr">
        <is>
          <t>US007903BF39</t>
        </is>
      </c>
      <c r="F135" s="13" t="n">
        <v>45659</v>
      </c>
      <c r="G135" s="13" t="n">
        <v>46225</v>
      </c>
      <c r="H135" s="13" t="n">
        <v>48385</v>
      </c>
      <c r="I135" s="14" t="n">
        <v>76.64920043945312</v>
      </c>
      <c r="J135" s="14" t="n">
        <v>68.27680206298828</v>
      </c>
      <c r="K135" s="14" t="n">
        <v>41.219</v>
      </c>
      <c r="L135" s="14" t="n">
        <v>51.479</v>
      </c>
      <c r="M135" s="15" t="n">
        <v>389</v>
      </c>
      <c r="N135" s="16" t="n">
        <v>35.43020043945312</v>
      </c>
      <c r="O135" s="17" t="n">
        <v>-17.78630059814454</v>
      </c>
      <c r="P135" s="17" t="n">
        <v>36.1316025390625</v>
      </c>
      <c r="Q135" s="18" t="n">
        <v>98.69912949354783</v>
      </c>
      <c r="R135" s="17" t="n">
        <v>27.05780206298828</v>
      </c>
      <c r="S135" s="17" t="n">
        <v>-22.01399987792969</v>
      </c>
      <c r="T135" s="17" t="n">
        <v>27.76739813232422</v>
      </c>
      <c r="U135" s="19" t="n">
        <v>98.57457585022064</v>
      </c>
      <c r="V135" s="20">
        <f>IFERROR(BDP(E135&amp;" Corp","LAST_PRICE"),"--")</f>
        <v/>
      </c>
      <c r="W135" s="21">
        <f>IFERROR(BDP(E135&amp;" Corp","YAS_BENCHMARK_BOND_ISIN"),"--")</f>
        <v/>
      </c>
      <c r="X135" s="22">
        <f>IFERROR(BDP(W135&amp;" CORP","LAST_PRICE"),"--")</f>
        <v/>
      </c>
      <c r="Y135" s="23">
        <f>IFERROR(BDP(E135&amp;" Corp","YAS_YLD_SPREAD","YAS_BOND_PX="&amp;V135,"YAS_BNCHMRK_BOND_PX="&amp;X135),"--")</f>
        <v/>
      </c>
      <c r="Z135" s="23">
        <f>IFERROR(BDP(E135&amp;" Corp","BLOOMBERG_MID_G_SPREAD","YAS_BOND_PX="&amp;V135,"YAS_BNCHMRK_BOND_PX="&amp;X135),"--")</f>
        <v/>
      </c>
      <c r="AA135" s="23">
        <f>IFERROR(BDP(D135,"LAST_PRICE"),"--")</f>
        <v/>
      </c>
      <c r="AB135" s="24" t="n"/>
      <c r="AC135" s="23">
        <f>IFERROR(IF(ISBLANK(AB135),AA135,AB135),"--")</f>
        <v/>
      </c>
      <c r="AD135" s="23">
        <f>IFERROR(MAX(-500,MIN(500,AC135-Z135)),"--")</f>
        <v/>
      </c>
      <c r="AE135" s="25">
        <f>IFERROR((AD135-S135)/(T135-S135)*100,"--")</f>
        <v/>
      </c>
    </row>
    <row r="136">
      <c r="A136" s="26" t="inlineStr">
        <is>
          <t>AMGN</t>
        </is>
      </c>
      <c r="B136" s="27" t="inlineStr">
        <is>
          <t>IG</t>
        </is>
      </c>
      <c r="C136" s="26" t="inlineStr">
        <is>
          <t>AMGN 5 1/4 03/02/33</t>
        </is>
      </c>
      <c r="D136" s="27" t="inlineStr">
        <is>
          <t>AMGN CDS USD SR 5Y D14 Corp</t>
        </is>
      </c>
      <c r="E136" s="27" t="inlineStr">
        <is>
          <t>US031162DR88</t>
        </is>
      </c>
      <c r="F136" s="28" t="n">
        <v>45659</v>
      </c>
      <c r="G136" s="28" t="n">
        <v>46225</v>
      </c>
      <c r="H136" s="28" t="n">
        <v>48750</v>
      </c>
      <c r="I136" s="29" t="n">
        <v>41.20780181884766</v>
      </c>
      <c r="J136" s="29" t="n">
        <v>29.08790016174316</v>
      </c>
      <c r="K136" s="29" t="n">
        <v>65.575</v>
      </c>
      <c r="L136" s="29" t="n">
        <v>50.17</v>
      </c>
      <c r="M136" s="30" t="n">
        <v>389</v>
      </c>
      <c r="N136" s="31" t="n">
        <v>-24.36719818115235</v>
      </c>
      <c r="O136" s="32" t="n">
        <v>-47.9855</v>
      </c>
      <c r="P136" s="32" t="n">
        <v>-12.65660061645508</v>
      </c>
      <c r="Q136" s="33" t="n">
        <v>66.85263971129626</v>
      </c>
      <c r="R136" s="32" t="n">
        <v>-36.48709983825684</v>
      </c>
      <c r="S136" s="32" t="n">
        <v>-59.89559902954102</v>
      </c>
      <c r="T136" s="32" t="n">
        <v>-24.23209863281249</v>
      </c>
      <c r="U136" s="34" t="n">
        <v>65.63713300961193</v>
      </c>
      <c r="V136" s="20">
        <f>IFERROR(BDP(E136&amp;" Corp","LAST_PRICE"),"--")</f>
        <v/>
      </c>
      <c r="W136" s="21">
        <f>IFERROR(BDP(E136&amp;" Corp","YAS_BENCHMARK_BOND_ISIN"),"--")</f>
        <v/>
      </c>
      <c r="X136" s="22">
        <f>IFERROR(BDP(W136&amp;" CORP","LAST_PRICE"),"--")</f>
        <v/>
      </c>
      <c r="Y136" s="23">
        <f>IFERROR(BDP(E136&amp;" Corp","YAS_YLD_SPREAD","YAS_BOND_PX="&amp;V136,"YAS_BNCHMRK_BOND_PX="&amp;X136),"--")</f>
        <v/>
      </c>
      <c r="Z136" s="23">
        <f>IFERROR(BDP(E136&amp;" Corp","BLOOMBERG_MID_G_SPREAD","YAS_BOND_PX="&amp;V136,"YAS_BNCHMRK_BOND_PX="&amp;X136),"--")</f>
        <v/>
      </c>
      <c r="AA136" s="23">
        <f>IFERROR(BDP(D136,"LAST_PRICE"),"--")</f>
        <v/>
      </c>
      <c r="AB136" s="24" t="n"/>
      <c r="AC136" s="23">
        <f>IFERROR(IF(ISBLANK(AB136),AA136,AB136),"--")</f>
        <v/>
      </c>
      <c r="AD136" s="23">
        <f>IFERROR(MAX(-500,MIN(500,AC136-Z136)),"--")</f>
        <v/>
      </c>
      <c r="AE136" s="25">
        <f>IFERROR((AD136-S136)/(T136-S136)*100,"--")</f>
        <v/>
      </c>
    </row>
    <row r="137">
      <c r="A137" s="11" t="inlineStr">
        <is>
          <t>AMZN</t>
        </is>
      </c>
      <c r="B137" s="12" t="inlineStr">
        <is>
          <t>IG</t>
        </is>
      </c>
      <c r="C137" s="11" t="inlineStr">
        <is>
          <t>AMZN 3.6 04/13/32</t>
        </is>
      </c>
      <c r="D137" s="12" t="inlineStr">
        <is>
          <t>AMZN CDS USD SR 5Y D14 Corp</t>
        </is>
      </c>
      <c r="E137" s="12" t="inlineStr">
        <is>
          <t>US023135CH74</t>
        </is>
      </c>
      <c r="F137" s="13" t="n">
        <v>45659</v>
      </c>
      <c r="G137" s="13" t="n">
        <v>46225</v>
      </c>
      <c r="H137" s="13" t="n">
        <v>48385</v>
      </c>
      <c r="I137" s="14" t="n">
        <v>66.21479797363281</v>
      </c>
      <c r="J137" s="14" t="n">
        <v>59.47579956054688</v>
      </c>
      <c r="K137" s="14" t="n">
        <v>47.18</v>
      </c>
      <c r="L137" s="14" t="n">
        <v>54.475</v>
      </c>
      <c r="M137" s="15" t="n">
        <v>389</v>
      </c>
      <c r="N137" s="16" t="n">
        <v>19.03479797363281</v>
      </c>
      <c r="O137" s="17" t="n">
        <v>-29.54529879760742</v>
      </c>
      <c r="P137" s="17" t="n">
        <v>25.4595986328125</v>
      </c>
      <c r="Q137" s="18" t="n">
        <v>88.31958432918282</v>
      </c>
      <c r="R137" s="17" t="n">
        <v>12.29579956054688</v>
      </c>
      <c r="S137" s="17" t="n">
        <v>-32.67600177001952</v>
      </c>
      <c r="T137" s="17" t="n">
        <v>17.87060174560547</v>
      </c>
      <c r="U137" s="19" t="n">
        <v>88.97096580715794</v>
      </c>
      <c r="V137" s="20">
        <f>IFERROR(BDP(E137&amp;" Corp","LAST_PRICE"),"--")</f>
        <v/>
      </c>
      <c r="W137" s="21">
        <f>IFERROR(BDP(E137&amp;" Corp","YAS_BENCHMARK_BOND_ISIN"),"--")</f>
        <v/>
      </c>
      <c r="X137" s="22">
        <f>IFERROR(BDP(W137&amp;" CORP","LAST_PRICE"),"--")</f>
        <v/>
      </c>
      <c r="Y137" s="23">
        <f>IFERROR(BDP(E137&amp;" Corp","YAS_YLD_SPREAD","YAS_BOND_PX="&amp;V137,"YAS_BNCHMRK_BOND_PX="&amp;X137),"--")</f>
        <v/>
      </c>
      <c r="Z137" s="23">
        <f>IFERROR(BDP(E137&amp;" Corp","BLOOMBERG_MID_G_SPREAD","YAS_BOND_PX="&amp;V137,"YAS_BNCHMRK_BOND_PX="&amp;X137),"--")</f>
        <v/>
      </c>
      <c r="AA137" s="23">
        <f>IFERROR(BDP(D137,"LAST_PRICE"),"--")</f>
        <v/>
      </c>
      <c r="AB137" s="24" t="n"/>
      <c r="AC137" s="23">
        <f>IFERROR(IF(ISBLANK(AB137),AA137,AB137),"--")</f>
        <v/>
      </c>
      <c r="AD137" s="23">
        <f>IFERROR(MAX(-500,MIN(500,AC137-Z137)),"--")</f>
        <v/>
      </c>
      <c r="AE137" s="25">
        <f>IFERROR((AD137-S137)/(T137-S137)*100,"--")</f>
        <v/>
      </c>
    </row>
    <row r="138">
      <c r="A138" s="26" t="inlineStr">
        <is>
          <t>APA</t>
        </is>
      </c>
      <c r="B138" s="27" t="inlineStr">
        <is>
          <t>IG</t>
        </is>
      </c>
      <c r="C138" s="26" t="inlineStr">
        <is>
          <t>APA 4 1/4 01/15/30</t>
        </is>
      </c>
      <c r="D138" s="27" t="inlineStr">
        <is>
          <t>APA B CDS USD SR 5Y D14 Corp</t>
        </is>
      </c>
      <c r="E138" s="27" t="inlineStr">
        <is>
          <t>US03743QAZ19</t>
        </is>
      </c>
      <c r="F138" s="28" t="n">
        <v>45919</v>
      </c>
      <c r="G138" s="28" t="n">
        <v>46225</v>
      </c>
      <c r="H138" s="28" t="n">
        <v>47654</v>
      </c>
      <c r="I138" s="29" t="n">
        <v>70.06639862060547</v>
      </c>
      <c r="J138" s="29" t="n">
        <v>85.52100372314453</v>
      </c>
      <c r="K138" s="29" t="n">
        <v>62.608</v>
      </c>
      <c r="L138" s="29" t="n">
        <v>57.052</v>
      </c>
      <c r="M138" s="30" t="n">
        <v>210</v>
      </c>
      <c r="N138" s="31" t="n">
        <v>7.458398620605472</v>
      </c>
      <c r="O138" s="32" t="n">
        <v>-28.40639868164062</v>
      </c>
      <c r="P138" s="32" t="n">
        <v>20.15119750976562</v>
      </c>
      <c r="Q138" s="33" t="n">
        <v>73.86032282338036</v>
      </c>
      <c r="R138" s="32" t="n">
        <v>22.91300372314453</v>
      </c>
      <c r="S138" s="32" t="n">
        <v>-8.521002807617194</v>
      </c>
      <c r="T138" s="32" t="n">
        <v>36.95149810791015</v>
      </c>
      <c r="U138" s="34" t="n">
        <v>69.1275076098312</v>
      </c>
      <c r="V138" s="20">
        <f>IFERROR(BDP(E138&amp;" Corp","LAST_PRICE"),"--")</f>
        <v/>
      </c>
      <c r="W138" s="21">
        <f>IFERROR(BDP(E138&amp;" Corp","YAS_BENCHMARK_BOND_ISIN"),"--")</f>
        <v/>
      </c>
      <c r="X138" s="22">
        <f>IFERROR(BDP(W138&amp;" CORP","LAST_PRICE"),"--")</f>
        <v/>
      </c>
      <c r="Y138" s="23">
        <f>IFERROR(BDP(E138&amp;" Corp","YAS_YLD_SPREAD","YAS_BOND_PX="&amp;V138,"YAS_BNCHMRK_BOND_PX="&amp;X138),"--")</f>
        <v/>
      </c>
      <c r="Z138" s="23">
        <f>IFERROR(BDP(E138&amp;" Corp","BLOOMBERG_MID_G_SPREAD","YAS_BOND_PX="&amp;V138,"YAS_BNCHMRK_BOND_PX="&amp;X138),"--")</f>
        <v/>
      </c>
      <c r="AA138" s="23">
        <f>IFERROR(BDP(D138,"LAST_PRICE"),"--")</f>
        <v/>
      </c>
      <c r="AB138" s="24" t="n"/>
      <c r="AC138" s="23">
        <f>IFERROR(IF(ISBLANK(AB138),AA138,AB138),"--")</f>
        <v/>
      </c>
      <c r="AD138" s="23">
        <f>IFERROR(MAX(-500,MIN(500,AC138-Z138)),"--")</f>
        <v/>
      </c>
      <c r="AE138" s="25">
        <f>IFERROR((AD138-S138)/(T138-S138)*100,"--")</f>
        <v/>
      </c>
    </row>
    <row r="139">
      <c r="A139" s="11" t="inlineStr">
        <is>
          <t>ARW</t>
        </is>
      </c>
      <c r="B139" s="12" t="inlineStr">
        <is>
          <t>IG</t>
        </is>
      </c>
      <c r="C139" s="11" t="inlineStr">
        <is>
          <t>ARW 5 7/8 04/10/34</t>
        </is>
      </c>
      <c r="D139" s="12" t="inlineStr">
        <is>
          <t>ARW CDS USD SR 5Y D14 Corp</t>
        </is>
      </c>
      <c r="E139" s="12" t="inlineStr">
        <is>
          <t>US04273WAE12</t>
        </is>
      </c>
      <c r="F139" s="13" t="n">
        <v>45659</v>
      </c>
      <c r="G139" s="13" t="n">
        <v>46225</v>
      </c>
      <c r="H139" s="13" t="n">
        <v>49115</v>
      </c>
      <c r="I139" s="14" t="n">
        <v>96.47859954833984</v>
      </c>
      <c r="J139" s="14" t="n">
        <v>67.54180145263672</v>
      </c>
      <c r="K139" s="14" t="n">
        <v>106.118</v>
      </c>
      <c r="L139" s="14" t="n">
        <v>97.81999999999999</v>
      </c>
      <c r="M139" s="15" t="n">
        <v>389</v>
      </c>
      <c r="N139" s="16" t="n">
        <v>-9.639400451660151</v>
      </c>
      <c r="O139" s="17" t="n">
        <v>-64.83950231933593</v>
      </c>
      <c r="P139" s="17" t="n">
        <v>-5.827500671386716</v>
      </c>
      <c r="Q139" s="18" t="n">
        <v>93.54046689855689</v>
      </c>
      <c r="R139" s="17" t="n">
        <v>-38.57619854736328</v>
      </c>
      <c r="S139" s="17" t="n">
        <v>-86.9163989868164</v>
      </c>
      <c r="T139" s="17" t="n">
        <v>-32.32130157470704</v>
      </c>
      <c r="U139" s="19" t="n">
        <v>88.54311601380368</v>
      </c>
      <c r="V139" s="20">
        <f>IFERROR(BDP(E139&amp;" Corp","LAST_PRICE"),"--")</f>
        <v/>
      </c>
      <c r="W139" s="21">
        <f>IFERROR(BDP(E139&amp;" Corp","YAS_BENCHMARK_BOND_ISIN"),"--")</f>
        <v/>
      </c>
      <c r="X139" s="22">
        <f>IFERROR(BDP(W139&amp;" CORP","LAST_PRICE"),"--")</f>
        <v/>
      </c>
      <c r="Y139" s="23">
        <f>IFERROR(BDP(E139&amp;" Corp","YAS_YLD_SPREAD","YAS_BOND_PX="&amp;V139,"YAS_BNCHMRK_BOND_PX="&amp;X139),"--")</f>
        <v/>
      </c>
      <c r="Z139" s="23">
        <f>IFERROR(BDP(E139&amp;" Corp","BLOOMBERG_MID_G_SPREAD","YAS_BOND_PX="&amp;V139,"YAS_BNCHMRK_BOND_PX="&amp;X139),"--")</f>
        <v/>
      </c>
      <c r="AA139" s="23">
        <f>IFERROR(BDP(D139,"LAST_PRICE"),"--")</f>
        <v/>
      </c>
      <c r="AB139" s="24" t="n"/>
      <c r="AC139" s="23">
        <f>IFERROR(IF(ISBLANK(AB139),AA139,AB139),"--")</f>
        <v/>
      </c>
      <c r="AD139" s="23">
        <f>IFERROR(MAX(-500,MIN(500,AC139-Z139)),"--")</f>
        <v/>
      </c>
      <c r="AE139" s="25">
        <f>IFERROR((AD139-S139)/(T139-S139)*100,"--")</f>
        <v/>
      </c>
    </row>
    <row r="140">
      <c r="A140" s="26" t="inlineStr">
        <is>
          <t>AVGO</t>
        </is>
      </c>
      <c r="B140" s="27" t="inlineStr">
        <is>
          <t>IG</t>
        </is>
      </c>
      <c r="C140" s="26" t="inlineStr">
        <is>
          <t>AVGO 4.6 01/15/33</t>
        </is>
      </c>
      <c r="D140" s="27" t="inlineStr">
        <is>
          <t>AVGO B CDS USD SR 5Y D14 Corp</t>
        </is>
      </c>
      <c r="E140" s="27" t="inlineStr">
        <is>
          <t>US11135FDA66</t>
        </is>
      </c>
      <c r="F140" s="28" t="n">
        <v>46029</v>
      </c>
      <c r="G140" s="28" t="n">
        <v>46225</v>
      </c>
      <c r="H140" s="28" t="n">
        <v>48750</v>
      </c>
      <c r="I140" s="29" t="n">
        <v>95.79730224609375</v>
      </c>
      <c r="J140" s="29" t="n">
        <v>79.53990173339844</v>
      </c>
      <c r="K140" s="29" t="n">
        <v>72.661</v>
      </c>
      <c r="L140" s="29" t="n">
        <v>74.857</v>
      </c>
      <c r="M140" s="30" t="n">
        <v>136</v>
      </c>
      <c r="N140" s="31" t="n">
        <v>23.13630224609375</v>
      </c>
      <c r="O140" s="32" t="n">
        <v>-19.63469815063476</v>
      </c>
      <c r="P140" s="32" t="n">
        <v>25.53370013427734</v>
      </c>
      <c r="Q140" s="33" t="n">
        <v>94.69231148498703</v>
      </c>
      <c r="R140" s="32" t="n">
        <v>6.878901733398436</v>
      </c>
      <c r="S140" s="32" t="n">
        <v>-31.62280010986328</v>
      </c>
      <c r="T140" s="32" t="n">
        <v>11.06440081787109</v>
      </c>
      <c r="U140" s="34" t="n">
        <v>90.19495541167403</v>
      </c>
      <c r="V140" s="20">
        <f>IFERROR(BDP(E140&amp;" Corp","LAST_PRICE"),"--")</f>
        <v/>
      </c>
      <c r="W140" s="21">
        <f>IFERROR(BDP(E140&amp;" Corp","YAS_BENCHMARK_BOND_ISIN"),"--")</f>
        <v/>
      </c>
      <c r="X140" s="22">
        <f>IFERROR(BDP(W140&amp;" CORP","LAST_PRICE"),"--")</f>
        <v/>
      </c>
      <c r="Y140" s="23">
        <f>IFERROR(BDP(E140&amp;" Corp","YAS_YLD_SPREAD","YAS_BOND_PX="&amp;V140,"YAS_BNCHMRK_BOND_PX="&amp;X140),"--")</f>
        <v/>
      </c>
      <c r="Z140" s="23">
        <f>IFERROR(BDP(E140&amp;" Corp","BLOOMBERG_MID_G_SPREAD","YAS_BOND_PX="&amp;V140,"YAS_BNCHMRK_BOND_PX="&amp;X140),"--")</f>
        <v/>
      </c>
      <c r="AA140" s="23">
        <f>IFERROR(BDP(D140,"LAST_PRICE"),"--")</f>
        <v/>
      </c>
      <c r="AB140" s="24" t="n"/>
      <c r="AC140" s="23">
        <f>IFERROR(IF(ISBLANK(AB140),AA140,AB140),"--")</f>
        <v/>
      </c>
      <c r="AD140" s="23">
        <f>IFERROR(MAX(-500,MIN(500,AC140-Z140)),"--")</f>
        <v/>
      </c>
      <c r="AE140" s="25">
        <f>IFERROR((AD140-S140)/(T140-S140)*100,"--")</f>
        <v/>
      </c>
    </row>
    <row r="141">
      <c r="A141" s="11" t="inlineStr">
        <is>
          <t>AVT</t>
        </is>
      </c>
      <c r="B141" s="12" t="inlineStr">
        <is>
          <t>IG</t>
        </is>
      </c>
      <c r="C141" s="11" t="inlineStr">
        <is>
          <t>AVT 5 1/2 06/01/32</t>
        </is>
      </c>
      <c r="D141" s="12" t="inlineStr">
        <is>
          <t>AVT CDS USD SR 5Y D14 Corp</t>
        </is>
      </c>
      <c r="E141" s="12" t="inlineStr">
        <is>
          <t>US053807AV56</t>
        </is>
      </c>
      <c r="F141" s="13" t="n">
        <v>45659</v>
      </c>
      <c r="G141" s="13" t="n">
        <v>46225</v>
      </c>
      <c r="H141" s="13" t="n">
        <v>48385</v>
      </c>
      <c r="I141" s="14" t="n">
        <v>88.49600219726562</v>
      </c>
      <c r="J141" s="14" t="n">
        <v>70.79309844970703</v>
      </c>
      <c r="K141" s="14" t="n">
        <v>98.163</v>
      </c>
      <c r="L141" s="14" t="n">
        <v>102.054</v>
      </c>
      <c r="M141" s="15" t="n">
        <v>389</v>
      </c>
      <c r="N141" s="16" t="n">
        <v>-9.666997802734372</v>
      </c>
      <c r="O141" s="17" t="n">
        <v>-66.67579925537109</v>
      </c>
      <c r="P141" s="17" t="n">
        <v>-5.874603088378905</v>
      </c>
      <c r="Q141" s="18" t="n">
        <v>93.76263140623163</v>
      </c>
      <c r="R141" s="17" t="n">
        <v>-27.36990155029297</v>
      </c>
      <c r="S141" s="17" t="n">
        <v>-80.46180236816406</v>
      </c>
      <c r="T141" s="17" t="n">
        <v>-21.36379986572265</v>
      </c>
      <c r="U141" s="19" t="n">
        <v>89.83704790306206</v>
      </c>
      <c r="V141" s="20">
        <f>IFERROR(BDP(E141&amp;" Corp","LAST_PRICE"),"--")</f>
        <v/>
      </c>
      <c r="W141" s="21">
        <f>IFERROR(BDP(E141&amp;" Corp","YAS_BENCHMARK_BOND_ISIN"),"--")</f>
        <v/>
      </c>
      <c r="X141" s="22">
        <f>IFERROR(BDP(W141&amp;" CORP","LAST_PRICE"),"--")</f>
        <v/>
      </c>
      <c r="Y141" s="23">
        <f>IFERROR(BDP(E141&amp;" Corp","YAS_YLD_SPREAD","YAS_BOND_PX="&amp;V141,"YAS_BNCHMRK_BOND_PX="&amp;X141),"--")</f>
        <v/>
      </c>
      <c r="Z141" s="23">
        <f>IFERROR(BDP(E141&amp;" Corp","BLOOMBERG_MID_G_SPREAD","YAS_BOND_PX="&amp;V141,"YAS_BNCHMRK_BOND_PX="&amp;X141),"--")</f>
        <v/>
      </c>
      <c r="AA141" s="23">
        <f>IFERROR(BDP(D141,"LAST_PRICE"),"--")</f>
        <v/>
      </c>
      <c r="AB141" s="24" t="n"/>
      <c r="AC141" s="23">
        <f>IFERROR(IF(ISBLANK(AB141),AA141,AB141),"--")</f>
        <v/>
      </c>
      <c r="AD141" s="23">
        <f>IFERROR(MAX(-500,MIN(500,AC141-Z141)),"--")</f>
        <v/>
      </c>
      <c r="AE141" s="25">
        <f>IFERROR((AD141-S141)/(T141-S141)*100,"--")</f>
        <v/>
      </c>
    </row>
    <row r="142">
      <c r="A142" s="26" t="inlineStr">
        <is>
          <t>AXP</t>
        </is>
      </c>
      <c r="B142" s="27" t="inlineStr">
        <is>
          <t>IG</t>
        </is>
      </c>
      <c r="C142" s="26" t="inlineStr">
        <is>
          <t>AXP 4.42 08/03/33</t>
        </is>
      </c>
      <c r="D142" s="27" t="inlineStr">
        <is>
          <t>AXPRS CDS USD SR 5Y D14 Corp</t>
        </is>
      </c>
      <c r="E142" s="27" t="inlineStr">
        <is>
          <t>US025816DA48</t>
        </is>
      </c>
      <c r="F142" s="28" t="n">
        <v>45659</v>
      </c>
      <c r="G142" s="28" t="n">
        <v>46225</v>
      </c>
      <c r="H142" s="28" t="n">
        <v>48933</v>
      </c>
      <c r="I142" s="29" t="n">
        <v>44.60459899902344</v>
      </c>
      <c r="J142" s="29" t="n">
        <v>30.73909950256348</v>
      </c>
      <c r="K142" s="29" t="n">
        <v>67.777</v>
      </c>
      <c r="L142" s="29" t="n">
        <v>75.536</v>
      </c>
      <c r="M142" s="30" t="n">
        <v>388</v>
      </c>
      <c r="N142" s="31" t="n">
        <v>-23.17240100097656</v>
      </c>
      <c r="O142" s="32" t="n">
        <v>-55.96879867553712</v>
      </c>
      <c r="P142" s="32" t="n">
        <v>-11.79770190429687</v>
      </c>
      <c r="Q142" s="33" t="n">
        <v>74.24854728967077</v>
      </c>
      <c r="R142" s="32" t="n">
        <v>-37.03790049743652</v>
      </c>
      <c r="S142" s="32" t="n">
        <v>-67.74119857788087</v>
      </c>
      <c r="T142" s="32" t="n">
        <v>-26.13800119018555</v>
      </c>
      <c r="U142" s="34" t="n">
        <v>73.8003326867498</v>
      </c>
      <c r="V142" s="20">
        <f>IFERROR(BDP(E142&amp;" Corp","LAST_PRICE"),"--")</f>
        <v/>
      </c>
      <c r="W142" s="21">
        <f>IFERROR(BDP(E142&amp;" Corp","YAS_BENCHMARK_BOND_ISIN"),"--")</f>
        <v/>
      </c>
      <c r="X142" s="22">
        <f>IFERROR(BDP(W142&amp;" CORP","LAST_PRICE"),"--")</f>
        <v/>
      </c>
      <c r="Y142" s="23">
        <f>IFERROR(BDP(E142&amp;" Corp","YAS_YLD_SPREAD","YAS_BOND_PX="&amp;V142,"YAS_BNCHMRK_BOND_PX="&amp;X142),"--")</f>
        <v/>
      </c>
      <c r="Z142" s="23">
        <f>IFERROR(BDP(E142&amp;" Corp","BLOOMBERG_MID_G_SPREAD","YAS_BOND_PX="&amp;V142,"YAS_BNCHMRK_BOND_PX="&amp;X142),"--")</f>
        <v/>
      </c>
      <c r="AA142" s="23">
        <f>IFERROR(BDP(D142,"LAST_PRICE"),"--")</f>
        <v/>
      </c>
      <c r="AB142" s="24" t="n"/>
      <c r="AC142" s="23">
        <f>IFERROR(IF(ISBLANK(AB142),AA142,AB142),"--")</f>
        <v/>
      </c>
      <c r="AD142" s="23">
        <f>IFERROR(MAX(-500,MIN(500,AC142-Z142)),"--")</f>
        <v/>
      </c>
      <c r="AE142" s="25">
        <f>IFERROR((AD142-S142)/(T142-S142)*100,"--")</f>
        <v/>
      </c>
    </row>
    <row r="143">
      <c r="A143" s="11" t="inlineStr">
        <is>
          <t>AZO</t>
        </is>
      </c>
      <c r="B143" s="12" t="inlineStr">
        <is>
          <t>IG</t>
        </is>
      </c>
      <c r="C143" s="11" t="inlineStr">
        <is>
          <t>AZO 5.4 07/15/34</t>
        </is>
      </c>
      <c r="D143" s="12" t="inlineStr">
        <is>
          <t>AZO CDS USD SR 5Y D14 Corp</t>
        </is>
      </c>
      <c r="E143" s="12" t="inlineStr">
        <is>
          <t>US053332BK78</t>
        </is>
      </c>
      <c r="F143" s="13" t="n">
        <v>45659</v>
      </c>
      <c r="G143" s="13" t="n">
        <v>46225</v>
      </c>
      <c r="H143" s="13" t="n">
        <v>49298</v>
      </c>
      <c r="I143" s="14" t="n">
        <v>49.8297004699707</v>
      </c>
      <c r="J143" s="14" t="n">
        <v>29.95190048217773</v>
      </c>
      <c r="K143" s="14" t="n">
        <v>81.877</v>
      </c>
      <c r="L143" s="14" t="n">
        <v>75.39</v>
      </c>
      <c r="M143" s="15" t="n">
        <v>389</v>
      </c>
      <c r="N143" s="16" t="n">
        <v>-32.04729953002929</v>
      </c>
      <c r="O143" s="17" t="n">
        <v>-57.78289739990234</v>
      </c>
      <c r="P143" s="17" t="n">
        <v>-18.4372026977539</v>
      </c>
      <c r="Q143" s="18" t="n">
        <v>65.40892990883646</v>
      </c>
      <c r="R143" s="17" t="n">
        <v>-51.92509951782226</v>
      </c>
      <c r="S143" s="17" t="n">
        <v>-78.99840109252929</v>
      </c>
      <c r="T143" s="17" t="n">
        <v>-39.91380014038086</v>
      </c>
      <c r="U143" s="19" t="n">
        <v>69.26846101832554</v>
      </c>
      <c r="V143" s="20">
        <f>IFERROR(BDP(E143&amp;" Corp","LAST_PRICE"),"--")</f>
        <v/>
      </c>
      <c r="W143" s="21">
        <f>IFERROR(BDP(E143&amp;" Corp","YAS_BENCHMARK_BOND_ISIN"),"--")</f>
        <v/>
      </c>
      <c r="X143" s="22">
        <f>IFERROR(BDP(W143&amp;" CORP","LAST_PRICE"),"--")</f>
        <v/>
      </c>
      <c r="Y143" s="23">
        <f>IFERROR(BDP(E143&amp;" Corp","YAS_YLD_SPREAD","YAS_BOND_PX="&amp;V143,"YAS_BNCHMRK_BOND_PX="&amp;X143),"--")</f>
        <v/>
      </c>
      <c r="Z143" s="23">
        <f>IFERROR(BDP(E143&amp;" Corp","BLOOMBERG_MID_G_SPREAD","YAS_BOND_PX="&amp;V143,"YAS_BNCHMRK_BOND_PX="&amp;X143),"--")</f>
        <v/>
      </c>
      <c r="AA143" s="23">
        <f>IFERROR(BDP(D143,"LAST_PRICE"),"--")</f>
        <v/>
      </c>
      <c r="AB143" s="24" t="n"/>
      <c r="AC143" s="23">
        <f>IFERROR(IF(ISBLANK(AB143),AA143,AB143),"--")</f>
        <v/>
      </c>
      <c r="AD143" s="23">
        <f>IFERROR(MAX(-500,MIN(500,AC143-Z143)),"--")</f>
        <v/>
      </c>
      <c r="AE143" s="25">
        <f>IFERROR((AD143-S143)/(T143-S143)*100,"--")</f>
        <v/>
      </c>
    </row>
    <row r="144">
      <c r="A144" s="26" t="inlineStr">
        <is>
          <t>BA</t>
        </is>
      </c>
      <c r="B144" s="27" t="inlineStr">
        <is>
          <t>IG</t>
        </is>
      </c>
      <c r="C144" s="26" t="inlineStr">
        <is>
          <t>BA 6.528 05/01/34</t>
        </is>
      </c>
      <c r="D144" s="27" t="inlineStr">
        <is>
          <t>BA CO CDS USD SR 5Y D14 Corp</t>
        </is>
      </c>
      <c r="E144" s="27" t="inlineStr">
        <is>
          <t>US097023DS12</t>
        </is>
      </c>
      <c r="F144" s="28" t="n">
        <v>45859</v>
      </c>
      <c r="G144" s="28" t="n">
        <v>46225</v>
      </c>
      <c r="H144" s="28" t="n">
        <v>49115</v>
      </c>
      <c r="I144" s="29" t="n">
        <v>86.15280151367188</v>
      </c>
      <c r="J144" s="29" t="n">
        <v>60.04669952392578</v>
      </c>
      <c r="K144" s="29" t="n">
        <v>77.178</v>
      </c>
      <c r="L144" s="29" t="n">
        <v>67.81699999999999</v>
      </c>
      <c r="M144" s="30" t="n">
        <v>253</v>
      </c>
      <c r="N144" s="31" t="n">
        <v>8.974801513671878</v>
      </c>
      <c r="O144" s="32" t="n">
        <v>-10.10900030517578</v>
      </c>
      <c r="P144" s="32" t="n">
        <v>17.79829656982422</v>
      </c>
      <c r="Q144" s="33" t="n">
        <v>68.38283874044201</v>
      </c>
      <c r="R144" s="32" t="n">
        <v>-17.13130047607422</v>
      </c>
      <c r="S144" s="32" t="n">
        <v>-28.65589819335938</v>
      </c>
      <c r="T144" s="32" t="n">
        <v>-8.839696289062502</v>
      </c>
      <c r="U144" s="34" t="n">
        <v>58.15745001460753</v>
      </c>
      <c r="V144" s="20">
        <f>IFERROR(BDP(E144&amp;" Corp","LAST_PRICE"),"--")</f>
        <v/>
      </c>
      <c r="W144" s="21">
        <f>IFERROR(BDP(E144&amp;" Corp","YAS_BENCHMARK_BOND_ISIN"),"--")</f>
        <v/>
      </c>
      <c r="X144" s="22">
        <f>IFERROR(BDP(W144&amp;" CORP","LAST_PRICE"),"--")</f>
        <v/>
      </c>
      <c r="Y144" s="23">
        <f>IFERROR(BDP(E144&amp;" Corp","YAS_YLD_SPREAD","YAS_BOND_PX="&amp;V144,"YAS_BNCHMRK_BOND_PX="&amp;X144),"--")</f>
        <v/>
      </c>
      <c r="Z144" s="23">
        <f>IFERROR(BDP(E144&amp;" Corp","BLOOMBERG_MID_G_SPREAD","YAS_BOND_PX="&amp;V144,"YAS_BNCHMRK_BOND_PX="&amp;X144),"--")</f>
        <v/>
      </c>
      <c r="AA144" s="23">
        <f>IFERROR(BDP(D144,"LAST_PRICE"),"--")</f>
        <v/>
      </c>
      <c r="AB144" s="24" t="n"/>
      <c r="AC144" s="23">
        <f>IFERROR(IF(ISBLANK(AB144),AA144,AB144),"--")</f>
        <v/>
      </c>
      <c r="AD144" s="23">
        <f>IFERROR(MAX(-500,MIN(500,AC144-Z144)),"--")</f>
        <v/>
      </c>
      <c r="AE144" s="25">
        <f>IFERROR((AD144-S144)/(T144-S144)*100,"--")</f>
        <v/>
      </c>
    </row>
    <row r="145">
      <c r="A145" s="11" t="inlineStr">
        <is>
          <t>BAX</t>
        </is>
      </c>
      <c r="B145" s="12" t="inlineStr">
        <is>
          <t>IG</t>
        </is>
      </c>
      <c r="C145" s="11" t="inlineStr">
        <is>
          <t>BAX 2.539 02/01/32</t>
        </is>
      </c>
      <c r="D145" s="12" t="inlineStr">
        <is>
          <t>BAX CDS USD SR 5Y D14 Corp</t>
        </is>
      </c>
      <c r="E145" s="12" t="inlineStr">
        <is>
          <t>US071813CS61</t>
        </is>
      </c>
      <c r="F145" s="13" t="n">
        <v>45659</v>
      </c>
      <c r="G145" s="13" t="n">
        <v>46225</v>
      </c>
      <c r="H145" s="13" t="n">
        <v>48385</v>
      </c>
      <c r="I145" s="14" t="n">
        <v>99.89109802246094</v>
      </c>
      <c r="J145" s="14" t="n">
        <v>85.49130249023438</v>
      </c>
      <c r="K145" s="14" t="n">
        <v>122.588</v>
      </c>
      <c r="L145" s="14" t="n">
        <v>128.44</v>
      </c>
      <c r="M145" s="15" t="n">
        <v>389</v>
      </c>
      <c r="N145" s="16" t="n">
        <v>-22.69690197753906</v>
      </c>
      <c r="O145" s="17" t="n">
        <v>-45.34389904785155</v>
      </c>
      <c r="P145" s="17" t="n">
        <v>4.798602233886726</v>
      </c>
      <c r="Q145" s="18" t="n">
        <v>45.16527195774426</v>
      </c>
      <c r="R145" s="17" t="n">
        <v>-37.09669750976562</v>
      </c>
      <c r="S145" s="17" t="n">
        <v>-56.33610180664061</v>
      </c>
      <c r="T145" s="17" t="n">
        <v>-6.404802368164056</v>
      </c>
      <c r="U145" s="19" t="n">
        <v>38.53175165325119</v>
      </c>
      <c r="V145" s="20">
        <f>IFERROR(BDP(E145&amp;" Corp","LAST_PRICE"),"--")</f>
        <v/>
      </c>
      <c r="W145" s="21">
        <f>IFERROR(BDP(E145&amp;" Corp","YAS_BENCHMARK_BOND_ISIN"),"--")</f>
        <v/>
      </c>
      <c r="X145" s="22">
        <f>IFERROR(BDP(W145&amp;" CORP","LAST_PRICE"),"--")</f>
        <v/>
      </c>
      <c r="Y145" s="23">
        <f>IFERROR(BDP(E145&amp;" Corp","YAS_YLD_SPREAD","YAS_BOND_PX="&amp;V145,"YAS_BNCHMRK_BOND_PX="&amp;X145),"--")</f>
        <v/>
      </c>
      <c r="Z145" s="23">
        <f>IFERROR(BDP(E145&amp;" Corp","BLOOMBERG_MID_G_SPREAD","YAS_BOND_PX="&amp;V145,"YAS_BNCHMRK_BOND_PX="&amp;X145),"--")</f>
        <v/>
      </c>
      <c r="AA145" s="23">
        <f>IFERROR(BDP(D145,"LAST_PRICE"),"--")</f>
        <v/>
      </c>
      <c r="AB145" s="24" t="n"/>
      <c r="AC145" s="23">
        <f>IFERROR(IF(ISBLANK(AB145),AA145,AB145),"--")</f>
        <v/>
      </c>
      <c r="AD145" s="23">
        <f>IFERROR(MAX(-500,MIN(500,AC145-Z145)),"--")</f>
        <v/>
      </c>
      <c r="AE145" s="25">
        <f>IFERROR((AD145-S145)/(T145-S145)*100,"--")</f>
        <v/>
      </c>
    </row>
    <row r="146">
      <c r="A146" s="26" t="inlineStr">
        <is>
          <t>BBY</t>
        </is>
      </c>
      <c r="B146" s="27" t="inlineStr">
        <is>
          <t>IG</t>
        </is>
      </c>
      <c r="C146" s="26" t="inlineStr">
        <is>
          <t>BBY 1.95 10/01/30</t>
        </is>
      </c>
      <c r="D146" s="27" t="inlineStr">
        <is>
          <t>BBY CDS USD SR 5Y D14 Corp</t>
        </is>
      </c>
      <c r="E146" s="27" t="inlineStr">
        <is>
          <t>US08652BAB53</t>
        </is>
      </c>
      <c r="F146" s="28" t="n">
        <v>45659</v>
      </c>
      <c r="G146" s="28" t="n">
        <v>46225</v>
      </c>
      <c r="H146" s="28" t="n">
        <v>47837</v>
      </c>
      <c r="I146" s="29" t="n">
        <v>49.27199935913086</v>
      </c>
      <c r="J146" s="29" t="n">
        <v>55.30440139770508</v>
      </c>
      <c r="K146" s="29" t="n">
        <v>59.787</v>
      </c>
      <c r="L146" s="29" t="n">
        <v>57.971</v>
      </c>
      <c r="M146" s="30" t="n">
        <v>390</v>
      </c>
      <c r="N146" s="31" t="n">
        <v>-10.51500064086914</v>
      </c>
      <c r="O146" s="32" t="n">
        <v>-58.23350280761719</v>
      </c>
      <c r="P146" s="32" t="n">
        <v>2.655201019287112</v>
      </c>
      <c r="Q146" s="33" t="n">
        <v>78.37004102173569</v>
      </c>
      <c r="R146" s="32" t="n">
        <v>-4.482598602294921</v>
      </c>
      <c r="S146" s="32" t="n">
        <v>-51.68220275878906</v>
      </c>
      <c r="T146" s="32" t="n">
        <v>8.997001708984378</v>
      </c>
      <c r="U146" s="34" t="n">
        <v>77.78546961926919</v>
      </c>
      <c r="V146" s="20">
        <f>IFERROR(BDP(E146&amp;" Corp","LAST_PRICE"),"--")</f>
        <v/>
      </c>
      <c r="W146" s="21">
        <f>IFERROR(BDP(E146&amp;" Corp","YAS_BENCHMARK_BOND_ISIN"),"--")</f>
        <v/>
      </c>
      <c r="X146" s="22">
        <f>IFERROR(BDP(W146&amp;" CORP","LAST_PRICE"),"--")</f>
        <v/>
      </c>
      <c r="Y146" s="23">
        <f>IFERROR(BDP(E146&amp;" Corp","YAS_YLD_SPREAD","YAS_BOND_PX="&amp;V146,"YAS_BNCHMRK_BOND_PX="&amp;X146),"--")</f>
        <v/>
      </c>
      <c r="Z146" s="23">
        <f>IFERROR(BDP(E146&amp;" Corp","BLOOMBERG_MID_G_SPREAD","YAS_BOND_PX="&amp;V146,"YAS_BNCHMRK_BOND_PX="&amp;X146),"--")</f>
        <v/>
      </c>
      <c r="AA146" s="23">
        <f>IFERROR(BDP(D146,"LAST_PRICE"),"--")</f>
        <v/>
      </c>
      <c r="AB146" s="24" t="n"/>
      <c r="AC146" s="23">
        <f>IFERROR(IF(ISBLANK(AB146),AA146,AB146),"--")</f>
        <v/>
      </c>
      <c r="AD146" s="23">
        <f>IFERROR(MAX(-500,MIN(500,AC146-Z146)),"--")</f>
        <v/>
      </c>
      <c r="AE146" s="25">
        <f>IFERROR((AD146-S146)/(T146-S146)*100,"--")</f>
        <v/>
      </c>
    </row>
    <row r="147">
      <c r="A147" s="11" t="inlineStr">
        <is>
          <t>BMY</t>
        </is>
      </c>
      <c r="B147" s="12" t="inlineStr">
        <is>
          <t>IG</t>
        </is>
      </c>
      <c r="C147" s="11" t="inlineStr">
        <is>
          <t>BMY 5.9 11/15/33</t>
        </is>
      </c>
      <c r="D147" s="12" t="inlineStr">
        <is>
          <t>BMY CDS USD SR 5Y D14 Corp</t>
        </is>
      </c>
      <c r="E147" s="12" t="inlineStr">
        <is>
          <t>US110122DZ89</t>
        </is>
      </c>
      <c r="F147" s="13" t="n">
        <v>45659</v>
      </c>
      <c r="G147" s="13" t="n">
        <v>46225</v>
      </c>
      <c r="H147" s="13" t="n">
        <v>48933</v>
      </c>
      <c r="I147" s="14" t="n">
        <v>41.64619827270508</v>
      </c>
      <c r="J147" s="14" t="n">
        <v>27.87899971008301</v>
      </c>
      <c r="K147" s="14" t="n">
        <v>55.492</v>
      </c>
      <c r="L147" s="14" t="n">
        <v>43.792</v>
      </c>
      <c r="M147" s="15" t="n">
        <v>389</v>
      </c>
      <c r="N147" s="16" t="n">
        <v>-13.84580172729492</v>
      </c>
      <c r="O147" s="17" t="n">
        <v>-25.43100073242188</v>
      </c>
      <c r="P147" s="17" t="n">
        <v>9.660901336669923</v>
      </c>
      <c r="Q147" s="18" t="n">
        <v>33.01388161381812</v>
      </c>
      <c r="R147" s="17" t="n">
        <v>-27.61300028991699</v>
      </c>
      <c r="S147" s="17" t="n">
        <v>-38.18719961547852</v>
      </c>
      <c r="T147" s="17" t="n">
        <v>-2.646601409912108</v>
      </c>
      <c r="U147" s="19" t="n">
        <v>29.75245172971058</v>
      </c>
      <c r="V147" s="20">
        <f>IFERROR(BDP(E147&amp;" Corp","LAST_PRICE"),"--")</f>
        <v/>
      </c>
      <c r="W147" s="21">
        <f>IFERROR(BDP(E147&amp;" Corp","YAS_BENCHMARK_BOND_ISIN"),"--")</f>
        <v/>
      </c>
      <c r="X147" s="22">
        <f>IFERROR(BDP(W147&amp;" CORP","LAST_PRICE"),"--")</f>
        <v/>
      </c>
      <c r="Y147" s="23">
        <f>IFERROR(BDP(E147&amp;" Corp","YAS_YLD_SPREAD","YAS_BOND_PX="&amp;V147,"YAS_BNCHMRK_BOND_PX="&amp;X147),"--")</f>
        <v/>
      </c>
      <c r="Z147" s="23">
        <f>IFERROR(BDP(E147&amp;" Corp","BLOOMBERG_MID_G_SPREAD","YAS_BOND_PX="&amp;V147,"YAS_BNCHMRK_BOND_PX="&amp;X147),"--")</f>
        <v/>
      </c>
      <c r="AA147" s="23">
        <f>IFERROR(BDP(D147,"LAST_PRICE"),"--")</f>
        <v/>
      </c>
      <c r="AB147" s="24" t="n"/>
      <c r="AC147" s="23">
        <f>IFERROR(IF(ISBLANK(AB147),AA147,AB147),"--")</f>
        <v/>
      </c>
      <c r="AD147" s="23">
        <f>IFERROR(MAX(-500,MIN(500,AC147-Z147)),"--")</f>
        <v/>
      </c>
      <c r="AE147" s="25">
        <f>IFERROR((AD147-S147)/(T147-S147)*100,"--")</f>
        <v/>
      </c>
    </row>
    <row r="148">
      <c r="A148" s="26" t="inlineStr">
        <is>
          <t>BSX</t>
        </is>
      </c>
      <c r="B148" s="27" t="inlineStr">
        <is>
          <t>IG</t>
        </is>
      </c>
      <c r="C148" s="26" t="inlineStr">
        <is>
          <t>BSX 6 1/4 11/15/35</t>
        </is>
      </c>
      <c r="D148" s="27" t="inlineStr">
        <is>
          <t>BSX CDS USD SR 5Y D14 Corp</t>
        </is>
      </c>
      <c r="E148" s="27" t="inlineStr">
        <is>
          <t>US101137AE71</t>
        </is>
      </c>
      <c r="F148" s="28" t="n">
        <v>45922</v>
      </c>
      <c r="G148" s="28" t="n">
        <v>46225</v>
      </c>
      <c r="H148" s="28" t="n">
        <v>49663</v>
      </c>
      <c r="I148" s="29" t="n">
        <v>52.85559844970703</v>
      </c>
      <c r="J148" s="29" t="n">
        <v>30.66670036315918</v>
      </c>
      <c r="K148" s="29" t="n">
        <v>60.383</v>
      </c>
      <c r="L148" s="29" t="n">
        <v>58.784</v>
      </c>
      <c r="M148" s="30" t="n">
        <v>209</v>
      </c>
      <c r="N148" s="31" t="n">
        <v>-7.527401550292971</v>
      </c>
      <c r="O148" s="32" t="n">
        <v>-15.30739920043945</v>
      </c>
      <c r="P148" s="32" t="n">
        <v>6.452100524902342</v>
      </c>
      <c r="Q148" s="33" t="n">
        <v>35.75448768744279</v>
      </c>
      <c r="R148" s="32" t="n">
        <v>-29.71629963684082</v>
      </c>
      <c r="S148" s="32" t="n">
        <v>-43.30050119018554</v>
      </c>
      <c r="T148" s="32" t="n">
        <v>-1.446299133300784</v>
      </c>
      <c r="U148" s="34" t="n">
        <v>32.45600414238503</v>
      </c>
      <c r="V148" s="20">
        <f>IFERROR(BDP(E148&amp;" Corp","LAST_PRICE"),"--")</f>
        <v/>
      </c>
      <c r="W148" s="21">
        <f>IFERROR(BDP(E148&amp;" Corp","YAS_BENCHMARK_BOND_ISIN"),"--")</f>
        <v/>
      </c>
      <c r="X148" s="22">
        <f>IFERROR(BDP(W148&amp;" CORP","LAST_PRICE"),"--")</f>
        <v/>
      </c>
      <c r="Y148" s="23">
        <f>IFERROR(BDP(E148&amp;" Corp","YAS_YLD_SPREAD","YAS_BOND_PX="&amp;V148,"YAS_BNCHMRK_BOND_PX="&amp;X148),"--")</f>
        <v/>
      </c>
      <c r="Z148" s="23">
        <f>IFERROR(BDP(E148&amp;" Corp","BLOOMBERG_MID_G_SPREAD","YAS_BOND_PX="&amp;V148,"YAS_BNCHMRK_BOND_PX="&amp;X148),"--")</f>
        <v/>
      </c>
      <c r="AA148" s="23">
        <f>IFERROR(BDP(D148,"LAST_PRICE"),"--")</f>
        <v/>
      </c>
      <c r="AB148" s="24" t="n"/>
      <c r="AC148" s="23">
        <f>IFERROR(IF(ISBLANK(AB148),AA148,AB148),"--")</f>
        <v/>
      </c>
      <c r="AD148" s="23">
        <f>IFERROR(MAX(-500,MIN(500,AC148-Z148)),"--")</f>
        <v/>
      </c>
      <c r="AE148" s="25">
        <f>IFERROR((AD148-S148)/(T148-S148)*100,"--")</f>
        <v/>
      </c>
    </row>
    <row r="149">
      <c r="A149" s="11" t="inlineStr">
        <is>
          <t>BWA</t>
        </is>
      </c>
      <c r="B149" s="12" t="inlineStr">
        <is>
          <t>IG</t>
        </is>
      </c>
      <c r="C149" s="11" t="inlineStr">
        <is>
          <t>BWA 5.4 08/15/34</t>
        </is>
      </c>
      <c r="D149" s="12" t="inlineStr">
        <is>
          <t>BWA CDS USD SR 5Y D14 Corp</t>
        </is>
      </c>
      <c r="E149" s="12" t="inlineStr">
        <is>
          <t>US099724AQ98</t>
        </is>
      </c>
      <c r="F149" s="13" t="n">
        <v>45659</v>
      </c>
      <c r="G149" s="13" t="n">
        <v>46225</v>
      </c>
      <c r="H149" s="13" t="n">
        <v>49298</v>
      </c>
      <c r="I149" s="14" t="n">
        <v>74.55100250244141</v>
      </c>
      <c r="J149" s="14" t="n">
        <v>46.70000076293945</v>
      </c>
      <c r="K149" s="14" t="n">
        <v>75.73</v>
      </c>
      <c r="L149" s="14" t="n">
        <v>70.16500000000001</v>
      </c>
      <c r="M149" s="15" t="n">
        <v>389</v>
      </c>
      <c r="N149" s="16" t="n">
        <v>-1.178997497558598</v>
      </c>
      <c r="O149" s="17" t="n">
        <v>-22.43490148925781</v>
      </c>
      <c r="P149" s="17" t="n">
        <v>4.703002563476559</v>
      </c>
      <c r="Q149" s="18" t="n">
        <v>78.32551825076375</v>
      </c>
      <c r="R149" s="17" t="n">
        <v>-29.02999923706055</v>
      </c>
      <c r="S149" s="17" t="n">
        <v>-46.7755005493164</v>
      </c>
      <c r="T149" s="17" t="n">
        <v>-17.28970196533203</v>
      </c>
      <c r="U149" s="19" t="n">
        <v>60.18321417244765</v>
      </c>
      <c r="V149" s="20">
        <f>IFERROR(BDP(E149&amp;" Corp","LAST_PRICE"),"--")</f>
        <v/>
      </c>
      <c r="W149" s="21">
        <f>IFERROR(BDP(E149&amp;" Corp","YAS_BENCHMARK_BOND_ISIN"),"--")</f>
        <v/>
      </c>
      <c r="X149" s="22">
        <f>IFERROR(BDP(W149&amp;" CORP","LAST_PRICE"),"--")</f>
        <v/>
      </c>
      <c r="Y149" s="23">
        <f>IFERROR(BDP(E149&amp;" Corp","YAS_YLD_SPREAD","YAS_BOND_PX="&amp;V149,"YAS_BNCHMRK_BOND_PX="&amp;X149),"--")</f>
        <v/>
      </c>
      <c r="Z149" s="23">
        <f>IFERROR(BDP(E149&amp;" Corp","BLOOMBERG_MID_G_SPREAD","YAS_BOND_PX="&amp;V149,"YAS_BNCHMRK_BOND_PX="&amp;X149),"--")</f>
        <v/>
      </c>
      <c r="AA149" s="23">
        <f>IFERROR(BDP(D149,"LAST_PRICE"),"--")</f>
        <v/>
      </c>
      <c r="AB149" s="24" t="n"/>
      <c r="AC149" s="23">
        <f>IFERROR(IF(ISBLANK(AB149),AA149,AB149),"--")</f>
        <v/>
      </c>
      <c r="AD149" s="23">
        <f>IFERROR(MAX(-500,MIN(500,AC149-Z149)),"--")</f>
        <v/>
      </c>
      <c r="AE149" s="25">
        <f>IFERROR((AD149-S149)/(T149-S149)*100,"--")</f>
        <v/>
      </c>
    </row>
    <row r="150">
      <c r="A150" s="26" t="inlineStr">
        <is>
          <t>CAG</t>
        </is>
      </c>
      <c r="B150" s="27" t="inlineStr">
        <is>
          <t>IG</t>
        </is>
      </c>
      <c r="C150" s="26" t="inlineStr">
        <is>
          <t>CAG 5 3/4 08/01/35</t>
        </is>
      </c>
      <c r="D150" s="27" t="inlineStr">
        <is>
          <t>CAG CDS USD SR 5Y D14 Corp</t>
        </is>
      </c>
      <c r="E150" s="27" t="inlineStr">
        <is>
          <t>US205887CL48</t>
        </is>
      </c>
      <c r="F150" s="28" t="n">
        <v>45922</v>
      </c>
      <c r="G150" s="28" t="n">
        <v>46225</v>
      </c>
      <c r="H150" s="28" t="n">
        <v>49663</v>
      </c>
      <c r="I150" s="29" t="n">
        <v>137.4741058349609</v>
      </c>
      <c r="J150" s="29" t="n">
        <v>91.51580047607422</v>
      </c>
      <c r="K150" s="29" t="n">
        <v>127.136</v>
      </c>
      <c r="L150" s="29" t="n">
        <v>122.409</v>
      </c>
      <c r="M150" s="30" t="n">
        <v>209</v>
      </c>
      <c r="N150" s="31" t="n">
        <v>10.33810583496094</v>
      </c>
      <c r="O150" s="32" t="n">
        <v>-26.35930120849611</v>
      </c>
      <c r="P150" s="32" t="n">
        <v>24.2478017578125</v>
      </c>
      <c r="Q150" s="33" t="n">
        <v>72.51434066061466</v>
      </c>
      <c r="R150" s="32" t="n">
        <v>-35.62019952392578</v>
      </c>
      <c r="S150" s="32" t="n">
        <v>-67.27159698486329</v>
      </c>
      <c r="T150" s="32" t="n">
        <v>-19.20420172119141</v>
      </c>
      <c r="U150" s="34" t="n">
        <v>65.84795636900017</v>
      </c>
      <c r="V150" s="20">
        <f>IFERROR(BDP(E150&amp;" Corp","LAST_PRICE"),"--")</f>
        <v/>
      </c>
      <c r="W150" s="21">
        <f>IFERROR(BDP(E150&amp;" Corp","YAS_BENCHMARK_BOND_ISIN"),"--")</f>
        <v/>
      </c>
      <c r="X150" s="22">
        <f>IFERROR(BDP(W150&amp;" CORP","LAST_PRICE"),"--")</f>
        <v/>
      </c>
      <c r="Y150" s="23">
        <f>IFERROR(BDP(E150&amp;" Corp","YAS_YLD_SPREAD","YAS_BOND_PX="&amp;V150,"YAS_BNCHMRK_BOND_PX="&amp;X150),"--")</f>
        <v/>
      </c>
      <c r="Z150" s="23">
        <f>IFERROR(BDP(E150&amp;" Corp","BLOOMBERG_MID_G_SPREAD","YAS_BOND_PX="&amp;V150,"YAS_BNCHMRK_BOND_PX="&amp;X150),"--")</f>
        <v/>
      </c>
      <c r="AA150" s="23">
        <f>IFERROR(BDP(D150,"LAST_PRICE"),"--")</f>
        <v/>
      </c>
      <c r="AB150" s="24" t="n"/>
      <c r="AC150" s="23">
        <f>IFERROR(IF(ISBLANK(AB150),AA150,AB150),"--")</f>
        <v/>
      </c>
      <c r="AD150" s="23">
        <f>IFERROR(MAX(-500,MIN(500,AC150-Z150)),"--")</f>
        <v/>
      </c>
      <c r="AE150" s="25">
        <f>IFERROR((AD150-S150)/(T150-S150)*100,"--")</f>
        <v/>
      </c>
    </row>
    <row r="151">
      <c r="A151" s="11" t="inlineStr">
        <is>
          <t>CAH</t>
        </is>
      </c>
      <c r="B151" s="12" t="inlineStr">
        <is>
          <t>IG</t>
        </is>
      </c>
      <c r="C151" s="11" t="inlineStr">
        <is>
          <t>CAH 5.35 11/15/34</t>
        </is>
      </c>
      <c r="D151" s="12" t="inlineStr">
        <is>
          <t>CAH CDS USD SR 5Y D14 Corp</t>
        </is>
      </c>
      <c r="E151" s="12" t="inlineStr">
        <is>
          <t>US14149YBS63</t>
        </is>
      </c>
      <c r="F151" s="13" t="n">
        <v>45659</v>
      </c>
      <c r="G151" s="13" t="n">
        <v>46225</v>
      </c>
      <c r="H151" s="13" t="n">
        <v>49298</v>
      </c>
      <c r="I151" s="14" t="n">
        <v>50.33890151977539</v>
      </c>
      <c r="J151" s="14" t="n">
        <v>26.49990081787109</v>
      </c>
      <c r="K151" s="14" t="n">
        <v>80.03400000000001</v>
      </c>
      <c r="L151" s="14" t="n">
        <v>73.773</v>
      </c>
      <c r="M151" s="15" t="n">
        <v>389</v>
      </c>
      <c r="N151" s="16" t="n">
        <v>-29.69509848022462</v>
      </c>
      <c r="O151" s="17" t="n">
        <v>-53.54900177001954</v>
      </c>
      <c r="P151" s="17" t="n">
        <v>-15.15669750976562</v>
      </c>
      <c r="Q151" s="18" t="n">
        <v>62.13199168274449</v>
      </c>
      <c r="R151" s="17" t="n">
        <v>-53.53409918212891</v>
      </c>
      <c r="S151" s="17" t="n">
        <v>-75.39719970703126</v>
      </c>
      <c r="T151" s="17" t="n">
        <v>-39.75809979248046</v>
      </c>
      <c r="U151" s="19" t="n">
        <v>61.34582685118836</v>
      </c>
      <c r="V151" s="20">
        <f>IFERROR(BDP(E151&amp;" Corp","LAST_PRICE"),"--")</f>
        <v/>
      </c>
      <c r="W151" s="21">
        <f>IFERROR(BDP(E151&amp;" Corp","YAS_BENCHMARK_BOND_ISIN"),"--")</f>
        <v/>
      </c>
      <c r="X151" s="22">
        <f>IFERROR(BDP(W151&amp;" CORP","LAST_PRICE"),"--")</f>
        <v/>
      </c>
      <c r="Y151" s="23">
        <f>IFERROR(BDP(E151&amp;" Corp","YAS_YLD_SPREAD","YAS_BOND_PX="&amp;V151,"YAS_BNCHMRK_BOND_PX="&amp;X151),"--")</f>
        <v/>
      </c>
      <c r="Z151" s="23">
        <f>IFERROR(BDP(E151&amp;" Corp","BLOOMBERG_MID_G_SPREAD","YAS_BOND_PX="&amp;V151,"YAS_BNCHMRK_BOND_PX="&amp;X151),"--")</f>
        <v/>
      </c>
      <c r="AA151" s="23">
        <f>IFERROR(BDP(D151,"LAST_PRICE"),"--")</f>
        <v/>
      </c>
      <c r="AB151" s="24" t="n"/>
      <c r="AC151" s="23">
        <f>IFERROR(IF(ISBLANK(AB151),AA151,AB151),"--")</f>
        <v/>
      </c>
      <c r="AD151" s="23">
        <f>IFERROR(MAX(-500,MIN(500,AC151-Z151)),"--")</f>
        <v/>
      </c>
      <c r="AE151" s="25">
        <f>IFERROR((AD151-S151)/(T151-S151)*100,"--")</f>
        <v/>
      </c>
    </row>
    <row r="152">
      <c r="A152" s="26" t="inlineStr">
        <is>
          <t>CAT</t>
        </is>
      </c>
      <c r="B152" s="27" t="inlineStr">
        <is>
          <t>IG</t>
        </is>
      </c>
      <c r="C152" s="26" t="inlineStr">
        <is>
          <t>CAT 2.6 04/09/30</t>
        </is>
      </c>
      <c r="D152" s="27" t="inlineStr">
        <is>
          <t>CAT I CDS USD SR 5Y D14 Corp</t>
        </is>
      </c>
      <c r="E152" s="27" t="inlineStr">
        <is>
          <t>US149123CH22</t>
        </is>
      </c>
      <c r="F152" s="28" t="n">
        <v>46044</v>
      </c>
      <c r="G152" s="28" t="n">
        <v>46225</v>
      </c>
      <c r="H152" s="28" t="n">
        <v>47654</v>
      </c>
      <c r="I152" s="29" t="n">
        <v>15.98369979858398</v>
      </c>
      <c r="J152" s="29" t="n">
        <v>20.35219955444336</v>
      </c>
      <c r="K152" s="29" t="n">
        <v>29.946</v>
      </c>
      <c r="L152" s="29" t="n">
        <v>25.861</v>
      </c>
      <c r="M152" s="30" t="n">
        <v>126</v>
      </c>
      <c r="N152" s="31" t="n">
        <v>-13.96230020141602</v>
      </c>
      <c r="O152" s="32" t="n">
        <v>-23.03509982299805</v>
      </c>
      <c r="P152" s="32" t="n">
        <v>-5.316200408935547</v>
      </c>
      <c r="Q152" s="33" t="n">
        <v>51.20408107504384</v>
      </c>
      <c r="R152" s="32" t="n">
        <v>-9.593800445556642</v>
      </c>
      <c r="S152" s="32" t="n">
        <v>-17.0712993927002</v>
      </c>
      <c r="T152" s="32" t="n">
        <v>1.466699447631836</v>
      </c>
      <c r="U152" s="34" t="n">
        <v>40.33606330190938</v>
      </c>
      <c r="V152" s="20">
        <f>IFERROR(BDP(E152&amp;" Corp","LAST_PRICE"),"--")</f>
        <v/>
      </c>
      <c r="W152" s="21">
        <f>IFERROR(BDP(E152&amp;" Corp","YAS_BENCHMARK_BOND_ISIN"),"--")</f>
        <v/>
      </c>
      <c r="X152" s="22">
        <f>IFERROR(BDP(W152&amp;" CORP","LAST_PRICE"),"--")</f>
        <v/>
      </c>
      <c r="Y152" s="23">
        <f>IFERROR(BDP(E152&amp;" Corp","YAS_YLD_SPREAD","YAS_BOND_PX="&amp;V152,"YAS_BNCHMRK_BOND_PX="&amp;X152),"--")</f>
        <v/>
      </c>
      <c r="Z152" s="23">
        <f>IFERROR(BDP(E152&amp;" Corp","BLOOMBERG_MID_G_SPREAD","YAS_BOND_PX="&amp;V152,"YAS_BNCHMRK_BOND_PX="&amp;X152),"--")</f>
        <v/>
      </c>
      <c r="AA152" s="23">
        <f>IFERROR(BDP(D152,"LAST_PRICE"),"--")</f>
        <v/>
      </c>
      <c r="AB152" s="24" t="n"/>
      <c r="AC152" s="23">
        <f>IFERROR(IF(ISBLANK(AB152),AA152,AB152),"--")</f>
        <v/>
      </c>
      <c r="AD152" s="23">
        <f>IFERROR(MAX(-500,MIN(500,AC152-Z152)),"--")</f>
        <v/>
      </c>
      <c r="AE152" s="25">
        <f>IFERROR((AD152-S152)/(T152-S152)*100,"--")</f>
        <v/>
      </c>
    </row>
    <row r="153">
      <c r="A153" s="11" t="inlineStr">
        <is>
          <t>CI</t>
        </is>
      </c>
      <c r="B153" s="12" t="inlineStr">
        <is>
          <t>IG</t>
        </is>
      </c>
      <c r="C153" s="11" t="inlineStr">
        <is>
          <t>CI 5 1/8 05/15/31</t>
        </is>
      </c>
      <c r="D153" s="12" t="inlineStr">
        <is>
          <t>CI A CDS USD SR 5Y D14 Corp</t>
        </is>
      </c>
      <c r="E153" s="12" t="inlineStr">
        <is>
          <t>US125523CU21</t>
        </is>
      </c>
      <c r="F153" s="13" t="n">
        <v>45659</v>
      </c>
      <c r="G153" s="13" t="n">
        <v>46225</v>
      </c>
      <c r="H153" s="13" t="n">
        <v>48019</v>
      </c>
      <c r="I153" s="14" t="n">
        <v>42.51969909667969</v>
      </c>
      <c r="J153" s="14" t="n">
        <v>42.51969909667969</v>
      </c>
      <c r="K153" s="14" t="n">
        <v>53.224</v>
      </c>
      <c r="L153" s="14" t="n">
        <v>53.361</v>
      </c>
      <c r="M153" s="15" t="n">
        <v>389</v>
      </c>
      <c r="N153" s="16" t="n">
        <v>-10.70430090332031</v>
      </c>
      <c r="O153" s="17" t="n">
        <v>-40.47960327148438</v>
      </c>
      <c r="P153" s="17" t="n">
        <v>5.420702331542969</v>
      </c>
      <c r="Q153" s="18" t="n">
        <v>64.86950789756887</v>
      </c>
      <c r="R153" s="17" t="n">
        <v>-10.70430090332031</v>
      </c>
      <c r="S153" s="17" t="n">
        <v>-40.47960327148438</v>
      </c>
      <c r="T153" s="17" t="n">
        <v>5.420702331542969</v>
      </c>
      <c r="U153" s="19" t="n">
        <v>64.86950789756887</v>
      </c>
      <c r="V153" s="20">
        <f>IFERROR(BDP(E153&amp;" Corp","LAST_PRICE"),"--")</f>
        <v/>
      </c>
      <c r="W153" s="21">
        <f>IFERROR(BDP(E153&amp;" Corp","YAS_BENCHMARK_BOND_ISIN"),"--")</f>
        <v/>
      </c>
      <c r="X153" s="22">
        <f>IFERROR(BDP(W153&amp;" CORP","LAST_PRICE"),"--")</f>
        <v/>
      </c>
      <c r="Y153" s="23">
        <f>IFERROR(BDP(E153&amp;" Corp","YAS_YLD_SPREAD","YAS_BOND_PX="&amp;V153,"YAS_BNCHMRK_BOND_PX="&amp;X153),"--")</f>
        <v/>
      </c>
      <c r="Z153" s="23">
        <f>IFERROR(BDP(E153&amp;" Corp","BLOOMBERG_MID_G_SPREAD","YAS_BOND_PX="&amp;V153,"YAS_BNCHMRK_BOND_PX="&amp;X153),"--")</f>
        <v/>
      </c>
      <c r="AA153" s="23">
        <f>IFERROR(BDP(D153,"LAST_PRICE"),"--")</f>
        <v/>
      </c>
      <c r="AB153" s="24" t="n"/>
      <c r="AC153" s="23">
        <f>IFERROR(IF(ISBLANK(AB153),AA153,AB153),"--")</f>
        <v/>
      </c>
      <c r="AD153" s="23">
        <f>IFERROR(MAX(-500,MIN(500,AC153-Z153)),"--")</f>
        <v/>
      </c>
      <c r="AE153" s="25">
        <f>IFERROR((AD153-S153)/(T153-S153)*100,"--")</f>
        <v/>
      </c>
    </row>
    <row r="154">
      <c r="A154" s="26" t="inlineStr">
        <is>
          <t>CMCSA</t>
        </is>
      </c>
      <c r="B154" s="27" t="inlineStr">
        <is>
          <t>IG</t>
        </is>
      </c>
      <c r="C154" s="26" t="inlineStr">
        <is>
          <t>CMCSA 5.3 06/01/34</t>
        </is>
      </c>
      <c r="D154" s="27" t="inlineStr">
        <is>
          <t>CMCSAC CDS USD SR 5Y D14 Corp</t>
        </is>
      </c>
      <c r="E154" s="27" t="inlineStr">
        <is>
          <t>US20030NEJ63</t>
        </is>
      </c>
      <c r="F154" s="28" t="n">
        <v>45659</v>
      </c>
      <c r="G154" s="28" t="n">
        <v>46225</v>
      </c>
      <c r="H154" s="28" t="n">
        <v>49115</v>
      </c>
      <c r="I154" s="29" t="n">
        <v>86.22630310058594</v>
      </c>
      <c r="J154" s="29" t="n">
        <v>64.59169769287109</v>
      </c>
      <c r="K154" s="29" t="n">
        <v>93.175</v>
      </c>
      <c r="L154" s="29" t="n">
        <v>87.441</v>
      </c>
      <c r="M154" s="30" t="n">
        <v>389</v>
      </c>
      <c r="N154" s="31" t="n">
        <v>-6.94869689941406</v>
      </c>
      <c r="O154" s="32" t="n">
        <v>-18.30169958496094</v>
      </c>
      <c r="P154" s="32" t="n">
        <v>12.34970068359375</v>
      </c>
      <c r="Q154" s="33" t="n">
        <v>37.03909963680825</v>
      </c>
      <c r="R154" s="32" t="n">
        <v>-28.5833023071289</v>
      </c>
      <c r="S154" s="32" t="n">
        <v>-39.74409765625001</v>
      </c>
      <c r="T154" s="32" t="n">
        <v>-6.402698760986326</v>
      </c>
      <c r="U154" s="34" t="n">
        <v>33.47428637946727</v>
      </c>
      <c r="V154" s="20">
        <f>IFERROR(BDP(E154&amp;" Corp","LAST_PRICE"),"--")</f>
        <v/>
      </c>
      <c r="W154" s="21">
        <f>IFERROR(BDP(E154&amp;" Corp","YAS_BENCHMARK_BOND_ISIN"),"--")</f>
        <v/>
      </c>
      <c r="X154" s="22">
        <f>IFERROR(BDP(W154&amp;" CORP","LAST_PRICE"),"--")</f>
        <v/>
      </c>
      <c r="Y154" s="23">
        <f>IFERROR(BDP(E154&amp;" Corp","YAS_YLD_SPREAD","YAS_BOND_PX="&amp;V154,"YAS_BNCHMRK_BOND_PX="&amp;X154),"--")</f>
        <v/>
      </c>
      <c r="Z154" s="23">
        <f>IFERROR(BDP(E154&amp;" Corp","BLOOMBERG_MID_G_SPREAD","YAS_BOND_PX="&amp;V154,"YAS_BNCHMRK_BOND_PX="&amp;X154),"--")</f>
        <v/>
      </c>
      <c r="AA154" s="23">
        <f>IFERROR(BDP(D154,"LAST_PRICE"),"--")</f>
        <v/>
      </c>
      <c r="AB154" s="24" t="n"/>
      <c r="AC154" s="23">
        <f>IFERROR(IF(ISBLANK(AB154),AA154,AB154),"--")</f>
        <v/>
      </c>
      <c r="AD154" s="23">
        <f>IFERROR(MAX(-500,MIN(500,AC154-Z154)),"--")</f>
        <v/>
      </c>
      <c r="AE154" s="25">
        <f>IFERROR((AD154-S154)/(T154-S154)*100,"--")</f>
        <v/>
      </c>
    </row>
    <row r="155">
      <c r="A155" s="11" t="inlineStr">
        <is>
          <t>CNQCN</t>
        </is>
      </c>
      <c r="B155" s="12" t="inlineStr">
        <is>
          <t>IG</t>
        </is>
      </c>
      <c r="C155" s="11" t="inlineStr">
        <is>
          <t>CNQCN 5.4 12/15/34</t>
        </is>
      </c>
      <c r="D155" s="12" t="inlineStr">
        <is>
          <t>CNQCN CDS USD SR 5Y D14 Corp</t>
        </is>
      </c>
      <c r="E155" s="12" t="inlineStr">
        <is>
          <t>US136385BE00</t>
        </is>
      </c>
      <c r="F155" s="13" t="n">
        <v>45968</v>
      </c>
      <c r="G155" s="13" t="n">
        <v>46225</v>
      </c>
      <c r="H155" s="13" t="n">
        <v>49298</v>
      </c>
      <c r="I155" s="14" t="n">
        <v>91.33280181884766</v>
      </c>
      <c r="J155" s="14" t="n">
        <v>51.34830093383789</v>
      </c>
      <c r="K155" s="14" t="n">
        <v>83.327</v>
      </c>
      <c r="L155" s="14" t="n">
        <v>76.837</v>
      </c>
      <c r="M155" s="15" t="n">
        <v>176</v>
      </c>
      <c r="N155" s="16" t="n">
        <v>8.005801818847658</v>
      </c>
      <c r="O155" s="17" t="n">
        <v>-20.51220092773437</v>
      </c>
      <c r="P155" s="17" t="n">
        <v>9.385901428222652</v>
      </c>
      <c r="Q155" s="18" t="n">
        <v>95.38398928151366</v>
      </c>
      <c r="R155" s="17" t="n">
        <v>-31.97869906616211</v>
      </c>
      <c r="S155" s="17" t="n">
        <v>-54.30000076293945</v>
      </c>
      <c r="T155" s="17" t="n">
        <v>-28.5209984741211</v>
      </c>
      <c r="U155" s="19" t="n">
        <v>86.58714346931578</v>
      </c>
      <c r="V155" s="20">
        <f>IFERROR(BDP(E155&amp;" Corp","LAST_PRICE"),"--")</f>
        <v/>
      </c>
      <c r="W155" s="21">
        <f>IFERROR(BDP(E155&amp;" Corp","YAS_BENCHMARK_BOND_ISIN"),"--")</f>
        <v/>
      </c>
      <c r="X155" s="22">
        <f>IFERROR(BDP(W155&amp;" CORP","LAST_PRICE"),"--")</f>
        <v/>
      </c>
      <c r="Y155" s="23">
        <f>IFERROR(BDP(E155&amp;" Corp","YAS_YLD_SPREAD","YAS_BOND_PX="&amp;V155,"YAS_BNCHMRK_BOND_PX="&amp;X155),"--")</f>
        <v/>
      </c>
      <c r="Z155" s="23">
        <f>IFERROR(BDP(E155&amp;" Corp","BLOOMBERG_MID_G_SPREAD","YAS_BOND_PX="&amp;V155,"YAS_BNCHMRK_BOND_PX="&amp;X155),"--")</f>
        <v/>
      </c>
      <c r="AA155" s="23">
        <f>IFERROR(BDP(D155,"LAST_PRICE"),"--")</f>
        <v/>
      </c>
      <c r="AB155" s="24" t="n"/>
      <c r="AC155" s="23">
        <f>IFERROR(IF(ISBLANK(AB155),AA155,AB155),"--")</f>
        <v/>
      </c>
      <c r="AD155" s="23">
        <f>IFERROR(MAX(-500,MIN(500,AC155-Z155)),"--")</f>
        <v/>
      </c>
      <c r="AE155" s="25">
        <f>IFERROR((AD155-S155)/(T155-S155)*100,"--")</f>
        <v/>
      </c>
    </row>
    <row r="156">
      <c r="A156" s="26" t="inlineStr">
        <is>
          <t>COF</t>
        </is>
      </c>
      <c r="B156" s="27" t="inlineStr">
        <is>
          <t>IG</t>
        </is>
      </c>
      <c r="C156" s="26" t="inlineStr">
        <is>
          <t>COF 6.7 11/29/32</t>
        </is>
      </c>
      <c r="D156" s="27" t="inlineStr">
        <is>
          <t>COFF CDS USD SR 5Y D14 Corp</t>
        </is>
      </c>
      <c r="E156" s="27" t="inlineStr">
        <is>
          <t>US254709AS70</t>
        </is>
      </c>
      <c r="F156" s="28" t="n">
        <v>45659</v>
      </c>
      <c r="G156" s="28" t="n">
        <v>46225</v>
      </c>
      <c r="H156" s="28" t="n">
        <v>48568</v>
      </c>
      <c r="I156" s="29" t="n">
        <v>83.28880310058594</v>
      </c>
      <c r="J156" s="29" t="n">
        <v>65.44159698486328</v>
      </c>
      <c r="K156" s="29" t="n">
        <v>80.617</v>
      </c>
      <c r="L156" s="29" t="n">
        <v>88.56999999999999</v>
      </c>
      <c r="M156" s="30" t="n">
        <v>390</v>
      </c>
      <c r="N156" s="31" t="n">
        <v>2.671803100585933</v>
      </c>
      <c r="O156" s="32" t="n">
        <v>-57.55300378417968</v>
      </c>
      <c r="P156" s="32" t="n">
        <v>26.62400207519531</v>
      </c>
      <c r="Q156" s="33" t="n">
        <v>71.54543722471716</v>
      </c>
      <c r="R156" s="32" t="n">
        <v>-15.17540301513672</v>
      </c>
      <c r="S156" s="32" t="n">
        <v>-69.95969628906249</v>
      </c>
      <c r="T156" s="32" t="n">
        <v>7.563897705078119</v>
      </c>
      <c r="U156" s="34" t="n">
        <v>70.66789663810798</v>
      </c>
      <c r="V156" s="20">
        <f>IFERROR(BDP(E156&amp;" Corp","LAST_PRICE"),"--")</f>
        <v/>
      </c>
      <c r="W156" s="21">
        <f>IFERROR(BDP(E156&amp;" Corp","YAS_BENCHMARK_BOND_ISIN"),"--")</f>
        <v/>
      </c>
      <c r="X156" s="22">
        <f>IFERROR(BDP(W156&amp;" CORP","LAST_PRICE"),"--")</f>
        <v/>
      </c>
      <c r="Y156" s="23">
        <f>IFERROR(BDP(E156&amp;" Corp","YAS_YLD_SPREAD","YAS_BOND_PX="&amp;V156,"YAS_BNCHMRK_BOND_PX="&amp;X156),"--")</f>
        <v/>
      </c>
      <c r="Z156" s="23">
        <f>IFERROR(BDP(E156&amp;" Corp","BLOOMBERG_MID_G_SPREAD","YAS_BOND_PX="&amp;V156,"YAS_BNCHMRK_BOND_PX="&amp;X156),"--")</f>
        <v/>
      </c>
      <c r="AA156" s="23">
        <f>IFERROR(BDP(D156,"LAST_PRICE"),"--")</f>
        <v/>
      </c>
      <c r="AB156" s="24" t="n"/>
      <c r="AC156" s="23">
        <f>IFERROR(IF(ISBLANK(AB156),AA156,AB156),"--")</f>
        <v/>
      </c>
      <c r="AD156" s="23">
        <f>IFERROR(MAX(-500,MIN(500,AC156-Z156)),"--")</f>
        <v/>
      </c>
      <c r="AE156" s="25">
        <f>IFERROR((AD156-S156)/(T156-S156)*100,"--")</f>
        <v/>
      </c>
    </row>
    <row r="157">
      <c r="A157" s="11" t="inlineStr">
        <is>
          <t>COP</t>
        </is>
      </c>
      <c r="B157" s="12" t="inlineStr">
        <is>
          <t>IG</t>
        </is>
      </c>
      <c r="C157" s="11" t="inlineStr">
        <is>
          <t>COP 4.85 01/15/32</t>
        </is>
      </c>
      <c r="D157" s="12" t="inlineStr">
        <is>
          <t>COPHIL CDS USD SR 5Y D14 Corp</t>
        </is>
      </c>
      <c r="E157" s="12" t="inlineStr">
        <is>
          <t>US20826FBK12</t>
        </is>
      </c>
      <c r="F157" s="13" t="n">
        <v>46044</v>
      </c>
      <c r="G157" s="13" t="n">
        <v>46225</v>
      </c>
      <c r="H157" s="13" t="n">
        <v>48385</v>
      </c>
      <c r="I157" s="14" t="n">
        <v>41.61780166625977</v>
      </c>
      <c r="J157" s="14" t="n">
        <v>31.68670082092285</v>
      </c>
      <c r="K157" s="14" t="n">
        <v>47.097</v>
      </c>
      <c r="L157" s="14" t="n">
        <v>49.721</v>
      </c>
      <c r="M157" s="15" t="n">
        <v>126</v>
      </c>
      <c r="N157" s="16" t="n">
        <v>-5.479198333740236</v>
      </c>
      <c r="O157" s="17" t="n">
        <v>-15.21230096435547</v>
      </c>
      <c r="P157" s="17" t="n">
        <v>3.058100311279297</v>
      </c>
      <c r="Q157" s="18" t="n">
        <v>53.27251702782909</v>
      </c>
      <c r="R157" s="17" t="n">
        <v>-15.41029917907715</v>
      </c>
      <c r="S157" s="17" t="n">
        <v>-22.47500009155274</v>
      </c>
      <c r="T157" s="17" t="n">
        <v>-5.43710040283203</v>
      </c>
      <c r="U157" s="19" t="n">
        <v>41.46462323142156</v>
      </c>
      <c r="V157" s="20">
        <f>IFERROR(BDP(E157&amp;" Corp","LAST_PRICE"),"--")</f>
        <v/>
      </c>
      <c r="W157" s="21">
        <f>IFERROR(BDP(E157&amp;" Corp","YAS_BENCHMARK_BOND_ISIN"),"--")</f>
        <v/>
      </c>
      <c r="X157" s="22">
        <f>IFERROR(BDP(W157&amp;" CORP","LAST_PRICE"),"--")</f>
        <v/>
      </c>
      <c r="Y157" s="23">
        <f>IFERROR(BDP(E157&amp;" Corp","YAS_YLD_SPREAD","YAS_BOND_PX="&amp;V157,"YAS_BNCHMRK_BOND_PX="&amp;X157),"--")</f>
        <v/>
      </c>
      <c r="Z157" s="23">
        <f>IFERROR(BDP(E157&amp;" Corp","BLOOMBERG_MID_G_SPREAD","YAS_BOND_PX="&amp;V157,"YAS_BNCHMRK_BOND_PX="&amp;X157),"--")</f>
        <v/>
      </c>
      <c r="AA157" s="23">
        <f>IFERROR(BDP(D157,"LAST_PRICE"),"--")</f>
        <v/>
      </c>
      <c r="AB157" s="24" t="n"/>
      <c r="AC157" s="23">
        <f>IFERROR(IF(ISBLANK(AB157),AA157,AB157),"--")</f>
        <v/>
      </c>
      <c r="AD157" s="23">
        <f>IFERROR(MAX(-500,MIN(500,AC157-Z157)),"--")</f>
        <v/>
      </c>
      <c r="AE157" s="25">
        <f>IFERROR((AD157-S157)/(T157-S157)*100,"--")</f>
        <v/>
      </c>
    </row>
    <row r="158">
      <c r="A158" s="26" t="inlineStr">
        <is>
          <t>COX</t>
        </is>
      </c>
      <c r="B158" s="27" t="inlineStr">
        <is>
          <t>IG</t>
        </is>
      </c>
      <c r="C158" s="26" t="inlineStr">
        <is>
          <t>COXENT 2.6 06/15/31</t>
        </is>
      </c>
      <c r="D158" s="27" t="inlineStr">
        <is>
          <t>COXENT CDS USD SR 5Y D14 Corp</t>
        </is>
      </c>
      <c r="E158" s="27" t="inlineStr">
        <is>
          <t>US224044CN54</t>
        </is>
      </c>
      <c r="F158" s="28" t="n">
        <v>45659</v>
      </c>
      <c r="G158" s="28" t="n">
        <v>46225</v>
      </c>
      <c r="H158" s="28" t="n">
        <v>48019</v>
      </c>
      <c r="I158" s="29" t="n">
        <v>84.90910339355469</v>
      </c>
      <c r="J158" s="29" t="n">
        <v>84.90910339355469</v>
      </c>
      <c r="K158" s="29" t="n">
        <v>122.556</v>
      </c>
      <c r="L158" s="29" t="n">
        <v>123.527</v>
      </c>
      <c r="M158" s="30" t="n">
        <v>389</v>
      </c>
      <c r="N158" s="31" t="n">
        <v>-37.64689660644531</v>
      </c>
      <c r="O158" s="32" t="n">
        <v>-84.97060189819337</v>
      </c>
      <c r="P158" s="32" t="n">
        <v>-28.02920227050781</v>
      </c>
      <c r="Q158" s="33" t="n">
        <v>83.1094872995337</v>
      </c>
      <c r="R158" s="32" t="n">
        <v>-37.64689660644531</v>
      </c>
      <c r="S158" s="32" t="n">
        <v>-84.97060189819337</v>
      </c>
      <c r="T158" s="32" t="n">
        <v>-28.02920227050781</v>
      </c>
      <c r="U158" s="34" t="n">
        <v>83.1094872995337</v>
      </c>
      <c r="V158" s="20">
        <f>IFERROR(BDP(E158&amp;" Corp","LAST_PRICE"),"--")</f>
        <v/>
      </c>
      <c r="W158" s="21">
        <f>IFERROR(BDP(E158&amp;" Corp","YAS_BENCHMARK_BOND_ISIN"),"--")</f>
        <v/>
      </c>
      <c r="X158" s="22">
        <f>IFERROR(BDP(W158&amp;" CORP","LAST_PRICE"),"--")</f>
        <v/>
      </c>
      <c r="Y158" s="23">
        <f>IFERROR(BDP(E158&amp;" Corp","YAS_YLD_SPREAD","YAS_BOND_PX="&amp;V158,"YAS_BNCHMRK_BOND_PX="&amp;X158),"--")</f>
        <v/>
      </c>
      <c r="Z158" s="23">
        <f>IFERROR(BDP(E158&amp;" Corp","BLOOMBERG_MID_G_SPREAD","YAS_BOND_PX="&amp;V158,"YAS_BNCHMRK_BOND_PX="&amp;X158),"--")</f>
        <v/>
      </c>
      <c r="AA158" s="23">
        <f>IFERROR(BDP(D158,"LAST_PRICE"),"--")</f>
        <v/>
      </c>
      <c r="AB158" s="24" t="n"/>
      <c r="AC158" s="23">
        <f>IFERROR(IF(ISBLANK(AB158),AA158,AB158),"--")</f>
        <v/>
      </c>
      <c r="AD158" s="23">
        <f>IFERROR(MAX(-500,MIN(500,AC158-Z158)),"--")</f>
        <v/>
      </c>
      <c r="AE158" s="25">
        <f>IFERROR((AD158-S158)/(T158-S158)*100,"--")</f>
        <v/>
      </c>
    </row>
    <row r="159">
      <c r="A159" s="11" t="inlineStr">
        <is>
          <t>CPB</t>
        </is>
      </c>
      <c r="B159" s="12" t="inlineStr">
        <is>
          <t>IG</t>
        </is>
      </c>
      <c r="C159" s="11" t="inlineStr">
        <is>
          <t>CPB 4.55 03/21/31</t>
        </is>
      </c>
      <c r="D159" s="12" t="inlineStr">
        <is>
          <t>CPB CDS USD SR 5Y D14 Corp</t>
        </is>
      </c>
      <c r="E159" s="12" t="inlineStr">
        <is>
          <t>US134462AA89</t>
        </is>
      </c>
      <c r="F159" s="13" t="n">
        <v>46003</v>
      </c>
      <c r="G159" s="13" t="n">
        <v>46225</v>
      </c>
      <c r="H159" s="13" t="n">
        <v>48019</v>
      </c>
      <c r="I159" s="14" t="n">
        <v>89.85700225830078</v>
      </c>
      <c r="J159" s="14" t="n">
        <v>89.85700225830078</v>
      </c>
      <c r="K159" s="14" t="n">
        <v>96.465</v>
      </c>
      <c r="L159" s="14" t="n">
        <v>95.358</v>
      </c>
      <c r="M159" s="15" t="n">
        <v>153</v>
      </c>
      <c r="N159" s="16" t="n">
        <v>-6.607997741699222</v>
      </c>
      <c r="O159" s="17" t="n">
        <v>-47.20540203857422</v>
      </c>
      <c r="P159" s="17" t="n">
        <v>-4.822999023437504</v>
      </c>
      <c r="Q159" s="18" t="n">
        <v>95.78834942977581</v>
      </c>
      <c r="R159" s="17" t="n">
        <v>-6.607997741699222</v>
      </c>
      <c r="S159" s="17" t="n">
        <v>-47.20540203857422</v>
      </c>
      <c r="T159" s="17" t="n">
        <v>-4.822999023437504</v>
      </c>
      <c r="U159" s="19" t="n">
        <v>95.78834942977581</v>
      </c>
      <c r="V159" s="20">
        <f>IFERROR(BDP(E159&amp;" Corp","LAST_PRICE"),"--")</f>
        <v/>
      </c>
      <c r="W159" s="21">
        <f>IFERROR(BDP(E159&amp;" Corp","YAS_BENCHMARK_BOND_ISIN"),"--")</f>
        <v/>
      </c>
      <c r="X159" s="22">
        <f>IFERROR(BDP(W159&amp;" CORP","LAST_PRICE"),"--")</f>
        <v/>
      </c>
      <c r="Y159" s="23">
        <f>IFERROR(BDP(E159&amp;" Corp","YAS_YLD_SPREAD","YAS_BOND_PX="&amp;V159,"YAS_BNCHMRK_BOND_PX="&amp;X159),"--")</f>
        <v/>
      </c>
      <c r="Z159" s="23">
        <f>IFERROR(BDP(E159&amp;" Corp","BLOOMBERG_MID_G_SPREAD","YAS_BOND_PX="&amp;V159,"YAS_BNCHMRK_BOND_PX="&amp;X159),"--")</f>
        <v/>
      </c>
      <c r="AA159" s="23">
        <f>IFERROR(BDP(D159,"LAST_PRICE"),"--")</f>
        <v/>
      </c>
      <c r="AB159" s="24" t="n"/>
      <c r="AC159" s="23">
        <f>IFERROR(IF(ISBLANK(AB159),AA159,AB159),"--")</f>
        <v/>
      </c>
      <c r="AD159" s="23">
        <f>IFERROR(MAX(-500,MIN(500,AC159-Z159)),"--")</f>
        <v/>
      </c>
      <c r="AE159" s="25">
        <f>IFERROR((AD159-S159)/(T159-S159)*100,"--")</f>
        <v/>
      </c>
    </row>
    <row r="160">
      <c r="A160" s="26" t="inlineStr">
        <is>
          <t>CSCO</t>
        </is>
      </c>
      <c r="B160" s="27" t="inlineStr">
        <is>
          <t>IG</t>
        </is>
      </c>
      <c r="C160" s="26" t="inlineStr">
        <is>
          <t>CSCO 4.95 02/24/32</t>
        </is>
      </c>
      <c r="D160" s="27" t="inlineStr">
        <is>
          <t>CSCO CDS USD SR 5Y D14 Corp</t>
        </is>
      </c>
      <c r="E160" s="27" t="inlineStr">
        <is>
          <t>US17275RBY71</t>
        </is>
      </c>
      <c r="F160" s="28" t="n">
        <v>45708</v>
      </c>
      <c r="G160" s="28" t="n">
        <v>46225</v>
      </c>
      <c r="H160" s="28" t="n">
        <v>48385</v>
      </c>
      <c r="I160" s="29" t="n">
        <v>38.83390045166016</v>
      </c>
      <c r="J160" s="29" t="n">
        <v>33.125</v>
      </c>
      <c r="K160" s="29" t="n">
        <v>45.165</v>
      </c>
      <c r="L160" s="29" t="n">
        <v>50.45</v>
      </c>
      <c r="M160" s="30" t="n">
        <v>356</v>
      </c>
      <c r="N160" s="31" t="n">
        <v>-6.331099548339843</v>
      </c>
      <c r="O160" s="32" t="n">
        <v>-34.9886011352539</v>
      </c>
      <c r="P160" s="32" t="n">
        <v>-4.439600616455081</v>
      </c>
      <c r="Q160" s="33" t="n">
        <v>93.80831156580459</v>
      </c>
      <c r="R160" s="32" t="n">
        <v>-12.04</v>
      </c>
      <c r="S160" s="32" t="n">
        <v>-38.392798828125</v>
      </c>
      <c r="T160" s="32" t="n">
        <v>-9.013300567626956</v>
      </c>
      <c r="U160" s="34" t="n">
        <v>89.69791993880791</v>
      </c>
      <c r="V160" s="20">
        <f>IFERROR(BDP(E160&amp;" Corp","LAST_PRICE"),"--")</f>
        <v/>
      </c>
      <c r="W160" s="21">
        <f>IFERROR(BDP(E160&amp;" Corp","YAS_BENCHMARK_BOND_ISIN"),"--")</f>
        <v/>
      </c>
      <c r="X160" s="22">
        <f>IFERROR(BDP(W160&amp;" CORP","LAST_PRICE"),"--")</f>
        <v/>
      </c>
      <c r="Y160" s="23">
        <f>IFERROR(BDP(E160&amp;" Corp","YAS_YLD_SPREAD","YAS_BOND_PX="&amp;V160,"YAS_BNCHMRK_BOND_PX="&amp;X160),"--")</f>
        <v/>
      </c>
      <c r="Z160" s="23">
        <f>IFERROR(BDP(E160&amp;" Corp","BLOOMBERG_MID_G_SPREAD","YAS_BOND_PX="&amp;V160,"YAS_BNCHMRK_BOND_PX="&amp;X160),"--")</f>
        <v/>
      </c>
      <c r="AA160" s="23">
        <f>IFERROR(BDP(D160,"LAST_PRICE"),"--")</f>
        <v/>
      </c>
      <c r="AB160" s="24" t="n"/>
      <c r="AC160" s="23">
        <f>IFERROR(IF(ISBLANK(AB160),AA160,AB160),"--")</f>
        <v/>
      </c>
      <c r="AD160" s="23">
        <f>IFERROR(MAX(-500,MIN(500,AC160-Z160)),"--")</f>
        <v/>
      </c>
      <c r="AE160" s="25">
        <f>IFERROR((AD160-S160)/(T160-S160)*100,"--")</f>
        <v/>
      </c>
    </row>
    <row r="161">
      <c r="A161" s="11" t="inlineStr">
        <is>
          <t>CSX</t>
        </is>
      </c>
      <c r="B161" s="12" t="inlineStr">
        <is>
          <t>IG</t>
        </is>
      </c>
      <c r="C161" s="11" t="inlineStr">
        <is>
          <t>CSX 5.2 11/15/33</t>
        </is>
      </c>
      <c r="D161" s="12" t="inlineStr">
        <is>
          <t>CSX CDS USD SR 5Y D14 Corp</t>
        </is>
      </c>
      <c r="E161" s="12" t="inlineStr">
        <is>
          <t>US126408HW63</t>
        </is>
      </c>
      <c r="F161" s="13" t="n">
        <v>45659</v>
      </c>
      <c r="G161" s="13" t="n">
        <v>46225</v>
      </c>
      <c r="H161" s="13" t="n">
        <v>48933</v>
      </c>
      <c r="I161" s="14" t="n">
        <v>28.47629928588867</v>
      </c>
      <c r="J161" s="14" t="n">
        <v>17.33419990539551</v>
      </c>
      <c r="K161" s="14" t="n">
        <v>52.07</v>
      </c>
      <c r="L161" s="14" t="n">
        <v>39.363</v>
      </c>
      <c r="M161" s="15" t="n">
        <v>388</v>
      </c>
      <c r="N161" s="16" t="n">
        <v>-23.59370071411133</v>
      </c>
      <c r="O161" s="17" t="n">
        <v>-48.49929992675781</v>
      </c>
      <c r="P161" s="17" t="n">
        <v>-12.76560061645507</v>
      </c>
      <c r="Q161" s="18" t="n">
        <v>69.6977914219637</v>
      </c>
      <c r="R161" s="17" t="n">
        <v>-34.73580009460449</v>
      </c>
      <c r="S161" s="17" t="n">
        <v>-59.94059936523438</v>
      </c>
      <c r="T161" s="17" t="n">
        <v>-23.89359944152832</v>
      </c>
      <c r="U161" s="19" t="n">
        <v>69.92204434204281</v>
      </c>
      <c r="V161" s="20">
        <f>IFERROR(BDP(E161&amp;" Corp","LAST_PRICE"),"--")</f>
        <v/>
      </c>
      <c r="W161" s="21">
        <f>IFERROR(BDP(E161&amp;" Corp","YAS_BENCHMARK_BOND_ISIN"),"--")</f>
        <v/>
      </c>
      <c r="X161" s="22">
        <f>IFERROR(BDP(W161&amp;" CORP","LAST_PRICE"),"--")</f>
        <v/>
      </c>
      <c r="Y161" s="23">
        <f>IFERROR(BDP(E161&amp;" Corp","YAS_YLD_SPREAD","YAS_BOND_PX="&amp;V161,"YAS_BNCHMRK_BOND_PX="&amp;X161),"--")</f>
        <v/>
      </c>
      <c r="Z161" s="23">
        <f>IFERROR(BDP(E161&amp;" Corp","BLOOMBERG_MID_G_SPREAD","YAS_BOND_PX="&amp;V161,"YAS_BNCHMRK_BOND_PX="&amp;X161),"--")</f>
        <v/>
      </c>
      <c r="AA161" s="23">
        <f>IFERROR(BDP(D161,"LAST_PRICE"),"--")</f>
        <v/>
      </c>
      <c r="AB161" s="24" t="n"/>
      <c r="AC161" s="23">
        <f>IFERROR(IF(ISBLANK(AB161),AA161,AB161),"--")</f>
        <v/>
      </c>
      <c r="AD161" s="23">
        <f>IFERROR(MAX(-500,MIN(500,AC161-Z161)),"--")</f>
        <v/>
      </c>
      <c r="AE161" s="25">
        <f>IFERROR((AD161-S161)/(T161-S161)*100,"--")</f>
        <v/>
      </c>
    </row>
    <row r="162">
      <c r="A162" s="26" t="inlineStr">
        <is>
          <t>CVS</t>
        </is>
      </c>
      <c r="B162" s="27" t="inlineStr">
        <is>
          <t>IG</t>
        </is>
      </c>
      <c r="C162" s="26" t="inlineStr">
        <is>
          <t>CVS 5 09/15/32</t>
        </is>
      </c>
      <c r="D162" s="27" t="inlineStr">
        <is>
          <t>CVS CDS USD SR 5Y D14 Corp</t>
        </is>
      </c>
      <c r="E162" s="27" t="inlineStr">
        <is>
          <t>US126650EJ50</t>
        </is>
      </c>
      <c r="F162" s="28" t="n">
        <v>45880</v>
      </c>
      <c r="G162" s="28" t="n">
        <v>46225</v>
      </c>
      <c r="H162" s="28" t="n">
        <v>48568</v>
      </c>
      <c r="I162" s="29" t="n">
        <v>66.35919952392578</v>
      </c>
      <c r="J162" s="29" t="n">
        <v>48.81760025024414</v>
      </c>
      <c r="K162" s="29" t="n">
        <v>68.044</v>
      </c>
      <c r="L162" s="29" t="n">
        <v>76.158</v>
      </c>
      <c r="M162" s="30" t="n">
        <v>238</v>
      </c>
      <c r="N162" s="31" t="n">
        <v>-1.684800476074216</v>
      </c>
      <c r="O162" s="32" t="n">
        <v>-20.82070233154298</v>
      </c>
      <c r="P162" s="32" t="n">
        <v>5.37910180664062</v>
      </c>
      <c r="Q162" s="33" t="n">
        <v>73.03833934994994</v>
      </c>
      <c r="R162" s="32" t="n">
        <v>-19.22639974975586</v>
      </c>
      <c r="S162" s="32" t="n">
        <v>-32.25009991455079</v>
      </c>
      <c r="T162" s="32" t="n">
        <v>-10.0842008972168</v>
      </c>
      <c r="U162" s="34" t="n">
        <v>58.75556933021417</v>
      </c>
      <c r="V162" s="20">
        <f>IFERROR(BDP(E162&amp;" Corp","LAST_PRICE"),"--")</f>
        <v/>
      </c>
      <c r="W162" s="21">
        <f>IFERROR(BDP(E162&amp;" Corp","YAS_BENCHMARK_BOND_ISIN"),"--")</f>
        <v/>
      </c>
      <c r="X162" s="22">
        <f>IFERROR(BDP(W162&amp;" CORP","LAST_PRICE"),"--")</f>
        <v/>
      </c>
      <c r="Y162" s="23">
        <f>IFERROR(BDP(E162&amp;" Corp","YAS_YLD_SPREAD","YAS_BOND_PX="&amp;V162,"YAS_BNCHMRK_BOND_PX="&amp;X162),"--")</f>
        <v/>
      </c>
      <c r="Z162" s="23">
        <f>IFERROR(BDP(E162&amp;" Corp","BLOOMBERG_MID_G_SPREAD","YAS_BOND_PX="&amp;V162,"YAS_BNCHMRK_BOND_PX="&amp;X162),"--")</f>
        <v/>
      </c>
      <c r="AA162" s="23">
        <f>IFERROR(BDP(D162,"LAST_PRICE"),"--")</f>
        <v/>
      </c>
      <c r="AB162" s="24" t="n"/>
      <c r="AC162" s="23">
        <f>IFERROR(IF(ISBLANK(AB162),AA162,AB162),"--")</f>
        <v/>
      </c>
      <c r="AD162" s="23">
        <f>IFERROR(MAX(-500,MIN(500,AC162-Z162)),"--")</f>
        <v/>
      </c>
      <c r="AE162" s="25">
        <f>IFERROR((AD162-S162)/(T162-S162)*100,"--")</f>
        <v/>
      </c>
    </row>
    <row r="163">
      <c r="A163" s="11" t="inlineStr">
        <is>
          <t>D</t>
        </is>
      </c>
      <c r="B163" s="12" t="inlineStr">
        <is>
          <t>IG</t>
        </is>
      </c>
      <c r="C163" s="11" t="inlineStr">
        <is>
          <t>D 5 3/8 11/15/32</t>
        </is>
      </c>
      <c r="D163" s="12" t="inlineStr">
        <is>
          <t>DOMINION CDS USD SR 5Y D14 Corp</t>
        </is>
      </c>
      <c r="E163" s="12" t="inlineStr">
        <is>
          <t>US25746UDR77</t>
        </is>
      </c>
      <c r="F163" s="13" t="n">
        <v>45659</v>
      </c>
      <c r="G163" s="13" t="n">
        <v>46225</v>
      </c>
      <c r="H163" s="13" t="n">
        <v>48568</v>
      </c>
      <c r="I163" s="14" t="n">
        <v>44.43479919433594</v>
      </c>
      <c r="J163" s="14" t="n">
        <v>33.375</v>
      </c>
      <c r="K163" s="14" t="n">
        <v>72.556</v>
      </c>
      <c r="L163" s="14" t="n">
        <v>79.742</v>
      </c>
      <c r="M163" s="15" t="n">
        <v>389</v>
      </c>
      <c r="N163" s="16" t="n">
        <v>-28.12120080566406</v>
      </c>
      <c r="O163" s="17" t="n">
        <v>-61.84490124511719</v>
      </c>
      <c r="P163" s="17" t="n">
        <v>-14.36940188598633</v>
      </c>
      <c r="Q163" s="18" t="n">
        <v>71.03390358118924</v>
      </c>
      <c r="R163" s="17" t="n">
        <v>-39.181</v>
      </c>
      <c r="S163" s="17" t="n">
        <v>-69.83899990844726</v>
      </c>
      <c r="T163" s="17" t="n">
        <v>-24.23810189819336</v>
      </c>
      <c r="U163" s="19" t="n">
        <v>67.23113194295746</v>
      </c>
      <c r="V163" s="20">
        <f>IFERROR(BDP(E163&amp;" Corp","LAST_PRICE"),"--")</f>
        <v/>
      </c>
      <c r="W163" s="21">
        <f>IFERROR(BDP(E163&amp;" Corp","YAS_BENCHMARK_BOND_ISIN"),"--")</f>
        <v/>
      </c>
      <c r="X163" s="22">
        <f>IFERROR(BDP(W163&amp;" CORP","LAST_PRICE"),"--")</f>
        <v/>
      </c>
      <c r="Y163" s="23">
        <f>IFERROR(BDP(E163&amp;" Corp","YAS_YLD_SPREAD","YAS_BOND_PX="&amp;V163,"YAS_BNCHMRK_BOND_PX="&amp;X163),"--")</f>
        <v/>
      </c>
      <c r="Z163" s="23">
        <f>IFERROR(BDP(E163&amp;" Corp","BLOOMBERG_MID_G_SPREAD","YAS_BOND_PX="&amp;V163,"YAS_BNCHMRK_BOND_PX="&amp;X163),"--")</f>
        <v/>
      </c>
      <c r="AA163" s="23">
        <f>IFERROR(BDP(D163,"LAST_PRICE"),"--")</f>
        <v/>
      </c>
      <c r="AB163" s="24" t="n"/>
      <c r="AC163" s="23">
        <f>IFERROR(IF(ISBLANK(AB163),AA163,AB163),"--")</f>
        <v/>
      </c>
      <c r="AD163" s="23">
        <f>IFERROR(MAX(-500,MIN(500,AC163-Z163)),"--")</f>
        <v/>
      </c>
      <c r="AE163" s="25">
        <f>IFERROR((AD163-S163)/(T163-S163)*100,"--")</f>
        <v/>
      </c>
    </row>
    <row r="164">
      <c r="A164" s="26" t="inlineStr">
        <is>
          <t>DAL</t>
        </is>
      </c>
      <c r="B164" s="27" t="inlineStr">
        <is>
          <t>IG</t>
        </is>
      </c>
      <c r="C164" s="26" t="inlineStr">
        <is>
          <t>DAL 5 1/4 07/10/30</t>
        </is>
      </c>
      <c r="D164" s="27" t="inlineStr">
        <is>
          <t>DAL CDS USD SR 5Y D14 Corp</t>
        </is>
      </c>
      <c r="E164" s="27" t="inlineStr">
        <is>
          <t>US247361A329</t>
        </is>
      </c>
      <c r="F164" s="28" t="n">
        <v>45814</v>
      </c>
      <c r="G164" s="28" t="n">
        <v>46225</v>
      </c>
      <c r="H164" s="28" t="n">
        <v>47837</v>
      </c>
      <c r="I164" s="29" t="n">
        <v>92.00379943847656</v>
      </c>
      <c r="J164" s="29" t="n">
        <v>100.7298965454102</v>
      </c>
      <c r="K164" s="29" t="n">
        <v>73.417</v>
      </c>
      <c r="L164" s="29" t="n">
        <v>72.571</v>
      </c>
      <c r="M164" s="30" t="n">
        <v>282</v>
      </c>
      <c r="N164" s="31" t="n">
        <v>18.58679943847656</v>
      </c>
      <c r="O164" s="32" t="n">
        <v>-7.124798095703127</v>
      </c>
      <c r="P164" s="32" t="n">
        <v>27.56839599609376</v>
      </c>
      <c r="Q164" s="33" t="n">
        <v>74.1113587470435</v>
      </c>
      <c r="R164" s="32" t="n">
        <v>27.31289654541015</v>
      </c>
      <c r="S164" s="32" t="n">
        <v>0.7335011596679664</v>
      </c>
      <c r="T164" s="32" t="n">
        <v>37.95790710449219</v>
      </c>
      <c r="U164" s="34" t="n">
        <v>71.40314186649324</v>
      </c>
      <c r="V164" s="20">
        <f>IFERROR(BDP(E164&amp;" Corp","LAST_PRICE"),"--")</f>
        <v/>
      </c>
      <c r="W164" s="21">
        <f>IFERROR(BDP(E164&amp;" Corp","YAS_BENCHMARK_BOND_ISIN"),"--")</f>
        <v/>
      </c>
      <c r="X164" s="22">
        <f>IFERROR(BDP(W164&amp;" CORP","LAST_PRICE"),"--")</f>
        <v/>
      </c>
      <c r="Y164" s="23">
        <f>IFERROR(BDP(E164&amp;" Corp","YAS_YLD_SPREAD","YAS_BOND_PX="&amp;V164,"YAS_BNCHMRK_BOND_PX="&amp;X164),"--")</f>
        <v/>
      </c>
      <c r="Z164" s="23">
        <f>IFERROR(BDP(E164&amp;" Corp","BLOOMBERG_MID_G_SPREAD","YAS_BOND_PX="&amp;V164,"YAS_BNCHMRK_BOND_PX="&amp;X164),"--")</f>
        <v/>
      </c>
      <c r="AA164" s="23">
        <f>IFERROR(BDP(D164,"LAST_PRICE"),"--")</f>
        <v/>
      </c>
      <c r="AB164" s="24" t="n"/>
      <c r="AC164" s="23">
        <f>IFERROR(IF(ISBLANK(AB164),AA164,AB164),"--")</f>
        <v/>
      </c>
      <c r="AD164" s="23">
        <f>IFERROR(MAX(-500,MIN(500,AC164-Z164)),"--")</f>
        <v/>
      </c>
      <c r="AE164" s="25">
        <f>IFERROR((AD164-S164)/(T164-S164)*100,"--")</f>
        <v/>
      </c>
    </row>
    <row r="165">
      <c r="A165" s="11" t="inlineStr">
        <is>
          <t>DE</t>
        </is>
      </c>
      <c r="B165" s="12" t="inlineStr">
        <is>
          <t>IG</t>
        </is>
      </c>
      <c r="C165" s="11" t="inlineStr">
        <is>
          <t>DE 5.45 01/16/35</t>
        </is>
      </c>
      <c r="D165" s="12" t="inlineStr">
        <is>
          <t>DE I CDS USD SR 5Y D14 Corp</t>
        </is>
      </c>
      <c r="E165" s="12" t="inlineStr">
        <is>
          <t>US244199BL82</t>
        </is>
      </c>
      <c r="F165" s="13" t="n">
        <v>45736</v>
      </c>
      <c r="G165" s="13" t="n">
        <v>46225</v>
      </c>
      <c r="H165" s="13" t="n">
        <v>49480</v>
      </c>
      <c r="I165" s="14" t="n">
        <v>44.02030181884766</v>
      </c>
      <c r="J165" s="14" t="n">
        <v>24.33329963684082</v>
      </c>
      <c r="K165" s="14" t="n">
        <v>56.549</v>
      </c>
      <c r="L165" s="14" t="n">
        <v>50.355</v>
      </c>
      <c r="M165" s="15" t="n">
        <v>335</v>
      </c>
      <c r="N165" s="16" t="n">
        <v>-12.52869818115234</v>
      </c>
      <c r="O165" s="17" t="n">
        <v>-15.28429913330078</v>
      </c>
      <c r="P165" s="17" t="n">
        <v>3.137202331542966</v>
      </c>
      <c r="Q165" s="18" t="n">
        <v>14.95861212728685</v>
      </c>
      <c r="R165" s="17" t="n">
        <v>-32.21570036315918</v>
      </c>
      <c r="S165" s="17" t="n">
        <v>-39.31769827270507</v>
      </c>
      <c r="T165" s="17" t="n">
        <v>-15.50289852905273</v>
      </c>
      <c r="U165" s="19" t="n">
        <v>29.82178303405166</v>
      </c>
      <c r="V165" s="20">
        <f>IFERROR(BDP(E165&amp;" Corp","LAST_PRICE"),"--")</f>
        <v/>
      </c>
      <c r="W165" s="21">
        <f>IFERROR(BDP(E165&amp;" Corp","YAS_BENCHMARK_BOND_ISIN"),"--")</f>
        <v/>
      </c>
      <c r="X165" s="22">
        <f>IFERROR(BDP(W165&amp;" CORP","LAST_PRICE"),"--")</f>
        <v/>
      </c>
      <c r="Y165" s="23">
        <f>IFERROR(BDP(E165&amp;" Corp","YAS_YLD_SPREAD","YAS_BOND_PX="&amp;V165,"YAS_BNCHMRK_BOND_PX="&amp;X165),"--")</f>
        <v/>
      </c>
      <c r="Z165" s="23">
        <f>IFERROR(BDP(E165&amp;" Corp","BLOOMBERG_MID_G_SPREAD","YAS_BOND_PX="&amp;V165,"YAS_BNCHMRK_BOND_PX="&amp;X165),"--")</f>
        <v/>
      </c>
      <c r="AA165" s="23">
        <f>IFERROR(BDP(D165,"LAST_PRICE"),"--")</f>
        <v/>
      </c>
      <c r="AB165" s="24" t="n"/>
      <c r="AC165" s="23">
        <f>IFERROR(IF(ISBLANK(AB165),AA165,AB165),"--")</f>
        <v/>
      </c>
      <c r="AD165" s="23">
        <f>IFERROR(MAX(-500,MIN(500,AC165-Z165)),"--")</f>
        <v/>
      </c>
      <c r="AE165" s="25">
        <f>IFERROR((AD165-S165)/(T165-S165)*100,"--")</f>
        <v/>
      </c>
    </row>
    <row r="166">
      <c r="A166" s="26" t="inlineStr">
        <is>
          <t>DELL</t>
        </is>
      </c>
      <c r="B166" s="27" t="inlineStr">
        <is>
          <t>IG</t>
        </is>
      </c>
      <c r="C166" s="26" t="inlineStr">
        <is>
          <t>DELL 4 3/4 10/06/32</t>
        </is>
      </c>
      <c r="D166" s="27" t="inlineStr">
        <is>
          <t>DELL CDS USD SR 5Y D14 Corp</t>
        </is>
      </c>
      <c r="E166" s="27" t="inlineStr">
        <is>
          <t>US24703DBT72</t>
        </is>
      </c>
      <c r="F166" s="28" t="n">
        <v>45922</v>
      </c>
      <c r="G166" s="28" t="n">
        <v>46225</v>
      </c>
      <c r="H166" s="28" t="n">
        <v>48568</v>
      </c>
      <c r="I166" s="29" t="n">
        <v>86.48439788818359</v>
      </c>
      <c r="J166" s="29" t="n">
        <v>65.61650085449219</v>
      </c>
      <c r="K166" s="29" t="n">
        <v>73.831</v>
      </c>
      <c r="L166" s="29" t="n">
        <v>82.758</v>
      </c>
      <c r="M166" s="30" t="n">
        <v>209</v>
      </c>
      <c r="N166" s="31" t="n">
        <v>12.65339788818359</v>
      </c>
      <c r="O166" s="32" t="n">
        <v>-16.30960272216797</v>
      </c>
      <c r="P166" s="32" t="n">
        <v>15.70169763183594</v>
      </c>
      <c r="Q166" s="33" t="n">
        <v>90.47742606535172</v>
      </c>
      <c r="R166" s="32" t="n">
        <v>-8.214499145507816</v>
      </c>
      <c r="S166" s="32" t="n">
        <v>-31.35789678955078</v>
      </c>
      <c r="T166" s="32" t="n">
        <v>0.8490020141601633</v>
      </c>
      <c r="U166" s="34" t="n">
        <v>71.85851014434316</v>
      </c>
      <c r="V166" s="20">
        <f>IFERROR(BDP(E166&amp;" Corp","LAST_PRICE"),"--")</f>
        <v/>
      </c>
      <c r="W166" s="21">
        <f>IFERROR(BDP(E166&amp;" Corp","YAS_BENCHMARK_BOND_ISIN"),"--")</f>
        <v/>
      </c>
      <c r="X166" s="22">
        <f>IFERROR(BDP(W166&amp;" CORP","LAST_PRICE"),"--")</f>
        <v/>
      </c>
      <c r="Y166" s="23">
        <f>IFERROR(BDP(E166&amp;" Corp","YAS_YLD_SPREAD","YAS_BOND_PX="&amp;V166,"YAS_BNCHMRK_BOND_PX="&amp;X166),"--")</f>
        <v/>
      </c>
      <c r="Z166" s="23">
        <f>IFERROR(BDP(E166&amp;" Corp","BLOOMBERG_MID_G_SPREAD","YAS_BOND_PX="&amp;V166,"YAS_BNCHMRK_BOND_PX="&amp;X166),"--")</f>
        <v/>
      </c>
      <c r="AA166" s="23">
        <f>IFERROR(BDP(D166,"LAST_PRICE"),"--")</f>
        <v/>
      </c>
      <c r="AB166" s="24" t="n"/>
      <c r="AC166" s="23">
        <f>IFERROR(IF(ISBLANK(AB166),AA166,AB166),"--")</f>
        <v/>
      </c>
      <c r="AD166" s="23">
        <f>IFERROR(MAX(-500,MIN(500,AC166-Z166)),"--")</f>
        <v/>
      </c>
      <c r="AE166" s="25">
        <f>IFERROR((AD166-S166)/(T166-S166)*100,"--")</f>
        <v/>
      </c>
    </row>
    <row r="167">
      <c r="A167" s="11" t="inlineStr">
        <is>
          <t>DGX</t>
        </is>
      </c>
      <c r="B167" s="12" t="inlineStr">
        <is>
          <t>IG</t>
        </is>
      </c>
      <c r="C167" s="11" t="inlineStr">
        <is>
          <t>DGX 6.4 11/30/33</t>
        </is>
      </c>
      <c r="D167" s="12" t="inlineStr">
        <is>
          <t>DGX CDS USD SR 5Y D14 Corp</t>
        </is>
      </c>
      <c r="E167" s="12" t="inlineStr">
        <is>
          <t>US74834LBD10</t>
        </is>
      </c>
      <c r="F167" s="13" t="n">
        <v>45659</v>
      </c>
      <c r="G167" s="13" t="n">
        <v>46225</v>
      </c>
      <c r="H167" s="13" t="n">
        <v>48933</v>
      </c>
      <c r="I167" s="14" t="n">
        <v>33.51160049438477</v>
      </c>
      <c r="J167" s="14" t="n">
        <v>19.58639907836914</v>
      </c>
      <c r="K167" s="14" t="n">
        <v>69.271</v>
      </c>
      <c r="L167" s="14" t="n">
        <v>58.069</v>
      </c>
      <c r="M167" s="15" t="n">
        <v>389</v>
      </c>
      <c r="N167" s="16" t="n">
        <v>-35.75939950561524</v>
      </c>
      <c r="O167" s="17" t="n">
        <v>-61.70150073242188</v>
      </c>
      <c r="P167" s="17" t="n">
        <v>-20.65679965209961</v>
      </c>
      <c r="Q167" s="18" t="n">
        <v>63.20450763190929</v>
      </c>
      <c r="R167" s="17" t="n">
        <v>-49.68460092163086</v>
      </c>
      <c r="S167" s="17" t="n">
        <v>-75.24369891357422</v>
      </c>
      <c r="T167" s="17" t="n">
        <v>-34.16130099487305</v>
      </c>
      <c r="U167" s="19" t="n">
        <v>62.21423112283465</v>
      </c>
      <c r="V167" s="20">
        <f>IFERROR(BDP(E167&amp;" Corp","LAST_PRICE"),"--")</f>
        <v/>
      </c>
      <c r="W167" s="21">
        <f>IFERROR(BDP(E167&amp;" Corp","YAS_BENCHMARK_BOND_ISIN"),"--")</f>
        <v/>
      </c>
      <c r="X167" s="22">
        <f>IFERROR(BDP(W167&amp;" CORP","LAST_PRICE"),"--")</f>
        <v/>
      </c>
      <c r="Y167" s="23">
        <f>IFERROR(BDP(E167&amp;" Corp","YAS_YLD_SPREAD","YAS_BOND_PX="&amp;V167,"YAS_BNCHMRK_BOND_PX="&amp;X167),"--")</f>
        <v/>
      </c>
      <c r="Z167" s="23">
        <f>IFERROR(BDP(E167&amp;" Corp","BLOOMBERG_MID_G_SPREAD","YAS_BOND_PX="&amp;V167,"YAS_BNCHMRK_BOND_PX="&amp;X167),"--")</f>
        <v/>
      </c>
      <c r="AA167" s="23">
        <f>IFERROR(BDP(D167,"LAST_PRICE"),"--")</f>
        <v/>
      </c>
      <c r="AB167" s="24" t="n"/>
      <c r="AC167" s="23">
        <f>IFERROR(IF(ISBLANK(AB167),AA167,AB167),"--")</f>
        <v/>
      </c>
      <c r="AD167" s="23">
        <f>IFERROR(MAX(-500,MIN(500,AC167-Z167)),"--")</f>
        <v/>
      </c>
      <c r="AE167" s="25">
        <f>IFERROR((AD167-S167)/(T167-S167)*100,"--")</f>
        <v/>
      </c>
    </row>
    <row r="168">
      <c r="A168" s="26" t="inlineStr">
        <is>
          <t>DHI</t>
        </is>
      </c>
      <c r="B168" s="27" t="inlineStr">
        <is>
          <t>IG</t>
        </is>
      </c>
      <c r="C168" s="26" t="inlineStr">
        <is>
          <t>DHI 5 10/15/34</t>
        </is>
      </c>
      <c r="D168" s="27" t="inlineStr">
        <is>
          <t>DHI CDS USD SR 5Y D14 Corp</t>
        </is>
      </c>
      <c r="E168" s="27" t="inlineStr">
        <is>
          <t>US23331ABS78</t>
        </is>
      </c>
      <c r="F168" s="28" t="n">
        <v>45659</v>
      </c>
      <c r="G168" s="28" t="n">
        <v>46225</v>
      </c>
      <c r="H168" s="28" t="n">
        <v>49298</v>
      </c>
      <c r="I168" s="29" t="n">
        <v>68.60130310058594</v>
      </c>
      <c r="J168" s="29" t="n">
        <v>43.63550186157227</v>
      </c>
      <c r="K168" s="29" t="n">
        <v>79.711</v>
      </c>
      <c r="L168" s="29" t="n">
        <v>73.986</v>
      </c>
      <c r="M168" s="30" t="n">
        <v>389</v>
      </c>
      <c r="N168" s="31" t="n">
        <v>-11.10969689941406</v>
      </c>
      <c r="O168" s="32" t="n">
        <v>-26.43709741210938</v>
      </c>
      <c r="P168" s="32" t="n">
        <v>9.475698852539068</v>
      </c>
      <c r="Q168" s="33" t="n">
        <v>42.67949618777857</v>
      </c>
      <c r="R168" s="32" t="n">
        <v>-36.07549813842773</v>
      </c>
      <c r="S168" s="32" t="n">
        <v>-47.89660058593751</v>
      </c>
      <c r="T168" s="32" t="n">
        <v>-14.03220138549804</v>
      </c>
      <c r="U168" s="34" t="n">
        <v>34.90716719213601</v>
      </c>
      <c r="V168" s="20">
        <f>IFERROR(BDP(E168&amp;" Corp","LAST_PRICE"),"--")</f>
        <v/>
      </c>
      <c r="W168" s="21">
        <f>IFERROR(BDP(E168&amp;" Corp","YAS_BENCHMARK_BOND_ISIN"),"--")</f>
        <v/>
      </c>
      <c r="X168" s="22">
        <f>IFERROR(BDP(W168&amp;" CORP","LAST_PRICE"),"--")</f>
        <v/>
      </c>
      <c r="Y168" s="23">
        <f>IFERROR(BDP(E168&amp;" Corp","YAS_YLD_SPREAD","YAS_BOND_PX="&amp;V168,"YAS_BNCHMRK_BOND_PX="&amp;X168),"--")</f>
        <v/>
      </c>
      <c r="Z168" s="23">
        <f>IFERROR(BDP(E168&amp;" Corp","BLOOMBERG_MID_G_SPREAD","YAS_BOND_PX="&amp;V168,"YAS_BNCHMRK_BOND_PX="&amp;X168),"--")</f>
        <v/>
      </c>
      <c r="AA168" s="23">
        <f>IFERROR(BDP(D168,"LAST_PRICE"),"--")</f>
        <v/>
      </c>
      <c r="AB168" s="24" t="n"/>
      <c r="AC168" s="23">
        <f>IFERROR(IF(ISBLANK(AB168),AA168,AB168),"--")</f>
        <v/>
      </c>
      <c r="AD168" s="23">
        <f>IFERROR(MAX(-500,MIN(500,AC168-Z168)),"--")</f>
        <v/>
      </c>
      <c r="AE168" s="25">
        <f>IFERROR((AD168-S168)/(T168-S168)*100,"--")</f>
        <v/>
      </c>
    </row>
    <row r="169">
      <c r="A169" s="11" t="inlineStr">
        <is>
          <t>DHR</t>
        </is>
      </c>
      <c r="B169" s="12" t="inlineStr">
        <is>
          <t>IG</t>
        </is>
      </c>
      <c r="C169" s="11" t="inlineStr">
        <is>
          <t>DHR 3 5/8 04/29/34</t>
        </is>
      </c>
      <c r="D169" s="12" t="inlineStr">
        <is>
          <t>DANAHER CDS USD SR 5Y D14 Corp</t>
        </is>
      </c>
      <c r="E169" s="12" t="inlineStr">
        <is>
          <t>XS3352083409</t>
        </is>
      </c>
      <c r="F169" s="13" t="n">
        <v>46135</v>
      </c>
      <c r="G169" s="13" t="n">
        <v>46225</v>
      </c>
      <c r="H169" s="13" t="n">
        <v>49115</v>
      </c>
      <c r="I169" s="14" t="n">
        <v>37.85589981079102</v>
      </c>
      <c r="J169" s="14" t="n">
        <v>21.8257007598877</v>
      </c>
      <c r="K169" s="14" t="n">
        <v>72.718</v>
      </c>
      <c r="L169" s="14" t="n">
        <v>74.197</v>
      </c>
      <c r="M169" s="15" t="n">
        <v>64</v>
      </c>
      <c r="N169" s="16" t="n">
        <v>-34.86210018920899</v>
      </c>
      <c r="O169" s="17" t="n">
        <v>-41.70379998779296</v>
      </c>
      <c r="P169" s="17" t="n">
        <v>-29.19439840698242</v>
      </c>
      <c r="Q169" s="18" t="n">
        <v>54.69246274001755</v>
      </c>
      <c r="R169" s="17" t="n">
        <v>-50.89229924011231</v>
      </c>
      <c r="S169" s="17" t="n">
        <v>-56.88300032043458</v>
      </c>
      <c r="T169" s="17" t="n">
        <v>-46.00450045776367</v>
      </c>
      <c r="U169" s="19" t="n">
        <v>55.06918376566878</v>
      </c>
      <c r="V169" s="20">
        <f>IFERROR(BDP(E169&amp;" Corp","LAST_PRICE"),"--")</f>
        <v/>
      </c>
      <c r="W169" s="21">
        <f>IFERROR(BDP(E169&amp;" Corp","YAS_BENCHMARK_BOND_ISIN"),"--")</f>
        <v/>
      </c>
      <c r="X169" s="22">
        <f>IFERROR(BDP(W169&amp;" CORP","LAST_PRICE"),"--")</f>
        <v/>
      </c>
      <c r="Y169" s="23">
        <f>IFERROR(BDP(E169&amp;" Corp","YAS_YLD_SPREAD","YAS_BOND_PX="&amp;V169,"YAS_BNCHMRK_BOND_PX="&amp;X169),"--")</f>
        <v/>
      </c>
      <c r="Z169" s="23">
        <f>IFERROR(BDP(E169&amp;" Corp","BLOOMBERG_MID_G_SPREAD","YAS_BOND_PX="&amp;V169,"YAS_BNCHMRK_BOND_PX="&amp;X169),"--")</f>
        <v/>
      </c>
      <c r="AA169" s="23">
        <f>IFERROR(BDP(D169,"LAST_PRICE"),"--")</f>
        <v/>
      </c>
      <c r="AB169" s="24" t="n"/>
      <c r="AC169" s="23">
        <f>IFERROR(IF(ISBLANK(AB169),AA169,AB169),"--")</f>
        <v/>
      </c>
      <c r="AD169" s="23">
        <f>IFERROR(MAX(-500,MIN(500,AC169-Z169)),"--")</f>
        <v/>
      </c>
      <c r="AE169" s="25">
        <f>IFERROR((AD169-S169)/(T169-S169)*100,"--")</f>
        <v/>
      </c>
    </row>
    <row r="170">
      <c r="A170" s="26" t="inlineStr">
        <is>
          <t>DIS</t>
        </is>
      </c>
      <c r="B170" s="27" t="inlineStr">
        <is>
          <t>IG</t>
        </is>
      </c>
      <c r="C170" s="26" t="inlineStr">
        <is>
          <t>DIS 4 03/14/31</t>
        </is>
      </c>
      <c r="D170" s="27" t="inlineStr">
        <is>
          <t>DIS B CDS USD SR 5Y D14 Corp</t>
        </is>
      </c>
      <c r="E170" s="27" t="inlineStr">
        <is>
          <t>US254687GD28</t>
        </is>
      </c>
      <c r="F170" s="28" t="n">
        <v>46063</v>
      </c>
      <c r="G170" s="28" t="n">
        <v>46225</v>
      </c>
      <c r="H170" s="28" t="n">
        <v>48019</v>
      </c>
      <c r="I170" s="29" t="n">
        <v>32.59999847412109</v>
      </c>
      <c r="J170" s="29" t="n">
        <v>32.59999847412109</v>
      </c>
      <c r="K170" s="29" t="n">
        <v>36.844</v>
      </c>
      <c r="L170" s="29" t="n">
        <v>36.586</v>
      </c>
      <c r="M170" s="30" t="n">
        <v>113</v>
      </c>
      <c r="N170" s="31" t="n">
        <v>-4.244001525878907</v>
      </c>
      <c r="O170" s="32" t="n">
        <v>-9.19979943847656</v>
      </c>
      <c r="P170" s="32" t="n">
        <v>3.920401367187502</v>
      </c>
      <c r="Q170" s="33" t="n">
        <v>37.77227182725898</v>
      </c>
      <c r="R170" s="32" t="n">
        <v>-4.244001525878907</v>
      </c>
      <c r="S170" s="32" t="n">
        <v>-9.19979943847656</v>
      </c>
      <c r="T170" s="32" t="n">
        <v>3.920401367187502</v>
      </c>
      <c r="U170" s="34" t="n">
        <v>37.77227182725898</v>
      </c>
      <c r="V170" s="20">
        <f>IFERROR(BDP(E170&amp;" Corp","LAST_PRICE"),"--")</f>
        <v/>
      </c>
      <c r="W170" s="21">
        <f>IFERROR(BDP(E170&amp;" Corp","YAS_BENCHMARK_BOND_ISIN"),"--")</f>
        <v/>
      </c>
      <c r="X170" s="22">
        <f>IFERROR(BDP(W170&amp;" CORP","LAST_PRICE"),"--")</f>
        <v/>
      </c>
      <c r="Y170" s="23">
        <f>IFERROR(BDP(E170&amp;" Corp","YAS_YLD_SPREAD","YAS_BOND_PX="&amp;V170,"YAS_BNCHMRK_BOND_PX="&amp;X170),"--")</f>
        <v/>
      </c>
      <c r="Z170" s="23">
        <f>IFERROR(BDP(E170&amp;" Corp","BLOOMBERG_MID_G_SPREAD","YAS_BOND_PX="&amp;V170,"YAS_BNCHMRK_BOND_PX="&amp;X170),"--")</f>
        <v/>
      </c>
      <c r="AA170" s="23">
        <f>IFERROR(BDP(D170,"LAST_PRICE"),"--")</f>
        <v/>
      </c>
      <c r="AB170" s="24" t="n"/>
      <c r="AC170" s="23">
        <f>IFERROR(IF(ISBLANK(AB170),AA170,AB170),"--")</f>
        <v/>
      </c>
      <c r="AD170" s="23">
        <f>IFERROR(MAX(-500,MIN(500,AC170-Z170)),"--")</f>
        <v/>
      </c>
      <c r="AE170" s="25">
        <f>IFERROR((AD170-S170)/(T170-S170)*100,"--")</f>
        <v/>
      </c>
    </row>
    <row r="171">
      <c r="A171" s="11" t="inlineStr">
        <is>
          <t>DOW</t>
        </is>
      </c>
      <c r="B171" s="12" t="inlineStr">
        <is>
          <t>IG</t>
        </is>
      </c>
      <c r="C171" s="11" t="inlineStr">
        <is>
          <t>DOW 4.8 01/15/31</t>
        </is>
      </c>
      <c r="D171" s="12" t="inlineStr">
        <is>
          <t>DOWCHEM CDS USD SR 5Y D14 Corp</t>
        </is>
      </c>
      <c r="E171" s="12" t="inlineStr">
        <is>
          <t>US260543DN04</t>
        </is>
      </c>
      <c r="F171" s="13" t="n">
        <v>45903</v>
      </c>
      <c r="G171" s="13" t="n">
        <v>46225</v>
      </c>
      <c r="H171" s="13" t="n">
        <v>48019</v>
      </c>
      <c r="I171" s="14" t="n">
        <v>84.20099639892578</v>
      </c>
      <c r="J171" s="14" t="n">
        <v>84.20099639892578</v>
      </c>
      <c r="K171" s="14" t="n">
        <v>88.538</v>
      </c>
      <c r="L171" s="14" t="n">
        <v>85.95999999999999</v>
      </c>
      <c r="M171" s="15" t="n">
        <v>222</v>
      </c>
      <c r="N171" s="16" t="n">
        <v>-4.337003601074215</v>
      </c>
      <c r="O171" s="17" t="n">
        <v>-22.64220001220703</v>
      </c>
      <c r="P171" s="17" t="n">
        <v>0.8470977783203182</v>
      </c>
      <c r="Q171" s="18" t="n">
        <v>77.92994313569837</v>
      </c>
      <c r="R171" s="17" t="n">
        <v>-4.337003601074215</v>
      </c>
      <c r="S171" s="17" t="n">
        <v>-22.64220001220703</v>
      </c>
      <c r="T171" s="17" t="n">
        <v>0.8470977783203182</v>
      </c>
      <c r="U171" s="19" t="n">
        <v>77.92994313569837</v>
      </c>
      <c r="V171" s="20">
        <f>IFERROR(BDP(E171&amp;" Corp","LAST_PRICE"),"--")</f>
        <v/>
      </c>
      <c r="W171" s="21">
        <f>IFERROR(BDP(E171&amp;" Corp","YAS_BENCHMARK_BOND_ISIN"),"--")</f>
        <v/>
      </c>
      <c r="X171" s="22">
        <f>IFERROR(BDP(W171&amp;" CORP","LAST_PRICE"),"--")</f>
        <v/>
      </c>
      <c r="Y171" s="23">
        <f>IFERROR(BDP(E171&amp;" Corp","YAS_YLD_SPREAD","YAS_BOND_PX="&amp;V171,"YAS_BNCHMRK_BOND_PX="&amp;X171),"--")</f>
        <v/>
      </c>
      <c r="Z171" s="23">
        <f>IFERROR(BDP(E171&amp;" Corp","BLOOMBERG_MID_G_SPREAD","YAS_BOND_PX="&amp;V171,"YAS_BNCHMRK_BOND_PX="&amp;X171),"--")</f>
        <v/>
      </c>
      <c r="AA171" s="23">
        <f>IFERROR(BDP(D171,"LAST_PRICE"),"--")</f>
        <v/>
      </c>
      <c r="AB171" s="24" t="n"/>
      <c r="AC171" s="23">
        <f>IFERROR(IF(ISBLANK(AB171),AA171,AB171),"--")</f>
        <v/>
      </c>
      <c r="AD171" s="23">
        <f>IFERROR(MAX(-500,MIN(500,AC171-Z171)),"--")</f>
        <v/>
      </c>
      <c r="AE171" s="25">
        <f>IFERROR((AD171-S171)/(T171-S171)*100,"--")</f>
        <v/>
      </c>
    </row>
    <row r="172">
      <c r="A172" s="26" t="inlineStr">
        <is>
          <t>DRI</t>
        </is>
      </c>
      <c r="B172" s="27" t="inlineStr">
        <is>
          <t>IG</t>
        </is>
      </c>
      <c r="C172" s="26" t="inlineStr">
        <is>
          <t>DRI 6.3 10/10/33</t>
        </is>
      </c>
      <c r="D172" s="27" t="inlineStr">
        <is>
          <t>DRI CDS USD SR 5Y D14 Corp</t>
        </is>
      </c>
      <c r="E172" s="27" t="inlineStr">
        <is>
          <t>US237194AN56</t>
        </is>
      </c>
      <c r="F172" s="28" t="n">
        <v>45659</v>
      </c>
      <c r="G172" s="28" t="n">
        <v>46225</v>
      </c>
      <c r="H172" s="28" t="n">
        <v>48933</v>
      </c>
      <c r="I172" s="29" t="n">
        <v>54.83430099487305</v>
      </c>
      <c r="J172" s="29" t="n">
        <v>37.52529907226562</v>
      </c>
      <c r="K172" s="29" t="n">
        <v>87.31100000000001</v>
      </c>
      <c r="L172" s="29" t="n">
        <v>76.14</v>
      </c>
      <c r="M172" s="30" t="n">
        <v>388</v>
      </c>
      <c r="N172" s="31" t="n">
        <v>-32.47669900512696</v>
      </c>
      <c r="O172" s="32" t="n">
        <v>-69.26880236816407</v>
      </c>
      <c r="P172" s="32" t="n">
        <v>-12.74299664306641</v>
      </c>
      <c r="Q172" s="33" t="n">
        <v>65.08903834466049</v>
      </c>
      <c r="R172" s="32" t="n">
        <v>-49.78570092773438</v>
      </c>
      <c r="S172" s="32" t="n">
        <v>-86.20320101928712</v>
      </c>
      <c r="T172" s="32" t="n">
        <v>-30.1427998046875</v>
      </c>
      <c r="U172" s="34" t="n">
        <v>64.96118347806018</v>
      </c>
      <c r="V172" s="20">
        <f>IFERROR(BDP(E172&amp;" Corp","LAST_PRICE"),"--")</f>
        <v/>
      </c>
      <c r="W172" s="21">
        <f>IFERROR(BDP(E172&amp;" Corp","YAS_BENCHMARK_BOND_ISIN"),"--")</f>
        <v/>
      </c>
      <c r="X172" s="22">
        <f>IFERROR(BDP(W172&amp;" CORP","LAST_PRICE"),"--")</f>
        <v/>
      </c>
      <c r="Y172" s="23">
        <f>IFERROR(BDP(E172&amp;" Corp","YAS_YLD_SPREAD","YAS_BOND_PX="&amp;V172,"YAS_BNCHMRK_BOND_PX="&amp;X172),"--")</f>
        <v/>
      </c>
      <c r="Z172" s="23">
        <f>IFERROR(BDP(E172&amp;" Corp","BLOOMBERG_MID_G_SPREAD","YAS_BOND_PX="&amp;V172,"YAS_BNCHMRK_BOND_PX="&amp;X172),"--")</f>
        <v/>
      </c>
      <c r="AA172" s="23">
        <f>IFERROR(BDP(D172,"LAST_PRICE"),"--")</f>
        <v/>
      </c>
      <c r="AB172" s="24" t="n"/>
      <c r="AC172" s="23">
        <f>IFERROR(IF(ISBLANK(AB172),AA172,AB172),"--")</f>
        <v/>
      </c>
      <c r="AD172" s="23">
        <f>IFERROR(MAX(-500,MIN(500,AC172-Z172)),"--")</f>
        <v/>
      </c>
      <c r="AE172" s="25">
        <f>IFERROR((AD172-S172)/(T172-S172)*100,"--")</f>
        <v/>
      </c>
    </row>
    <row r="173">
      <c r="A173" s="11" t="inlineStr">
        <is>
          <t>DVN</t>
        </is>
      </c>
      <c r="B173" s="12" t="inlineStr">
        <is>
          <t>IG</t>
        </is>
      </c>
      <c r="C173" s="11" t="inlineStr">
        <is>
          <t>DVN 5.2 09/15/34</t>
        </is>
      </c>
      <c r="D173" s="12" t="inlineStr">
        <is>
          <t>DVNCORP CDS USD SR 5Y D14 Corp</t>
        </is>
      </c>
      <c r="E173" s="12" t="inlineStr">
        <is>
          <t>US25179MBG78</t>
        </is>
      </c>
      <c r="F173" s="13" t="n">
        <v>45659</v>
      </c>
      <c r="G173" s="13" t="n">
        <v>46225</v>
      </c>
      <c r="H173" s="13" t="n">
        <v>49298</v>
      </c>
      <c r="I173" s="14" t="n">
        <v>93.81510162353516</v>
      </c>
      <c r="J173" s="14" t="n">
        <v>53.27289962768555</v>
      </c>
      <c r="K173" s="14" t="n">
        <v>79.331</v>
      </c>
      <c r="L173" s="14" t="n">
        <v>72.76900000000001</v>
      </c>
      <c r="M173" s="15" t="n">
        <v>389</v>
      </c>
      <c r="N173" s="16" t="n">
        <v>14.48410162353515</v>
      </c>
      <c r="O173" s="17" t="n">
        <v>-41.87189416503907</v>
      </c>
      <c r="P173" s="17" t="n">
        <v>36.65799670410155</v>
      </c>
      <c r="Q173" s="18" t="n">
        <v>71.76375156624606</v>
      </c>
      <c r="R173" s="17" t="n">
        <v>-26.05810037231446</v>
      </c>
      <c r="S173" s="17" t="n">
        <v>-76.13700036621094</v>
      </c>
      <c r="T173" s="17" t="n">
        <v>-2.199406372070314</v>
      </c>
      <c r="U173" s="19" t="n">
        <v>67.73130864640405</v>
      </c>
      <c r="V173" s="20">
        <f>IFERROR(BDP(E173&amp;" Corp","LAST_PRICE"),"--")</f>
        <v/>
      </c>
      <c r="W173" s="21">
        <f>IFERROR(BDP(E173&amp;" Corp","YAS_BENCHMARK_BOND_ISIN"),"--")</f>
        <v/>
      </c>
      <c r="X173" s="22">
        <f>IFERROR(BDP(W173&amp;" CORP","LAST_PRICE"),"--")</f>
        <v/>
      </c>
      <c r="Y173" s="23">
        <f>IFERROR(BDP(E173&amp;" Corp","YAS_YLD_SPREAD","YAS_BOND_PX="&amp;V173,"YAS_BNCHMRK_BOND_PX="&amp;X173),"--")</f>
        <v/>
      </c>
      <c r="Z173" s="23">
        <f>IFERROR(BDP(E173&amp;" Corp","BLOOMBERG_MID_G_SPREAD","YAS_BOND_PX="&amp;V173,"YAS_BNCHMRK_BOND_PX="&amp;X173),"--")</f>
        <v/>
      </c>
      <c r="AA173" s="23">
        <f>IFERROR(BDP(D173,"LAST_PRICE"),"--")</f>
        <v/>
      </c>
      <c r="AB173" s="24" t="n"/>
      <c r="AC173" s="23">
        <f>IFERROR(IF(ISBLANK(AB173),AA173,AB173),"--")</f>
        <v/>
      </c>
      <c r="AD173" s="23">
        <f>IFERROR(MAX(-500,MIN(500,AC173-Z173)),"--")</f>
        <v/>
      </c>
      <c r="AE173" s="25">
        <f>IFERROR((AD173-S173)/(T173-S173)*100,"--")</f>
        <v/>
      </c>
    </row>
    <row r="174">
      <c r="A174" s="26" t="inlineStr">
        <is>
          <t>DXC</t>
        </is>
      </c>
      <c r="B174" s="27" t="inlineStr">
        <is>
          <t>IG</t>
        </is>
      </c>
      <c r="C174" s="26" t="inlineStr">
        <is>
          <t>DXC 4 1/4 12/09/30</t>
        </is>
      </c>
      <c r="D174" s="27" t="inlineStr">
        <is>
          <t>DXC CDS USD SR 5Y D14 Corp</t>
        </is>
      </c>
      <c r="E174" s="27" t="inlineStr">
        <is>
          <t>XS3247588109</t>
        </is>
      </c>
      <c r="F174" s="28" t="n">
        <v>45995</v>
      </c>
      <c r="G174" s="28" t="n">
        <v>46225</v>
      </c>
      <c r="H174" s="28" t="n">
        <v>47837</v>
      </c>
      <c r="I174" s="29" t="n">
        <v>238.2929992675781</v>
      </c>
      <c r="J174" s="29" t="n">
        <v>272.8500061035156</v>
      </c>
      <c r="K174" s="29" t="n">
        <v>196.954</v>
      </c>
      <c r="L174" s="29" t="n">
        <v>196.967</v>
      </c>
      <c r="M174" s="30" t="n">
        <v>159</v>
      </c>
      <c r="N174" s="31" t="n">
        <v>41.33899926757812</v>
      </c>
      <c r="O174" s="32" t="n">
        <v>-47.48030737304688</v>
      </c>
      <c r="P174" s="32" t="n">
        <v>61.18110327148437</v>
      </c>
      <c r="Q174" s="33" t="n">
        <v>81.73951185962734</v>
      </c>
      <c r="R174" s="32" t="n">
        <v>75.89600610351562</v>
      </c>
      <c r="S174" s="32" t="n">
        <v>-31.77080688476562</v>
      </c>
      <c r="T174" s="32" t="n">
        <v>96.00629858398437</v>
      </c>
      <c r="U174" s="34" t="n">
        <v>84.26142742340718</v>
      </c>
      <c r="V174" s="20">
        <f>IFERROR(BDP(E174&amp;" Corp","LAST_PRICE"),"--")</f>
        <v/>
      </c>
      <c r="W174" s="21">
        <f>IFERROR(BDP(E174&amp;" Corp","YAS_BENCHMARK_BOND_ISIN"),"--")</f>
        <v/>
      </c>
      <c r="X174" s="22">
        <f>IFERROR(BDP(W174&amp;" CORP","LAST_PRICE"),"--")</f>
        <v/>
      </c>
      <c r="Y174" s="23">
        <f>IFERROR(BDP(E174&amp;" Corp","YAS_YLD_SPREAD","YAS_BOND_PX="&amp;V174,"YAS_BNCHMRK_BOND_PX="&amp;X174),"--")</f>
        <v/>
      </c>
      <c r="Z174" s="23">
        <f>IFERROR(BDP(E174&amp;" Corp","BLOOMBERG_MID_G_SPREAD","YAS_BOND_PX="&amp;V174,"YAS_BNCHMRK_BOND_PX="&amp;X174),"--")</f>
        <v/>
      </c>
      <c r="AA174" s="23">
        <f>IFERROR(BDP(D174,"LAST_PRICE"),"--")</f>
        <v/>
      </c>
      <c r="AB174" s="24" t="n"/>
      <c r="AC174" s="23">
        <f>IFERROR(IF(ISBLANK(AB174),AA174,AB174),"--")</f>
        <v/>
      </c>
      <c r="AD174" s="23">
        <f>IFERROR(MAX(-500,MIN(500,AC174-Z174)),"--")</f>
        <v/>
      </c>
      <c r="AE174" s="25">
        <f>IFERROR((AD174-S174)/(T174-S174)*100,"--")</f>
        <v/>
      </c>
    </row>
    <row r="175">
      <c r="A175" s="11" t="inlineStr">
        <is>
          <t>ELV</t>
        </is>
      </c>
      <c r="B175" s="12" t="inlineStr">
        <is>
          <t>IG</t>
        </is>
      </c>
      <c r="C175" s="11" t="inlineStr">
        <is>
          <t>ELV 4.95 11/01/31</t>
        </is>
      </c>
      <c r="D175" s="12" t="inlineStr">
        <is>
          <t>ELV CDS USD SR 5Y D14 Corp</t>
        </is>
      </c>
      <c r="E175" s="12" t="inlineStr">
        <is>
          <t>US036752BC66</t>
        </is>
      </c>
      <c r="F175" s="13" t="n">
        <v>46099</v>
      </c>
      <c r="G175" s="13" t="n">
        <v>46225</v>
      </c>
      <c r="H175" s="13" t="n">
        <v>48202</v>
      </c>
      <c r="I175" s="14" t="n">
        <v>52.7489013671875</v>
      </c>
      <c r="J175" s="14" t="n">
        <v>46.46099853515625</v>
      </c>
      <c r="K175" s="14" t="n">
        <v>63.401</v>
      </c>
      <c r="L175" s="14" t="n">
        <v>66.45699999999999</v>
      </c>
      <c r="M175" s="15" t="n">
        <v>88</v>
      </c>
      <c r="N175" s="16" t="n">
        <v>-10.6520986328125</v>
      </c>
      <c r="O175" s="17" t="n">
        <v>-16.58770141601562</v>
      </c>
      <c r="P175" s="17" t="n">
        <v>-1.371899719238279</v>
      </c>
      <c r="Q175" s="18" t="n">
        <v>39.00946464398427</v>
      </c>
      <c r="R175" s="17" t="n">
        <v>-16.94000146484375</v>
      </c>
      <c r="S175" s="17" t="n">
        <v>-23.36219940185546</v>
      </c>
      <c r="T175" s="17" t="n">
        <v>-7.990998382568357</v>
      </c>
      <c r="U175" s="19" t="n">
        <v>41.78071660733224</v>
      </c>
      <c r="V175" s="20">
        <f>IFERROR(BDP(E175&amp;" Corp","LAST_PRICE"),"--")</f>
        <v/>
      </c>
      <c r="W175" s="21">
        <f>IFERROR(BDP(E175&amp;" Corp","YAS_BENCHMARK_BOND_ISIN"),"--")</f>
        <v/>
      </c>
      <c r="X175" s="22">
        <f>IFERROR(BDP(W175&amp;" CORP","LAST_PRICE"),"--")</f>
        <v/>
      </c>
      <c r="Y175" s="23">
        <f>IFERROR(BDP(E175&amp;" Corp","YAS_YLD_SPREAD","YAS_BOND_PX="&amp;V175,"YAS_BNCHMRK_BOND_PX="&amp;X175),"--")</f>
        <v/>
      </c>
      <c r="Z175" s="23">
        <f>IFERROR(BDP(E175&amp;" Corp","BLOOMBERG_MID_G_SPREAD","YAS_BOND_PX="&amp;V175,"YAS_BNCHMRK_BOND_PX="&amp;X175),"--")</f>
        <v/>
      </c>
      <c r="AA175" s="23">
        <f>IFERROR(BDP(D175,"LAST_PRICE"),"--")</f>
        <v/>
      </c>
      <c r="AB175" s="24" t="n"/>
      <c r="AC175" s="23">
        <f>IFERROR(IF(ISBLANK(AB175),AA175,AB175),"--")</f>
        <v/>
      </c>
      <c r="AD175" s="23">
        <f>IFERROR(MAX(-500,MIN(500,AC175-Z175)),"--")</f>
        <v/>
      </c>
      <c r="AE175" s="25">
        <f>IFERROR((AD175-S175)/(T175-S175)*100,"--")</f>
        <v/>
      </c>
    </row>
    <row r="176">
      <c r="A176" s="26" t="inlineStr">
        <is>
          <t>EMN</t>
        </is>
      </c>
      <c r="B176" s="27" t="inlineStr">
        <is>
          <t>IG</t>
        </is>
      </c>
      <c r="C176" s="26" t="inlineStr">
        <is>
          <t>EMN 4 1/2 02/20/31</t>
        </is>
      </c>
      <c r="D176" s="27" t="inlineStr">
        <is>
          <t>EMN CDS USD SR 5Y D14 Corp</t>
        </is>
      </c>
      <c r="E176" s="27" t="inlineStr">
        <is>
          <t>US277432BB57</t>
        </is>
      </c>
      <c r="F176" s="28" t="n">
        <v>46071</v>
      </c>
      <c r="G176" s="28" t="n">
        <v>46225</v>
      </c>
      <c r="H176" s="28" t="n">
        <v>48019</v>
      </c>
      <c r="I176" s="29" t="n">
        <v>67.66850280761719</v>
      </c>
      <c r="J176" s="29" t="n">
        <v>67.66850280761719</v>
      </c>
      <c r="K176" s="29" t="n">
        <v>76.089</v>
      </c>
      <c r="L176" s="29" t="n">
        <v>75.517</v>
      </c>
      <c r="M176" s="30" t="n">
        <v>108</v>
      </c>
      <c r="N176" s="31" t="n">
        <v>-8.420497192382811</v>
      </c>
      <c r="O176" s="32" t="n">
        <v>-20.17419769287109</v>
      </c>
      <c r="P176" s="32" t="n">
        <v>26.77650231933593</v>
      </c>
      <c r="Q176" s="33" t="n">
        <v>25.03413260597255</v>
      </c>
      <c r="R176" s="32" t="n">
        <v>-8.420497192382811</v>
      </c>
      <c r="S176" s="32" t="n">
        <v>-20.17419769287109</v>
      </c>
      <c r="T176" s="32" t="n">
        <v>26.77650231933593</v>
      </c>
      <c r="U176" s="34" t="n">
        <v>25.03413260597255</v>
      </c>
      <c r="V176" s="20">
        <f>IFERROR(BDP(E176&amp;" Corp","LAST_PRICE"),"--")</f>
        <v/>
      </c>
      <c r="W176" s="21">
        <f>IFERROR(BDP(E176&amp;" Corp","YAS_BENCHMARK_BOND_ISIN"),"--")</f>
        <v/>
      </c>
      <c r="X176" s="22">
        <f>IFERROR(BDP(W176&amp;" CORP","LAST_PRICE"),"--")</f>
        <v/>
      </c>
      <c r="Y176" s="23">
        <f>IFERROR(BDP(E176&amp;" Corp","YAS_YLD_SPREAD","YAS_BOND_PX="&amp;V176,"YAS_BNCHMRK_BOND_PX="&amp;X176),"--")</f>
        <v/>
      </c>
      <c r="Z176" s="23">
        <f>IFERROR(BDP(E176&amp;" Corp","BLOOMBERG_MID_G_SPREAD","YAS_BOND_PX="&amp;V176,"YAS_BNCHMRK_BOND_PX="&amp;X176),"--")</f>
        <v/>
      </c>
      <c r="AA176" s="23">
        <f>IFERROR(BDP(D176,"LAST_PRICE"),"--")</f>
        <v/>
      </c>
      <c r="AB176" s="24" t="n"/>
      <c r="AC176" s="23">
        <f>IFERROR(IF(ISBLANK(AB176),AA176,AB176),"--")</f>
        <v/>
      </c>
      <c r="AD176" s="23">
        <f>IFERROR(MAX(-500,MIN(500,AC176-Z176)),"--")</f>
        <v/>
      </c>
      <c r="AE176" s="25">
        <f>IFERROR((AD176-S176)/(T176-S176)*100,"--")</f>
        <v/>
      </c>
    </row>
    <row r="177">
      <c r="A177" s="11" t="inlineStr">
        <is>
          <t>ENBCN</t>
        </is>
      </c>
      <c r="B177" s="12" t="inlineStr">
        <is>
          <t>IG</t>
        </is>
      </c>
      <c r="C177" s="11" t="inlineStr">
        <is>
          <t>ENBCN 4 1/2 02/15/31</t>
        </is>
      </c>
      <c r="D177" s="12" t="inlineStr">
        <is>
          <t>ENBRIDGE INC CDS USD SR 5Y D14 Corp</t>
        </is>
      </c>
      <c r="E177" s="12" t="inlineStr">
        <is>
          <t>US29250NCN30</t>
        </is>
      </c>
      <c r="F177" s="13" t="n">
        <v>45978</v>
      </c>
      <c r="G177" s="13" t="n">
        <v>46225</v>
      </c>
      <c r="H177" s="13" t="n">
        <v>48019</v>
      </c>
      <c r="I177" s="14" t="n">
        <v>53.90079879760742</v>
      </c>
      <c r="J177" s="14" t="n">
        <v>53.90079879760742</v>
      </c>
      <c r="K177" s="14" t="n">
        <v>66.483</v>
      </c>
      <c r="L177" s="14" t="n">
        <v>66.67700000000001</v>
      </c>
      <c r="M177" s="15" t="n">
        <v>171</v>
      </c>
      <c r="N177" s="16" t="n">
        <v>-12.58220120239258</v>
      </c>
      <c r="O177" s="17" t="n">
        <v>-20.29110089111329</v>
      </c>
      <c r="P177" s="17" t="n">
        <v>-5.118498626708984</v>
      </c>
      <c r="Q177" s="18" t="n">
        <v>50.80802590341524</v>
      </c>
      <c r="R177" s="17" t="n">
        <v>-12.58220120239258</v>
      </c>
      <c r="S177" s="17" t="n">
        <v>-20.29110089111329</v>
      </c>
      <c r="T177" s="17" t="n">
        <v>-5.118498626708984</v>
      </c>
      <c r="U177" s="19" t="n">
        <v>50.80802590341524</v>
      </c>
      <c r="V177" s="20">
        <f>IFERROR(BDP(E177&amp;" Corp","LAST_PRICE"),"--")</f>
        <v/>
      </c>
      <c r="W177" s="21">
        <f>IFERROR(BDP(E177&amp;" Corp","YAS_BENCHMARK_BOND_ISIN"),"--")</f>
        <v/>
      </c>
      <c r="X177" s="22">
        <f>IFERROR(BDP(W177&amp;" CORP","LAST_PRICE"),"--")</f>
        <v/>
      </c>
      <c r="Y177" s="23">
        <f>IFERROR(BDP(E177&amp;" Corp","YAS_YLD_SPREAD","YAS_BOND_PX="&amp;V177,"YAS_BNCHMRK_BOND_PX="&amp;X177),"--")</f>
        <v/>
      </c>
      <c r="Z177" s="23">
        <f>IFERROR(BDP(E177&amp;" Corp","BLOOMBERG_MID_G_SPREAD","YAS_BOND_PX="&amp;V177,"YAS_BNCHMRK_BOND_PX="&amp;X177),"--")</f>
        <v/>
      </c>
      <c r="AA177" s="23">
        <f>IFERROR(BDP(D177,"LAST_PRICE"),"--")</f>
        <v/>
      </c>
      <c r="AB177" s="24" t="n"/>
      <c r="AC177" s="23">
        <f>IFERROR(IF(ISBLANK(AB177),AA177,AB177),"--")</f>
        <v/>
      </c>
      <c r="AD177" s="23">
        <f>IFERROR(MAX(-500,MIN(500,AC177-Z177)),"--")</f>
        <v/>
      </c>
      <c r="AE177" s="25">
        <f>IFERROR((AD177-S177)/(T177-S177)*100,"--")</f>
        <v/>
      </c>
    </row>
    <row r="178">
      <c r="A178" s="26" t="inlineStr">
        <is>
          <t>ET</t>
        </is>
      </c>
      <c r="B178" s="27" t="inlineStr">
        <is>
          <t>IG</t>
        </is>
      </c>
      <c r="C178" s="26" t="inlineStr">
        <is>
          <t>ET 5.6 09/01/34</t>
        </is>
      </c>
      <c r="D178" s="27" t="inlineStr">
        <is>
          <t>CY325977 MSG1 Curncy</t>
        </is>
      </c>
      <c r="E178" s="27" t="inlineStr">
        <is>
          <t>US29273VBA70</t>
        </is>
      </c>
      <c r="F178" s="28" t="n">
        <v>45659</v>
      </c>
      <c r="G178" s="28" t="n">
        <v>46225</v>
      </c>
      <c r="H178" s="28" t="n">
        <v>49298</v>
      </c>
      <c r="I178" s="29" t="n">
        <v>90.44259643554688</v>
      </c>
      <c r="J178" s="29" t="n">
        <v>54.27209854125977</v>
      </c>
      <c r="K178" s="29" t="n">
        <v>91.02800000000001</v>
      </c>
      <c r="L178" s="29" t="n">
        <v>83.783</v>
      </c>
      <c r="M178" s="30" t="n">
        <v>389</v>
      </c>
      <c r="N178" s="31" t="n">
        <v>-0.5854035644531308</v>
      </c>
      <c r="O178" s="32" t="n">
        <v>-37.94389270019531</v>
      </c>
      <c r="P178" s="32" t="n">
        <v>4.61310369873047</v>
      </c>
      <c r="Q178" s="33" t="n">
        <v>87.78460017607158</v>
      </c>
      <c r="R178" s="32" t="n">
        <v>-36.75590145874024</v>
      </c>
      <c r="S178" s="32" t="n">
        <v>-70.74289630126952</v>
      </c>
      <c r="T178" s="32" t="n">
        <v>-26.39720196533203</v>
      </c>
      <c r="U178" s="34" t="n">
        <v>76.64102536102681</v>
      </c>
      <c r="V178" s="20">
        <f>IFERROR(BDP(E178&amp;" Corp","LAST_PRICE"),"--")</f>
        <v/>
      </c>
      <c r="W178" s="21">
        <f>IFERROR(BDP(E178&amp;" Corp","YAS_BENCHMARK_BOND_ISIN"),"--")</f>
        <v/>
      </c>
      <c r="X178" s="22">
        <f>IFERROR(BDP(W178&amp;" CORP","LAST_PRICE"),"--")</f>
        <v/>
      </c>
      <c r="Y178" s="23">
        <f>IFERROR(BDP(E178&amp;" Corp","YAS_YLD_SPREAD","YAS_BOND_PX="&amp;V178,"YAS_BNCHMRK_BOND_PX="&amp;X178),"--")</f>
        <v/>
      </c>
      <c r="Z178" s="23">
        <f>IFERROR(BDP(E178&amp;" Corp","BLOOMBERG_MID_G_SPREAD","YAS_BOND_PX="&amp;V178,"YAS_BNCHMRK_BOND_PX="&amp;X178),"--")</f>
        <v/>
      </c>
      <c r="AA178" s="23">
        <f>IFERROR(BDP(D178,"LAST_PRICE"),"--")</f>
        <v/>
      </c>
      <c r="AB178" s="24" t="n"/>
      <c r="AC178" s="23">
        <f>IFERROR(IF(ISBLANK(AB178),AA178,AB178),"--")</f>
        <v/>
      </c>
      <c r="AD178" s="23">
        <f>IFERROR(MAX(-500,MIN(500,AC178-Z178)),"--")</f>
        <v/>
      </c>
      <c r="AE178" s="25">
        <f>IFERROR((AD178-S178)/(T178-S178)*100,"--")</f>
        <v/>
      </c>
    </row>
    <row r="179">
      <c r="A179" s="11" t="inlineStr">
        <is>
          <t>EXC</t>
        </is>
      </c>
      <c r="B179" s="12" t="inlineStr">
        <is>
          <t>IG</t>
        </is>
      </c>
      <c r="C179" s="11" t="inlineStr">
        <is>
          <t>EXC 5.3 03/15/33</t>
        </is>
      </c>
      <c r="D179" s="12" t="inlineStr">
        <is>
          <t>EXCC CDS USD SR 5Y D14 Corp</t>
        </is>
      </c>
      <c r="E179" s="12" t="inlineStr">
        <is>
          <t>US30161NBK63</t>
        </is>
      </c>
      <c r="F179" s="13" t="n">
        <v>45659</v>
      </c>
      <c r="G179" s="13" t="n">
        <v>46225</v>
      </c>
      <c r="H179" s="13" t="n">
        <v>48750</v>
      </c>
      <c r="I179" s="14" t="n">
        <v>41.18030166625977</v>
      </c>
      <c r="J179" s="14" t="n">
        <v>29.625</v>
      </c>
      <c r="K179" s="14" t="n">
        <v>71.92400000000001</v>
      </c>
      <c r="L179" s="14" t="n">
        <v>57.986</v>
      </c>
      <c r="M179" s="15" t="n">
        <v>389</v>
      </c>
      <c r="N179" s="16" t="n">
        <v>-30.74369833374024</v>
      </c>
      <c r="O179" s="17" t="n">
        <v>-55.22919842529296</v>
      </c>
      <c r="P179" s="17" t="n">
        <v>-16.82619915771485</v>
      </c>
      <c r="Q179" s="18" t="n">
        <v>63.75934317251284</v>
      </c>
      <c r="R179" s="17" t="n">
        <v>-42.29900000000001</v>
      </c>
      <c r="S179" s="17" t="n">
        <v>-65.53230044555664</v>
      </c>
      <c r="T179" s="17" t="n">
        <v>-27.56330166625977</v>
      </c>
      <c r="U179" s="19" t="n">
        <v>61.1901846045646</v>
      </c>
      <c r="V179" s="20">
        <f>IFERROR(BDP(E179&amp;" Corp","LAST_PRICE"),"--")</f>
        <v/>
      </c>
      <c r="W179" s="21">
        <f>IFERROR(BDP(E179&amp;" Corp","YAS_BENCHMARK_BOND_ISIN"),"--")</f>
        <v/>
      </c>
      <c r="X179" s="22">
        <f>IFERROR(BDP(W179&amp;" CORP","LAST_PRICE"),"--")</f>
        <v/>
      </c>
      <c r="Y179" s="23">
        <f>IFERROR(BDP(E179&amp;" Corp","YAS_YLD_SPREAD","YAS_BOND_PX="&amp;V179,"YAS_BNCHMRK_BOND_PX="&amp;X179),"--")</f>
        <v/>
      </c>
      <c r="Z179" s="23">
        <f>IFERROR(BDP(E179&amp;" Corp","BLOOMBERG_MID_G_SPREAD","YAS_BOND_PX="&amp;V179,"YAS_BNCHMRK_BOND_PX="&amp;X179),"--")</f>
        <v/>
      </c>
      <c r="AA179" s="23">
        <f>IFERROR(BDP(D179,"LAST_PRICE"),"--")</f>
        <v/>
      </c>
      <c r="AB179" s="24" t="n"/>
      <c r="AC179" s="23">
        <f>IFERROR(IF(ISBLANK(AB179),AA179,AB179),"--")</f>
        <v/>
      </c>
      <c r="AD179" s="23">
        <f>IFERROR(MAX(-500,MIN(500,AC179-Z179)),"--")</f>
        <v/>
      </c>
      <c r="AE179" s="25">
        <f>IFERROR((AD179-S179)/(T179-S179)*100,"--")</f>
        <v/>
      </c>
    </row>
    <row r="180">
      <c r="A180" s="26" t="inlineStr">
        <is>
          <t>EXPE</t>
        </is>
      </c>
      <c r="B180" s="27" t="inlineStr">
        <is>
          <t>IG</t>
        </is>
      </c>
      <c r="C180" s="26" t="inlineStr">
        <is>
          <t>EXPE 2.95 03/15/31</t>
        </is>
      </c>
      <c r="D180" s="27" t="inlineStr">
        <is>
          <t>EXPE CDS USD SR 5Y D14 Corp</t>
        </is>
      </c>
      <c r="E180" s="27" t="inlineStr">
        <is>
          <t>US30212PBH73</t>
        </is>
      </c>
      <c r="F180" s="28" t="n">
        <v>45659</v>
      </c>
      <c r="G180" s="28" t="n">
        <v>46225</v>
      </c>
      <c r="H180" s="28" t="n">
        <v>48019</v>
      </c>
      <c r="I180" s="29" t="n">
        <v>78.58609771728516</v>
      </c>
      <c r="J180" s="29" t="n">
        <v>78.58609771728516</v>
      </c>
      <c r="K180" s="29" t="n">
        <v>73.84</v>
      </c>
      <c r="L180" s="29" t="n">
        <v>74.25700000000001</v>
      </c>
      <c r="M180" s="30" t="n">
        <v>389</v>
      </c>
      <c r="N180" s="31" t="n">
        <v>4.746097717285153</v>
      </c>
      <c r="O180" s="32" t="n">
        <v>-35.78799884033202</v>
      </c>
      <c r="P180" s="32" t="n">
        <v>20.34649719238281</v>
      </c>
      <c r="Q180" s="33" t="n">
        <v>72.20889011632732</v>
      </c>
      <c r="R180" s="32" t="n">
        <v>4.746097717285153</v>
      </c>
      <c r="S180" s="32" t="n">
        <v>-35.78799884033202</v>
      </c>
      <c r="T180" s="32" t="n">
        <v>20.34649719238281</v>
      </c>
      <c r="U180" s="34" t="n">
        <v>72.20889011632732</v>
      </c>
      <c r="V180" s="20">
        <f>IFERROR(BDP(E180&amp;" Corp","LAST_PRICE"),"--")</f>
        <v/>
      </c>
      <c r="W180" s="21">
        <f>IFERROR(BDP(E180&amp;" Corp","YAS_BENCHMARK_BOND_ISIN"),"--")</f>
        <v/>
      </c>
      <c r="X180" s="22">
        <f>IFERROR(BDP(W180&amp;" CORP","LAST_PRICE"),"--")</f>
        <v/>
      </c>
      <c r="Y180" s="23">
        <f>IFERROR(BDP(E180&amp;" Corp","YAS_YLD_SPREAD","YAS_BOND_PX="&amp;V180,"YAS_BNCHMRK_BOND_PX="&amp;X180),"--")</f>
        <v/>
      </c>
      <c r="Z180" s="23">
        <f>IFERROR(BDP(E180&amp;" Corp","BLOOMBERG_MID_G_SPREAD","YAS_BOND_PX="&amp;V180,"YAS_BNCHMRK_BOND_PX="&amp;X180),"--")</f>
        <v/>
      </c>
      <c r="AA180" s="23">
        <f>IFERROR(BDP(D180,"LAST_PRICE"),"--")</f>
        <v/>
      </c>
      <c r="AB180" s="24" t="n"/>
      <c r="AC180" s="23">
        <f>IFERROR(IF(ISBLANK(AB180),AA180,AB180),"--")</f>
        <v/>
      </c>
      <c r="AD180" s="23">
        <f>IFERROR(MAX(-500,MIN(500,AC180-Z180)),"--")</f>
        <v/>
      </c>
      <c r="AE180" s="25">
        <f>IFERROR((AD180-S180)/(T180-S180)*100,"--")</f>
        <v/>
      </c>
    </row>
    <row r="181">
      <c r="A181" s="11" t="inlineStr">
        <is>
          <t>FCO</t>
        </is>
      </c>
      <c r="B181" s="12" t="inlineStr">
        <is>
          <t>IG</t>
        </is>
      </c>
      <c r="C181" s="11" t="inlineStr">
        <is>
          <t>F 7.45 07/16/31</t>
        </is>
      </c>
      <c r="D181" s="12" t="inlineStr">
        <is>
          <t>FCO CDS USD SR 5Y D14 Corp</t>
        </is>
      </c>
      <c r="E181" s="12" t="inlineStr">
        <is>
          <t>US345370CA64</t>
        </is>
      </c>
      <c r="F181" s="13" t="n">
        <v>45659</v>
      </c>
      <c r="G181" s="13" t="n">
        <v>46225</v>
      </c>
      <c r="H181" s="13" t="n">
        <v>48202</v>
      </c>
      <c r="I181" s="14" t="n">
        <v>152.0018005371094</v>
      </c>
      <c r="J181" s="14" t="n">
        <v>138.4571075439453</v>
      </c>
      <c r="K181" s="14" t="n">
        <v>127.357</v>
      </c>
      <c r="L181" s="14" t="n">
        <v>130.282</v>
      </c>
      <c r="M181" s="15" t="n">
        <v>389</v>
      </c>
      <c r="N181" s="16" t="n">
        <v>24.64480053710938</v>
      </c>
      <c r="O181" s="17" t="n">
        <v>8.084607055664065</v>
      </c>
      <c r="P181" s="17" t="n">
        <v>54.67209594726563</v>
      </c>
      <c r="Q181" s="18" t="n">
        <v>35.54643934550131</v>
      </c>
      <c r="R181" s="17" t="n">
        <v>11.10010754394531</v>
      </c>
      <c r="S181" s="17" t="n">
        <v>-0.8976927490234345</v>
      </c>
      <c r="T181" s="17" t="n">
        <v>43.69309204101563</v>
      </c>
      <c r="U181" s="19" t="n">
        <v>26.90645690463129</v>
      </c>
      <c r="V181" s="20">
        <f>IFERROR(BDP(E181&amp;" Corp","LAST_PRICE"),"--")</f>
        <v/>
      </c>
      <c r="W181" s="21">
        <f>IFERROR(BDP(E181&amp;" Corp","YAS_BENCHMARK_BOND_ISIN"),"--")</f>
        <v/>
      </c>
      <c r="X181" s="22">
        <f>IFERROR(BDP(W181&amp;" CORP","LAST_PRICE"),"--")</f>
        <v/>
      </c>
      <c r="Y181" s="23">
        <f>IFERROR(BDP(E181&amp;" Corp","YAS_YLD_SPREAD","YAS_BOND_PX="&amp;V181,"YAS_BNCHMRK_BOND_PX="&amp;X181),"--")</f>
        <v/>
      </c>
      <c r="Z181" s="23">
        <f>IFERROR(BDP(E181&amp;" Corp","BLOOMBERG_MID_G_SPREAD","YAS_BOND_PX="&amp;V181,"YAS_BNCHMRK_BOND_PX="&amp;X181),"--")</f>
        <v/>
      </c>
      <c r="AA181" s="23">
        <f>IFERROR(BDP(D181,"LAST_PRICE"),"--")</f>
        <v/>
      </c>
      <c r="AB181" s="24" t="n"/>
      <c r="AC181" s="23">
        <f>IFERROR(IF(ISBLANK(AB181),AA181,AB181),"--")</f>
        <v/>
      </c>
      <c r="AD181" s="23">
        <f>IFERROR(MAX(-500,MIN(500,AC181-Z181)),"--")</f>
        <v/>
      </c>
      <c r="AE181" s="25">
        <f>IFERROR((AD181-S181)/(T181-S181)*100,"--")</f>
        <v/>
      </c>
    </row>
    <row r="182">
      <c r="A182" s="26" t="inlineStr">
        <is>
          <t>FCX</t>
        </is>
      </c>
      <c r="B182" s="27" t="inlineStr">
        <is>
          <t>IG</t>
        </is>
      </c>
      <c r="C182" s="26" t="inlineStr">
        <is>
          <t>FCX 5.4 11/14/34</t>
        </is>
      </c>
      <c r="D182" s="27" t="inlineStr">
        <is>
          <t>CX355476 MSG1 Curncy</t>
        </is>
      </c>
      <c r="E182" s="27" t="inlineStr">
        <is>
          <t>US35671DBJ37</t>
        </is>
      </c>
      <c r="F182" s="28" t="n">
        <v>45659</v>
      </c>
      <c r="G182" s="28" t="n">
        <v>46225</v>
      </c>
      <c r="H182" s="28" t="n">
        <v>49298</v>
      </c>
      <c r="I182" s="29" t="n">
        <v>108.3023986816406</v>
      </c>
      <c r="J182" s="29" t="n">
        <v>67.71890258789062</v>
      </c>
      <c r="K182" s="29" t="n">
        <v>77.306</v>
      </c>
      <c r="L182" s="29" t="n">
        <v>69.31999999999999</v>
      </c>
      <c r="M182" s="30" t="n">
        <v>389</v>
      </c>
      <c r="N182" s="31" t="n">
        <v>30.99639868164063</v>
      </c>
      <c r="O182" s="32" t="n">
        <v>-2.070804321289074</v>
      </c>
      <c r="P182" s="32" t="n">
        <v>39.55189331054687</v>
      </c>
      <c r="Q182" s="33" t="n">
        <v>79.44512221533088</v>
      </c>
      <c r="R182" s="32" t="n">
        <v>-9.587097412109372</v>
      </c>
      <c r="S182" s="32" t="n">
        <v>-30.63450213623048</v>
      </c>
      <c r="T182" s="32" t="n">
        <v>10.6271982421875</v>
      </c>
      <c r="U182" s="34" t="n">
        <v>51.0095428232279</v>
      </c>
      <c r="V182" s="20">
        <f>IFERROR(BDP(E182&amp;" Corp","LAST_PRICE"),"--")</f>
        <v/>
      </c>
      <c r="W182" s="21">
        <f>IFERROR(BDP(E182&amp;" Corp","YAS_BENCHMARK_BOND_ISIN"),"--")</f>
        <v/>
      </c>
      <c r="X182" s="22">
        <f>IFERROR(BDP(W182&amp;" CORP","LAST_PRICE"),"--")</f>
        <v/>
      </c>
      <c r="Y182" s="23">
        <f>IFERROR(BDP(E182&amp;" Corp","YAS_YLD_SPREAD","YAS_BOND_PX="&amp;V182,"YAS_BNCHMRK_BOND_PX="&amp;X182),"--")</f>
        <v/>
      </c>
      <c r="Z182" s="23">
        <f>IFERROR(BDP(E182&amp;" Corp","BLOOMBERG_MID_G_SPREAD","YAS_BOND_PX="&amp;V182,"YAS_BNCHMRK_BOND_PX="&amp;X182),"--")</f>
        <v/>
      </c>
      <c r="AA182" s="23">
        <f>IFERROR(BDP(D182,"LAST_PRICE"),"--")</f>
        <v/>
      </c>
      <c r="AB182" s="24" t="n"/>
      <c r="AC182" s="23">
        <f>IFERROR(IF(ISBLANK(AB182),AA182,AB182),"--")</f>
        <v/>
      </c>
      <c r="AD182" s="23">
        <f>IFERROR(MAX(-500,MIN(500,AC182-Z182)),"--")</f>
        <v/>
      </c>
      <c r="AE182" s="25">
        <f>IFERROR((AD182-S182)/(T182-S182)*100,"--")</f>
        <v/>
      </c>
    </row>
    <row r="183">
      <c r="A183" s="11" t="inlineStr">
        <is>
          <t>FDX</t>
        </is>
      </c>
      <c r="B183" s="12" t="inlineStr">
        <is>
          <t>IG</t>
        </is>
      </c>
      <c r="C183" s="11" t="inlineStr">
        <is>
          <t>FDX 3 1/2 07/30/32</t>
        </is>
      </c>
      <c r="D183" s="12" t="inlineStr">
        <is>
          <t>FDX CDS USD SR 5Y D14 Corp</t>
        </is>
      </c>
      <c r="E183" s="12" t="inlineStr">
        <is>
          <t>XS3136900670</t>
        </is>
      </c>
      <c r="F183" s="13" t="n">
        <v>45863</v>
      </c>
      <c r="G183" s="13" t="n">
        <v>46225</v>
      </c>
      <c r="H183" s="13" t="n">
        <v>48568</v>
      </c>
      <c r="I183" s="14" t="n">
        <v>58.59149932861328</v>
      </c>
      <c r="J183" s="14" t="n">
        <v>42.72760009765625</v>
      </c>
      <c r="K183" s="14" t="n">
        <v>92.002</v>
      </c>
      <c r="L183" s="14" t="n">
        <v>94.79600000000001</v>
      </c>
      <c r="M183" s="15" t="n">
        <v>253</v>
      </c>
      <c r="N183" s="16" t="n">
        <v>-33.41050067138671</v>
      </c>
      <c r="O183" s="17" t="n">
        <v>-44.50890045166015</v>
      </c>
      <c r="P183" s="17" t="n">
        <v>-6.597397644042971</v>
      </c>
      <c r="Q183" s="18" t="n">
        <v>29.27449179894696</v>
      </c>
      <c r="R183" s="17" t="n">
        <v>-49.27439990234375</v>
      </c>
      <c r="S183" s="17" t="n">
        <v>-56.89139883422851</v>
      </c>
      <c r="T183" s="17" t="n">
        <v>-18.91840060424805</v>
      </c>
      <c r="U183" s="19" t="n">
        <v>20.05898740403119</v>
      </c>
      <c r="V183" s="20">
        <f>IFERROR(BDP(E183&amp;" Corp","LAST_PRICE"),"--")</f>
        <v/>
      </c>
      <c r="W183" s="21">
        <f>IFERROR(BDP(E183&amp;" Corp","YAS_BENCHMARK_BOND_ISIN"),"--")</f>
        <v/>
      </c>
      <c r="X183" s="22">
        <f>IFERROR(BDP(W183&amp;" CORP","LAST_PRICE"),"--")</f>
        <v/>
      </c>
      <c r="Y183" s="23">
        <f>IFERROR(BDP(E183&amp;" Corp","YAS_YLD_SPREAD","YAS_BOND_PX="&amp;V183,"YAS_BNCHMRK_BOND_PX="&amp;X183),"--")</f>
        <v/>
      </c>
      <c r="Z183" s="23">
        <f>IFERROR(BDP(E183&amp;" Corp","BLOOMBERG_MID_G_SPREAD","YAS_BOND_PX="&amp;V183,"YAS_BNCHMRK_BOND_PX="&amp;X183),"--")</f>
        <v/>
      </c>
      <c r="AA183" s="23">
        <f>IFERROR(BDP(D183,"LAST_PRICE"),"--")</f>
        <v/>
      </c>
      <c r="AB183" s="24" t="n"/>
      <c r="AC183" s="23">
        <f>IFERROR(IF(ISBLANK(AB183),AA183,AB183),"--")</f>
        <v/>
      </c>
      <c r="AD183" s="23">
        <f>IFERROR(MAX(-500,MIN(500,AC183-Z183)),"--")</f>
        <v/>
      </c>
      <c r="AE183" s="25">
        <f>IFERROR((AD183-S183)/(T183-S183)*100,"--")</f>
        <v/>
      </c>
    </row>
    <row r="184">
      <c r="A184" s="26" t="inlineStr">
        <is>
          <t>FE</t>
        </is>
      </c>
      <c r="B184" s="27" t="inlineStr">
        <is>
          <t>IG</t>
        </is>
      </c>
      <c r="C184" s="26" t="inlineStr">
        <is>
          <t>FE 4 3/4 01/15/33</t>
        </is>
      </c>
      <c r="D184" s="27" t="inlineStr">
        <is>
          <t>FENG CDS USD SR 5Y D14 Corp</t>
        </is>
      </c>
      <c r="E184" s="27" t="inlineStr">
        <is>
          <t>US33767BAK52</t>
        </is>
      </c>
      <c r="F184" s="28" t="n">
        <v>46048</v>
      </c>
      <c r="G184" s="28" t="n">
        <v>46225</v>
      </c>
      <c r="H184" s="28" t="n">
        <v>48750</v>
      </c>
      <c r="I184" s="29" t="n">
        <v>54.04579925537109</v>
      </c>
      <c r="J184" s="29" t="n">
        <v>38.58869934082031</v>
      </c>
      <c r="K184" s="29" t="n">
        <v>79.11199999999999</v>
      </c>
      <c r="L184" s="29" t="n">
        <v>76.72</v>
      </c>
      <c r="M184" s="30" t="n">
        <v>124</v>
      </c>
      <c r="N184" s="31" t="n">
        <v>-25.0662007446289</v>
      </c>
      <c r="O184" s="32" t="n">
        <v>-32.32880075073243</v>
      </c>
      <c r="P184" s="32" t="n">
        <v>-18.11379977416992</v>
      </c>
      <c r="Q184" s="33" t="n">
        <v>51.09109748270857</v>
      </c>
      <c r="R184" s="32" t="n">
        <v>-40.52330065917968</v>
      </c>
      <c r="S184" s="32" t="n">
        <v>-45.28079879760742</v>
      </c>
      <c r="T184" s="32" t="n">
        <v>-30.58179895019531</v>
      </c>
      <c r="U184" s="34" t="n">
        <v>32.36613502833211</v>
      </c>
      <c r="V184" s="20">
        <f>IFERROR(BDP(E184&amp;" Corp","LAST_PRICE"),"--")</f>
        <v/>
      </c>
      <c r="W184" s="21">
        <f>IFERROR(BDP(E184&amp;" Corp","YAS_BENCHMARK_BOND_ISIN"),"--")</f>
        <v/>
      </c>
      <c r="X184" s="22">
        <f>IFERROR(BDP(W184&amp;" CORP","LAST_PRICE"),"--")</f>
        <v/>
      </c>
      <c r="Y184" s="23">
        <f>IFERROR(BDP(E184&amp;" Corp","YAS_YLD_SPREAD","YAS_BOND_PX="&amp;V184,"YAS_BNCHMRK_BOND_PX="&amp;X184),"--")</f>
        <v/>
      </c>
      <c r="Z184" s="23">
        <f>IFERROR(BDP(E184&amp;" Corp","BLOOMBERG_MID_G_SPREAD","YAS_BOND_PX="&amp;V184,"YAS_BNCHMRK_BOND_PX="&amp;X184),"--")</f>
        <v/>
      </c>
      <c r="AA184" s="23">
        <f>IFERROR(BDP(D184,"LAST_PRICE"),"--")</f>
        <v/>
      </c>
      <c r="AB184" s="24" t="n"/>
      <c r="AC184" s="23">
        <f>IFERROR(IF(ISBLANK(AB184),AA184,AB184),"--")</f>
        <v/>
      </c>
      <c r="AD184" s="23">
        <f>IFERROR(MAX(-500,MIN(500,AC184-Z184)),"--")</f>
        <v/>
      </c>
      <c r="AE184" s="25">
        <f>IFERROR((AD184-S184)/(T184-S184)*100,"--")</f>
        <v/>
      </c>
    </row>
    <row r="185">
      <c r="A185" s="11" t="inlineStr">
        <is>
          <t>GE</t>
        </is>
      </c>
      <c r="B185" s="12" t="inlineStr">
        <is>
          <t>IG</t>
        </is>
      </c>
      <c r="C185" s="11" t="inlineStr">
        <is>
          <t>GE 6 3/4 03/15/32</t>
        </is>
      </c>
      <c r="D185" s="12" t="inlineStr">
        <is>
          <t>GECO CDS USD SR 5Y D14 Corp</t>
        </is>
      </c>
      <c r="E185" s="12" t="inlineStr">
        <is>
          <t>US36962GXZ26</t>
        </is>
      </c>
      <c r="F185" s="13" t="n">
        <v>45659</v>
      </c>
      <c r="G185" s="13" t="n">
        <v>46225</v>
      </c>
      <c r="H185" s="13" t="n">
        <v>48385</v>
      </c>
      <c r="I185" s="14" t="n">
        <v>27.86930084228516</v>
      </c>
      <c r="J185" s="14" t="n">
        <v>20.02169990539551</v>
      </c>
      <c r="K185" s="14" t="n">
        <v>41.565</v>
      </c>
      <c r="L185" s="14" t="n">
        <v>46.85</v>
      </c>
      <c r="M185" s="15" t="n">
        <v>389</v>
      </c>
      <c r="N185" s="16" t="n">
        <v>-13.69569915771484</v>
      </c>
      <c r="O185" s="17" t="n">
        <v>-39.46189965820312</v>
      </c>
      <c r="P185" s="17" t="n">
        <v>11.58640081787109</v>
      </c>
      <c r="Q185" s="18" t="n">
        <v>50.47415929657564</v>
      </c>
      <c r="R185" s="17" t="n">
        <v>-21.54330009460449</v>
      </c>
      <c r="S185" s="17" t="n">
        <v>-45.79679956054687</v>
      </c>
      <c r="T185" s="17" t="n">
        <v>4.511400054931642</v>
      </c>
      <c r="U185" s="19" t="n">
        <v>48.20983388656234</v>
      </c>
      <c r="V185" s="20">
        <f>IFERROR(BDP(E185&amp;" Corp","LAST_PRICE"),"--")</f>
        <v/>
      </c>
      <c r="W185" s="21">
        <f>IFERROR(BDP(E185&amp;" Corp","YAS_BENCHMARK_BOND_ISIN"),"--")</f>
        <v/>
      </c>
      <c r="X185" s="22">
        <f>IFERROR(BDP(W185&amp;" CORP","LAST_PRICE"),"--")</f>
        <v/>
      </c>
      <c r="Y185" s="23">
        <f>IFERROR(BDP(E185&amp;" Corp","YAS_YLD_SPREAD","YAS_BOND_PX="&amp;V185,"YAS_BNCHMRK_BOND_PX="&amp;X185),"--")</f>
        <v/>
      </c>
      <c r="Z185" s="23">
        <f>IFERROR(BDP(E185&amp;" Corp","BLOOMBERG_MID_G_SPREAD","YAS_BOND_PX="&amp;V185,"YAS_BNCHMRK_BOND_PX="&amp;X185),"--")</f>
        <v/>
      </c>
      <c r="AA185" s="23">
        <f>IFERROR(BDP(D185,"LAST_PRICE"),"--")</f>
        <v/>
      </c>
      <c r="AB185" s="24" t="n"/>
      <c r="AC185" s="23">
        <f>IFERROR(IF(ISBLANK(AB185),AA185,AB185),"--")</f>
        <v/>
      </c>
      <c r="AD185" s="23">
        <f>IFERROR(MAX(-500,MIN(500,AC185-Z185)),"--")</f>
        <v/>
      </c>
      <c r="AE185" s="25">
        <f>IFERROR((AD185-S185)/(T185-S185)*100,"--")</f>
        <v/>
      </c>
    </row>
    <row r="186">
      <c r="A186" s="26" t="inlineStr">
        <is>
          <t>GIS</t>
        </is>
      </c>
      <c r="B186" s="27" t="inlineStr">
        <is>
          <t>IG</t>
        </is>
      </c>
      <c r="C186" s="26" t="inlineStr">
        <is>
          <t>GIS 2 1/4 10/14/31</t>
        </is>
      </c>
      <c r="D186" s="27" t="inlineStr">
        <is>
          <t>GIS CDS USD SR 5Y D14 Corp</t>
        </is>
      </c>
      <c r="E186" s="27" t="inlineStr">
        <is>
          <t>US370334CQ51</t>
        </is>
      </c>
      <c r="F186" s="28" t="n">
        <v>45659</v>
      </c>
      <c r="G186" s="28" t="n">
        <v>46225</v>
      </c>
      <c r="H186" s="28" t="n">
        <v>48202</v>
      </c>
      <c r="I186" s="29" t="n">
        <v>56.8484001159668</v>
      </c>
      <c r="J186" s="29" t="n">
        <v>52.06209945678711</v>
      </c>
      <c r="K186" s="29" t="n">
        <v>61.332</v>
      </c>
      <c r="L186" s="29" t="n">
        <v>63.155</v>
      </c>
      <c r="M186" s="30" t="n">
        <v>389</v>
      </c>
      <c r="N186" s="31" t="n">
        <v>-4.483599884033204</v>
      </c>
      <c r="O186" s="32" t="n">
        <v>-41.20869665527344</v>
      </c>
      <c r="P186" s="32" t="n">
        <v>6.795802795410154</v>
      </c>
      <c r="Q186" s="33" t="n">
        <v>76.503446950778</v>
      </c>
      <c r="R186" s="32" t="n">
        <v>-9.269900543212891</v>
      </c>
      <c r="S186" s="32" t="n">
        <v>-44.32919912719727</v>
      </c>
      <c r="T186" s="32" t="n">
        <v>1.832999908447263</v>
      </c>
      <c r="U186" s="34" t="n">
        <v>75.94806858510584</v>
      </c>
      <c r="V186" s="20">
        <f>IFERROR(BDP(E186&amp;" Corp","LAST_PRICE"),"--")</f>
        <v/>
      </c>
      <c r="W186" s="21">
        <f>IFERROR(BDP(E186&amp;" Corp","YAS_BENCHMARK_BOND_ISIN"),"--")</f>
        <v/>
      </c>
      <c r="X186" s="22">
        <f>IFERROR(BDP(W186&amp;" CORP","LAST_PRICE"),"--")</f>
        <v/>
      </c>
      <c r="Y186" s="23">
        <f>IFERROR(BDP(E186&amp;" Corp","YAS_YLD_SPREAD","YAS_BOND_PX="&amp;V186,"YAS_BNCHMRK_BOND_PX="&amp;X186),"--")</f>
        <v/>
      </c>
      <c r="Z186" s="23">
        <f>IFERROR(BDP(E186&amp;" Corp","BLOOMBERG_MID_G_SPREAD","YAS_BOND_PX="&amp;V186,"YAS_BNCHMRK_BOND_PX="&amp;X186),"--")</f>
        <v/>
      </c>
      <c r="AA186" s="23">
        <f>IFERROR(BDP(D186,"LAST_PRICE"),"--")</f>
        <v/>
      </c>
      <c r="AB186" s="24" t="n"/>
      <c r="AC186" s="23">
        <f>IFERROR(IF(ISBLANK(AB186),AA186,AB186),"--")</f>
        <v/>
      </c>
      <c r="AD186" s="23">
        <f>IFERROR(MAX(-500,MIN(500,AC186-Z186)),"--")</f>
        <v/>
      </c>
      <c r="AE186" s="25">
        <f>IFERROR((AD186-S186)/(T186-S186)*100,"--")</f>
        <v/>
      </c>
    </row>
    <row r="187">
      <c r="A187" s="11" t="inlineStr">
        <is>
          <t>GM</t>
        </is>
      </c>
      <c r="B187" s="12" t="inlineStr">
        <is>
          <t>IG</t>
        </is>
      </c>
      <c r="C187" s="11" t="inlineStr">
        <is>
          <t>GM 5.6 10/15/32</t>
        </is>
      </c>
      <c r="D187" s="12" t="inlineStr">
        <is>
          <t>GM CDS USD SR 5Y D14 Corp</t>
        </is>
      </c>
      <c r="E187" s="12" t="inlineStr">
        <is>
          <t>US37045VAZ31</t>
        </is>
      </c>
      <c r="F187" s="13" t="n">
        <v>45659</v>
      </c>
      <c r="G187" s="13" t="n">
        <v>46225</v>
      </c>
      <c r="H187" s="13" t="n">
        <v>48568</v>
      </c>
      <c r="I187" s="14" t="n">
        <v>122.7802963256836</v>
      </c>
      <c r="J187" s="14" t="n">
        <v>91.783203125</v>
      </c>
      <c r="K187" s="14" t="n">
        <v>83.696</v>
      </c>
      <c r="L187" s="14" t="n">
        <v>89.962</v>
      </c>
      <c r="M187" s="15" t="n">
        <v>389</v>
      </c>
      <c r="N187" s="16" t="n">
        <v>39.0842963256836</v>
      </c>
      <c r="O187" s="17" t="n">
        <v>12.51340332031251</v>
      </c>
      <c r="P187" s="17" t="n">
        <v>56.19060144042969</v>
      </c>
      <c r="Q187" s="18" t="n">
        <v>60.8347012834893</v>
      </c>
      <c r="R187" s="17" t="n">
        <v>8.087203125000002</v>
      </c>
      <c r="S187" s="17" t="n">
        <v>-5.591195678710932</v>
      </c>
      <c r="T187" s="17" t="n">
        <v>38.73349291992187</v>
      </c>
      <c r="U187" s="19" t="n">
        <v>30.85954856349029</v>
      </c>
      <c r="V187" s="20">
        <f>IFERROR(BDP(E187&amp;" Corp","LAST_PRICE"),"--")</f>
        <v/>
      </c>
      <c r="W187" s="21">
        <f>IFERROR(BDP(E187&amp;" Corp","YAS_BENCHMARK_BOND_ISIN"),"--")</f>
        <v/>
      </c>
      <c r="X187" s="22">
        <f>IFERROR(BDP(W187&amp;" CORP","LAST_PRICE"),"--")</f>
        <v/>
      </c>
      <c r="Y187" s="23">
        <f>IFERROR(BDP(E187&amp;" Corp","YAS_YLD_SPREAD","YAS_BOND_PX="&amp;V187,"YAS_BNCHMRK_BOND_PX="&amp;X187),"--")</f>
        <v/>
      </c>
      <c r="Z187" s="23">
        <f>IFERROR(BDP(E187&amp;" Corp","BLOOMBERG_MID_G_SPREAD","YAS_BOND_PX="&amp;V187,"YAS_BNCHMRK_BOND_PX="&amp;X187),"--")</f>
        <v/>
      </c>
      <c r="AA187" s="23">
        <f>IFERROR(BDP(D187,"LAST_PRICE"),"--")</f>
        <v/>
      </c>
      <c r="AB187" s="24" t="n"/>
      <c r="AC187" s="23">
        <f>IFERROR(IF(ISBLANK(AB187),AA187,AB187),"--")</f>
        <v/>
      </c>
      <c r="AD187" s="23">
        <f>IFERROR(MAX(-500,MIN(500,AC187-Z187)),"--")</f>
        <v/>
      </c>
      <c r="AE187" s="25">
        <f>IFERROR((AD187-S187)/(T187-S187)*100,"--")</f>
        <v/>
      </c>
    </row>
    <row r="188">
      <c r="A188" s="26" t="inlineStr">
        <is>
          <t>GOOG</t>
        </is>
      </c>
      <c r="B188" s="27" t="inlineStr">
        <is>
          <t>IG</t>
        </is>
      </c>
      <c r="C188" s="26" t="inlineStr">
        <is>
          <t>GOOGL 3 05/06/33</t>
        </is>
      </c>
      <c r="D188" s="27" t="inlineStr">
        <is>
          <t>GOOGL CDS USD SR 5Y D14 Corp</t>
        </is>
      </c>
      <c r="E188" s="27" t="inlineStr">
        <is>
          <t>XS3064423174</t>
        </is>
      </c>
      <c r="F188" s="28" t="n">
        <v>46099</v>
      </c>
      <c r="G188" s="28" t="n">
        <v>46225</v>
      </c>
      <c r="H188" s="28" t="n">
        <v>48750</v>
      </c>
      <c r="I188" s="29" t="n">
        <v>70.56500244140625</v>
      </c>
      <c r="J188" s="29" t="n">
        <v>57.9833984375</v>
      </c>
      <c r="K188" s="29" t="n">
        <v>71.51900000000001</v>
      </c>
      <c r="L188" s="29" t="n">
        <v>79.795</v>
      </c>
      <c r="M188" s="30" t="n">
        <v>88</v>
      </c>
      <c r="N188" s="31" t="n">
        <v>-0.9539975585937555</v>
      </c>
      <c r="O188" s="32" t="n">
        <v>-14.05640124511719</v>
      </c>
      <c r="P188" s="32" t="n">
        <v>12.61520153808594</v>
      </c>
      <c r="Q188" s="33" t="n">
        <v>49.12492058698055</v>
      </c>
      <c r="R188" s="32" t="n">
        <v>-13.53560156250001</v>
      </c>
      <c r="S188" s="32" t="n">
        <v>-23.44810034179687</v>
      </c>
      <c r="T188" s="32" t="n">
        <v>-2.034699371337894</v>
      </c>
      <c r="U188" s="34" t="n">
        <v>46.29109963882772</v>
      </c>
      <c r="V188" s="20">
        <f>IFERROR(BDP(E188&amp;" Corp","LAST_PRICE"),"--")</f>
        <v/>
      </c>
      <c r="W188" s="21">
        <f>IFERROR(BDP(E188&amp;" Corp","YAS_BENCHMARK_BOND_ISIN"),"--")</f>
        <v/>
      </c>
      <c r="X188" s="22">
        <f>IFERROR(BDP(W188&amp;" CORP","LAST_PRICE"),"--")</f>
        <v/>
      </c>
      <c r="Y188" s="23">
        <f>IFERROR(BDP(E188&amp;" Corp","YAS_YLD_SPREAD","YAS_BOND_PX="&amp;V188,"YAS_BNCHMRK_BOND_PX="&amp;X188),"--")</f>
        <v/>
      </c>
      <c r="Z188" s="23">
        <f>IFERROR(BDP(E188&amp;" Corp","BLOOMBERG_MID_G_SPREAD","YAS_BOND_PX="&amp;V188,"YAS_BNCHMRK_BOND_PX="&amp;X188),"--")</f>
        <v/>
      </c>
      <c r="AA188" s="23">
        <f>IFERROR(BDP(D188,"LAST_PRICE"),"--")</f>
        <v/>
      </c>
      <c r="AB188" s="24" t="n"/>
      <c r="AC188" s="23">
        <f>IFERROR(IF(ISBLANK(AB188),AA188,AB188),"--")</f>
        <v/>
      </c>
      <c r="AD188" s="23">
        <f>IFERROR(MAX(-500,MIN(500,AC188-Z188)),"--")</f>
        <v/>
      </c>
      <c r="AE188" s="25">
        <f>IFERROR((AD188-S188)/(T188-S188)*100,"--")</f>
        <v/>
      </c>
    </row>
    <row r="189">
      <c r="A189" s="11" t="inlineStr">
        <is>
          <t>HAL</t>
        </is>
      </c>
      <c r="B189" s="12" t="inlineStr">
        <is>
          <t>IG</t>
        </is>
      </c>
      <c r="C189" s="11" t="inlineStr">
        <is>
          <t>HAL 4.85 11/15/35</t>
        </is>
      </c>
      <c r="D189" s="12" t="inlineStr">
        <is>
          <t>HAL CDS USD SR 5Y D14 Corp</t>
        </is>
      </c>
      <c r="E189" s="12" t="inlineStr">
        <is>
          <t>US406216BJ98</t>
        </is>
      </c>
      <c r="F189" s="13" t="n">
        <v>45922</v>
      </c>
      <c r="G189" s="13" t="n">
        <v>46225</v>
      </c>
      <c r="H189" s="13" t="n">
        <v>49663</v>
      </c>
      <c r="I189" s="14" t="n">
        <v>81.14209747314453</v>
      </c>
      <c r="J189" s="14" t="n">
        <v>48.32339859008789</v>
      </c>
      <c r="K189" s="14" t="n">
        <v>84.10299999999999</v>
      </c>
      <c r="L189" s="14" t="n">
        <v>82.425</v>
      </c>
      <c r="M189" s="15" t="n">
        <v>209</v>
      </c>
      <c r="N189" s="16" t="n">
        <v>-2.960902526855463</v>
      </c>
      <c r="O189" s="17" t="n">
        <v>-13.28350006103516</v>
      </c>
      <c r="P189" s="17" t="n">
        <v>23.11760205078124</v>
      </c>
      <c r="Q189" s="18" t="n">
        <v>28.35792581903394</v>
      </c>
      <c r="R189" s="17" t="n">
        <v>-35.7796014099121</v>
      </c>
      <c r="S189" s="17" t="n">
        <v>-42.80169998168945</v>
      </c>
      <c r="T189" s="17" t="n">
        <v>-7.83119750976563</v>
      </c>
      <c r="U189" s="19" t="n">
        <v>20.08006198199486</v>
      </c>
      <c r="V189" s="20">
        <f>IFERROR(BDP(E189&amp;" Corp","LAST_PRICE"),"--")</f>
        <v/>
      </c>
      <c r="W189" s="21">
        <f>IFERROR(BDP(E189&amp;" Corp","YAS_BENCHMARK_BOND_ISIN"),"--")</f>
        <v/>
      </c>
      <c r="X189" s="22">
        <f>IFERROR(BDP(W189&amp;" CORP","LAST_PRICE"),"--")</f>
        <v/>
      </c>
      <c r="Y189" s="23">
        <f>IFERROR(BDP(E189&amp;" Corp","YAS_YLD_SPREAD","YAS_BOND_PX="&amp;V189,"YAS_BNCHMRK_BOND_PX="&amp;X189),"--")</f>
        <v/>
      </c>
      <c r="Z189" s="23">
        <f>IFERROR(BDP(E189&amp;" Corp","BLOOMBERG_MID_G_SPREAD","YAS_BOND_PX="&amp;V189,"YAS_BNCHMRK_BOND_PX="&amp;X189),"--")</f>
        <v/>
      </c>
      <c r="AA189" s="23">
        <f>IFERROR(BDP(D189,"LAST_PRICE"),"--")</f>
        <v/>
      </c>
      <c r="AB189" s="24" t="n"/>
      <c r="AC189" s="23">
        <f>IFERROR(IF(ISBLANK(AB189),AA189,AB189),"--")</f>
        <v/>
      </c>
      <c r="AD189" s="23">
        <f>IFERROR(MAX(-500,MIN(500,AC189-Z189)),"--")</f>
        <v/>
      </c>
      <c r="AE189" s="25">
        <f>IFERROR((AD189-S189)/(T189-S189)*100,"--")</f>
        <v/>
      </c>
    </row>
    <row r="190">
      <c r="A190" s="26" t="inlineStr">
        <is>
          <t>HCA</t>
        </is>
      </c>
      <c r="B190" s="27" t="inlineStr">
        <is>
          <t>IG</t>
        </is>
      </c>
      <c r="C190" s="26" t="inlineStr">
        <is>
          <t>HCA 4.6 11/15/32</t>
        </is>
      </c>
      <c r="D190" s="27" t="inlineStr">
        <is>
          <t>HCA CDS USD SR 5Y D14 Corp</t>
        </is>
      </c>
      <c r="E190" s="27" t="inlineStr">
        <is>
          <t>US404119DE60</t>
        </is>
      </c>
      <c r="F190" s="28" t="n">
        <v>45957</v>
      </c>
      <c r="G190" s="28" t="n">
        <v>46225</v>
      </c>
      <c r="H190" s="28" t="n">
        <v>48568</v>
      </c>
      <c r="I190" s="29" t="n">
        <v>71.96260070800781</v>
      </c>
      <c r="J190" s="29" t="n">
        <v>55.30680084228516</v>
      </c>
      <c r="K190" s="29" t="n">
        <v>82.943</v>
      </c>
      <c r="L190" s="29" t="n">
        <v>91.613</v>
      </c>
      <c r="M190" s="30" t="n">
        <v>184</v>
      </c>
      <c r="N190" s="31" t="n">
        <v>-10.98039929199219</v>
      </c>
      <c r="O190" s="32" t="n">
        <v>-25.90139691162109</v>
      </c>
      <c r="P190" s="32" t="n">
        <v>-2.118101867675776</v>
      </c>
      <c r="Q190" s="33" t="n">
        <v>62.73730192582146</v>
      </c>
      <c r="R190" s="32" t="n">
        <v>-27.63619915771484</v>
      </c>
      <c r="S190" s="32" t="n">
        <v>-39.42949978637695</v>
      </c>
      <c r="T190" s="32" t="n">
        <v>-17.89530056762695</v>
      </c>
      <c r="U190" s="34" t="n">
        <v>54.76544778314108</v>
      </c>
      <c r="V190" s="20">
        <f>IFERROR(BDP(E190&amp;" Corp","LAST_PRICE"),"--")</f>
        <v/>
      </c>
      <c r="W190" s="21">
        <f>IFERROR(BDP(E190&amp;" Corp","YAS_BENCHMARK_BOND_ISIN"),"--")</f>
        <v/>
      </c>
      <c r="X190" s="22">
        <f>IFERROR(BDP(W190&amp;" CORP","LAST_PRICE"),"--")</f>
        <v/>
      </c>
      <c r="Y190" s="23">
        <f>IFERROR(BDP(E190&amp;" Corp","YAS_YLD_SPREAD","YAS_BOND_PX="&amp;V190,"YAS_BNCHMRK_BOND_PX="&amp;X190),"--")</f>
        <v/>
      </c>
      <c r="Z190" s="23">
        <f>IFERROR(BDP(E190&amp;" Corp","BLOOMBERG_MID_G_SPREAD","YAS_BOND_PX="&amp;V190,"YAS_BNCHMRK_BOND_PX="&amp;X190),"--")</f>
        <v/>
      </c>
      <c r="AA190" s="23">
        <f>IFERROR(BDP(D190,"LAST_PRICE"),"--")</f>
        <v/>
      </c>
      <c r="AB190" s="24" t="n"/>
      <c r="AC190" s="23">
        <f>IFERROR(IF(ISBLANK(AB190),AA190,AB190),"--")</f>
        <v/>
      </c>
      <c r="AD190" s="23">
        <f>IFERROR(MAX(-500,MIN(500,AC190-Z190)),"--")</f>
        <v/>
      </c>
      <c r="AE190" s="25">
        <f>IFERROR((AD190-S190)/(T190-S190)*100,"--")</f>
        <v/>
      </c>
    </row>
    <row r="191">
      <c r="A191" s="11" t="inlineStr">
        <is>
          <t>HD</t>
        </is>
      </c>
      <c r="B191" s="12" t="inlineStr">
        <is>
          <t>IG</t>
        </is>
      </c>
      <c r="C191" s="11" t="inlineStr">
        <is>
          <t>HD 4 1/2 09/15/32</t>
        </is>
      </c>
      <c r="D191" s="12" t="inlineStr">
        <is>
          <t>HD CDS USD SR 5Y D14 Corp</t>
        </is>
      </c>
      <c r="E191" s="12" t="inlineStr">
        <is>
          <t>US437076CS90</t>
        </is>
      </c>
      <c r="F191" s="13" t="n">
        <v>45659</v>
      </c>
      <c r="G191" s="13" t="n">
        <v>46225</v>
      </c>
      <c r="H191" s="13" t="n">
        <v>48568</v>
      </c>
      <c r="I191" s="14" t="n">
        <v>31.90850067138672</v>
      </c>
      <c r="J191" s="14" t="n">
        <v>25.16069984436035</v>
      </c>
      <c r="K191" s="14" t="n">
        <v>32.901</v>
      </c>
      <c r="L191" s="14" t="n">
        <v>41.351</v>
      </c>
      <c r="M191" s="15" t="n">
        <v>389</v>
      </c>
      <c r="N191" s="16" t="n">
        <v>-0.9924993286132846</v>
      </c>
      <c r="O191" s="17" t="n">
        <v>-18.49329974365234</v>
      </c>
      <c r="P191" s="17" t="n">
        <v>12.04189926147461</v>
      </c>
      <c r="Q191" s="18" t="n">
        <v>57.31352991051612</v>
      </c>
      <c r="R191" s="17" t="n">
        <v>-7.740300155639652</v>
      </c>
      <c r="S191" s="17" t="n">
        <v>-24.55620028686523</v>
      </c>
      <c r="T191" s="17" t="n">
        <v>4.281500396728518</v>
      </c>
      <c r="U191" s="19" t="n">
        <v>58.31220843759027</v>
      </c>
      <c r="V191" s="20">
        <f>IFERROR(BDP(E191&amp;" Corp","LAST_PRICE"),"--")</f>
        <v/>
      </c>
      <c r="W191" s="21">
        <f>IFERROR(BDP(E191&amp;" Corp","YAS_BENCHMARK_BOND_ISIN"),"--")</f>
        <v/>
      </c>
      <c r="X191" s="22">
        <f>IFERROR(BDP(W191&amp;" CORP","LAST_PRICE"),"--")</f>
        <v/>
      </c>
      <c r="Y191" s="23">
        <f>IFERROR(BDP(E191&amp;" Corp","YAS_YLD_SPREAD","YAS_BOND_PX="&amp;V191,"YAS_BNCHMRK_BOND_PX="&amp;X191),"--")</f>
        <v/>
      </c>
      <c r="Z191" s="23">
        <f>IFERROR(BDP(E191&amp;" Corp","BLOOMBERG_MID_G_SPREAD","YAS_BOND_PX="&amp;V191,"YAS_BNCHMRK_BOND_PX="&amp;X191),"--")</f>
        <v/>
      </c>
      <c r="AA191" s="23">
        <f>IFERROR(BDP(D191,"LAST_PRICE"),"--")</f>
        <v/>
      </c>
      <c r="AB191" s="24" t="n"/>
      <c r="AC191" s="23">
        <f>IFERROR(IF(ISBLANK(AB191),AA191,AB191),"--")</f>
        <v/>
      </c>
      <c r="AD191" s="23">
        <f>IFERROR(MAX(-500,MIN(500,AC191-Z191)),"--")</f>
        <v/>
      </c>
      <c r="AE191" s="25">
        <f>IFERROR((AD191-S191)/(T191-S191)*100,"--")</f>
        <v/>
      </c>
    </row>
    <row r="192">
      <c r="A192" s="26" t="inlineStr">
        <is>
          <t>HON</t>
        </is>
      </c>
      <c r="B192" s="27" t="inlineStr">
        <is>
          <t>IG</t>
        </is>
      </c>
      <c r="C192" s="26" t="inlineStr">
        <is>
          <t>HON 4 1/2 01/15/34</t>
        </is>
      </c>
      <c r="D192" s="27" t="inlineStr">
        <is>
          <t>HON CDS USD SR 5Y D14 Corp</t>
        </is>
      </c>
      <c r="E192" s="27" t="inlineStr">
        <is>
          <t>US438516CM68</t>
        </is>
      </c>
      <c r="F192" s="28" t="n">
        <v>45659</v>
      </c>
      <c r="G192" s="28" t="n">
        <v>46225</v>
      </c>
      <c r="H192" s="28" t="n">
        <v>49115</v>
      </c>
      <c r="I192" s="29" t="n">
        <v>37.37129974365234</v>
      </c>
      <c r="J192" s="29" t="n">
        <v>22.59469985961914</v>
      </c>
      <c r="K192" s="29" t="n">
        <v>54.373</v>
      </c>
      <c r="L192" s="29" t="n">
        <v>45.896</v>
      </c>
      <c r="M192" s="30" t="n">
        <v>389</v>
      </c>
      <c r="N192" s="31" t="n">
        <v>-17.00170025634765</v>
      </c>
      <c r="O192" s="32" t="n">
        <v>-49.62140167236328</v>
      </c>
      <c r="P192" s="32" t="n">
        <v>-10.0619010925293</v>
      </c>
      <c r="Q192" s="33" t="n">
        <v>82.45731350977667</v>
      </c>
      <c r="R192" s="32" t="n">
        <v>-31.77830014038086</v>
      </c>
      <c r="S192" s="32" t="n">
        <v>-62.2988003540039</v>
      </c>
      <c r="T192" s="32" t="n">
        <v>-22.10619926452637</v>
      </c>
      <c r="U192" s="34" t="n">
        <v>75.93561846290497</v>
      </c>
      <c r="V192" s="20">
        <f>IFERROR(BDP(E192&amp;" Corp","LAST_PRICE"),"--")</f>
        <v/>
      </c>
      <c r="W192" s="21">
        <f>IFERROR(BDP(E192&amp;" Corp","YAS_BENCHMARK_BOND_ISIN"),"--")</f>
        <v/>
      </c>
      <c r="X192" s="22">
        <f>IFERROR(BDP(W192&amp;" CORP","LAST_PRICE"),"--")</f>
        <v/>
      </c>
      <c r="Y192" s="23">
        <f>IFERROR(BDP(E192&amp;" Corp","YAS_YLD_SPREAD","YAS_BOND_PX="&amp;V192,"YAS_BNCHMRK_BOND_PX="&amp;X192),"--")</f>
        <v/>
      </c>
      <c r="Z192" s="23">
        <f>IFERROR(BDP(E192&amp;" Corp","BLOOMBERG_MID_G_SPREAD","YAS_BOND_PX="&amp;V192,"YAS_BNCHMRK_BOND_PX="&amp;X192),"--")</f>
        <v/>
      </c>
      <c r="AA192" s="23">
        <f>IFERROR(BDP(D192,"LAST_PRICE"),"--")</f>
        <v/>
      </c>
      <c r="AB192" s="24" t="n"/>
      <c r="AC192" s="23">
        <f>IFERROR(IF(ISBLANK(AB192),AA192,AB192),"--")</f>
        <v/>
      </c>
      <c r="AD192" s="23">
        <f>IFERROR(MAX(-500,MIN(500,AC192-Z192)),"--")</f>
        <v/>
      </c>
      <c r="AE192" s="25">
        <f>IFERROR((AD192-S192)/(T192-S192)*100,"--")</f>
        <v/>
      </c>
    </row>
    <row r="193">
      <c r="A193" s="11" t="inlineStr">
        <is>
          <t>HPQ</t>
        </is>
      </c>
      <c r="B193" s="12" t="inlineStr">
        <is>
          <t>IG</t>
        </is>
      </c>
      <c r="C193" s="11" t="inlineStr">
        <is>
          <t>HPQ 5 1/2 01/15/33</t>
        </is>
      </c>
      <c r="D193" s="12" t="inlineStr">
        <is>
          <t>HPQ CDS USD SR 5Y D14 Corp</t>
        </is>
      </c>
      <c r="E193" s="12" t="inlineStr">
        <is>
          <t>US40434LAN55</t>
        </is>
      </c>
      <c r="F193" s="13" t="n">
        <v>45659</v>
      </c>
      <c r="G193" s="13" t="n">
        <v>46225</v>
      </c>
      <c r="H193" s="13" t="n">
        <v>48750</v>
      </c>
      <c r="I193" s="14" t="n">
        <v>111.0039978027344</v>
      </c>
      <c r="J193" s="14" t="n">
        <v>87.85440063476562</v>
      </c>
      <c r="K193" s="14" t="n">
        <v>83.005</v>
      </c>
      <c r="L193" s="14" t="n">
        <v>66.03100000000001</v>
      </c>
      <c r="M193" s="15" t="n">
        <v>388</v>
      </c>
      <c r="N193" s="16" t="n">
        <v>27.99899780273438</v>
      </c>
      <c r="O193" s="17" t="n">
        <v>-33.69109765625001</v>
      </c>
      <c r="P193" s="17" t="n">
        <v>34.71530200195312</v>
      </c>
      <c r="Q193" s="18" t="n">
        <v>90.18176043063634</v>
      </c>
      <c r="R193" s="17" t="n">
        <v>4.84940063476563</v>
      </c>
      <c r="S193" s="17" t="n">
        <v>-51.24809686279298</v>
      </c>
      <c r="T193" s="17" t="n">
        <v>5.920098632812497</v>
      </c>
      <c r="U193" s="19" t="n">
        <v>98.12710898294984</v>
      </c>
      <c r="V193" s="20">
        <f>IFERROR(BDP(E193&amp;" Corp","LAST_PRICE"),"--")</f>
        <v/>
      </c>
      <c r="W193" s="21">
        <f>IFERROR(BDP(E193&amp;" Corp","YAS_BENCHMARK_BOND_ISIN"),"--")</f>
        <v/>
      </c>
      <c r="X193" s="22">
        <f>IFERROR(BDP(W193&amp;" CORP","LAST_PRICE"),"--")</f>
        <v/>
      </c>
      <c r="Y193" s="23">
        <f>IFERROR(BDP(E193&amp;" Corp","YAS_YLD_SPREAD","YAS_BOND_PX="&amp;V193,"YAS_BNCHMRK_BOND_PX="&amp;X193),"--")</f>
        <v/>
      </c>
      <c r="Z193" s="23">
        <f>IFERROR(BDP(E193&amp;" Corp","BLOOMBERG_MID_G_SPREAD","YAS_BOND_PX="&amp;V193,"YAS_BNCHMRK_BOND_PX="&amp;X193),"--")</f>
        <v/>
      </c>
      <c r="AA193" s="23">
        <f>IFERROR(BDP(D193,"LAST_PRICE"),"--")</f>
        <v/>
      </c>
      <c r="AB193" s="24" t="n"/>
      <c r="AC193" s="23">
        <f>IFERROR(IF(ISBLANK(AB193),AA193,AB193),"--")</f>
        <v/>
      </c>
      <c r="AD193" s="23">
        <f>IFERROR(MAX(-500,MIN(500,AC193-Z193)),"--")</f>
        <v/>
      </c>
      <c r="AE193" s="25">
        <f>IFERROR((AD193-S193)/(T193-S193)*100,"--")</f>
        <v/>
      </c>
    </row>
    <row r="194">
      <c r="A194" s="26" t="inlineStr">
        <is>
          <t>HRB</t>
        </is>
      </c>
      <c r="B194" s="27" t="inlineStr">
        <is>
          <t>IG</t>
        </is>
      </c>
      <c r="C194" s="26" t="inlineStr">
        <is>
          <t>HRB 5 3/8 09/15/32</t>
        </is>
      </c>
      <c r="D194" s="27" t="inlineStr">
        <is>
          <t>BLOCK FIN CDS USD SR 5Y D14 Corp</t>
        </is>
      </c>
      <c r="E194" s="27" t="inlineStr">
        <is>
          <t>US093662AK00</t>
        </is>
      </c>
      <c r="F194" s="28" t="n">
        <v>45888</v>
      </c>
      <c r="G194" s="28" t="n">
        <v>46225</v>
      </c>
      <c r="H194" s="28" t="n">
        <v>48568</v>
      </c>
      <c r="I194" s="29" t="n">
        <v>119.0509033203125</v>
      </c>
      <c r="J194" s="29" t="n">
        <v>97.38330078125</v>
      </c>
      <c r="K194" s="29" t="n">
        <v>120.809</v>
      </c>
      <c r="L194" s="29" t="n">
        <v>132.688</v>
      </c>
      <c r="M194" s="30" t="n">
        <v>232</v>
      </c>
      <c r="N194" s="31" t="n">
        <v>-1.758096679687497</v>
      </c>
      <c r="O194" s="32" t="n">
        <v>-55.18889941406249</v>
      </c>
      <c r="P194" s="32" t="n">
        <v>1.662797302246091</v>
      </c>
      <c r="Q194" s="33" t="n">
        <v>93.98277592487004</v>
      </c>
      <c r="R194" s="32" t="n">
        <v>-23.42569921875</v>
      </c>
      <c r="S194" s="32" t="n">
        <v>-70.07620181274413</v>
      </c>
      <c r="T194" s="32" t="n">
        <v>-20.956</v>
      </c>
      <c r="U194" s="34" t="n">
        <v>94.97213136834215</v>
      </c>
      <c r="V194" s="20">
        <f>IFERROR(BDP(E194&amp;" Corp","LAST_PRICE"),"--")</f>
        <v/>
      </c>
      <c r="W194" s="21">
        <f>IFERROR(BDP(E194&amp;" Corp","YAS_BENCHMARK_BOND_ISIN"),"--")</f>
        <v/>
      </c>
      <c r="X194" s="22">
        <f>IFERROR(BDP(W194&amp;" CORP","LAST_PRICE"),"--")</f>
        <v/>
      </c>
      <c r="Y194" s="23">
        <f>IFERROR(BDP(E194&amp;" Corp","YAS_YLD_SPREAD","YAS_BOND_PX="&amp;V194,"YAS_BNCHMRK_BOND_PX="&amp;X194),"--")</f>
        <v/>
      </c>
      <c r="Z194" s="23">
        <f>IFERROR(BDP(E194&amp;" Corp","BLOOMBERG_MID_G_SPREAD","YAS_BOND_PX="&amp;V194,"YAS_BNCHMRK_BOND_PX="&amp;X194),"--")</f>
        <v/>
      </c>
      <c r="AA194" s="23">
        <f>IFERROR(BDP(D194,"LAST_PRICE"),"--")</f>
        <v/>
      </c>
      <c r="AB194" s="24" t="n"/>
      <c r="AC194" s="23">
        <f>IFERROR(IF(ISBLANK(AB194),AA194,AB194),"--")</f>
        <v/>
      </c>
      <c r="AD194" s="23">
        <f>IFERROR(MAX(-500,MIN(500,AC194-Z194)),"--")</f>
        <v/>
      </c>
      <c r="AE194" s="25">
        <f>IFERROR((AD194-S194)/(T194-S194)*100,"--")</f>
        <v/>
      </c>
    </row>
    <row r="195">
      <c r="A195" s="11" t="inlineStr">
        <is>
          <t>HST</t>
        </is>
      </c>
      <c r="B195" s="12" t="inlineStr">
        <is>
          <t>IG</t>
        </is>
      </c>
      <c r="C195" s="11" t="inlineStr">
        <is>
          <t>HST 5.7 06/15/32</t>
        </is>
      </c>
      <c r="D195" s="12" t="inlineStr">
        <is>
          <t>HST CDS USD SR 5Y D14 Corp</t>
        </is>
      </c>
      <c r="E195" s="12" t="inlineStr">
        <is>
          <t>US44107TBD72</t>
        </is>
      </c>
      <c r="F195" s="13" t="n">
        <v>45784</v>
      </c>
      <c r="G195" s="13" t="n">
        <v>46225</v>
      </c>
      <c r="H195" s="13" t="n">
        <v>48385</v>
      </c>
      <c r="I195" s="14" t="n">
        <v>85.68170166015625</v>
      </c>
      <c r="J195" s="14" t="n">
        <v>70.05909729003906</v>
      </c>
      <c r="K195" s="14" t="n">
        <v>94.479</v>
      </c>
      <c r="L195" s="14" t="n">
        <v>100.164</v>
      </c>
      <c r="M195" s="15" t="n">
        <v>303</v>
      </c>
      <c r="N195" s="16" t="n">
        <v>-8.797298339843749</v>
      </c>
      <c r="O195" s="17" t="n">
        <v>-44.23999987792968</v>
      </c>
      <c r="P195" s="17" t="n">
        <v>1.736998107910154</v>
      </c>
      <c r="Q195" s="18" t="n">
        <v>77.08789849437692</v>
      </c>
      <c r="R195" s="17" t="n">
        <v>-24.41990270996094</v>
      </c>
      <c r="S195" s="17" t="n">
        <v>-55.41449938964843</v>
      </c>
      <c r="T195" s="17" t="n">
        <v>-11.54509875488282</v>
      </c>
      <c r="U195" s="19" t="n">
        <v>70.65197206073725</v>
      </c>
      <c r="V195" s="20">
        <f>IFERROR(BDP(E195&amp;" Corp","LAST_PRICE"),"--")</f>
        <v/>
      </c>
      <c r="W195" s="21">
        <f>IFERROR(BDP(E195&amp;" Corp","YAS_BENCHMARK_BOND_ISIN"),"--")</f>
        <v/>
      </c>
      <c r="X195" s="22">
        <f>IFERROR(BDP(W195&amp;" CORP","LAST_PRICE"),"--")</f>
        <v/>
      </c>
      <c r="Y195" s="23">
        <f>IFERROR(BDP(E195&amp;" Corp","YAS_YLD_SPREAD","YAS_BOND_PX="&amp;V195,"YAS_BNCHMRK_BOND_PX="&amp;X195),"--")</f>
        <v/>
      </c>
      <c r="Z195" s="23">
        <f>IFERROR(BDP(E195&amp;" Corp","BLOOMBERG_MID_G_SPREAD","YAS_BOND_PX="&amp;V195,"YAS_BNCHMRK_BOND_PX="&amp;X195),"--")</f>
        <v/>
      </c>
      <c r="AA195" s="23">
        <f>IFERROR(BDP(D195,"LAST_PRICE"),"--")</f>
        <v/>
      </c>
      <c r="AB195" s="24" t="n"/>
      <c r="AC195" s="23">
        <f>IFERROR(IF(ISBLANK(AB195),AA195,AB195),"--")</f>
        <v/>
      </c>
      <c r="AD195" s="23">
        <f>IFERROR(MAX(-500,MIN(500,AC195-Z195)),"--")</f>
        <v/>
      </c>
      <c r="AE195" s="25">
        <f>IFERROR((AD195-S195)/(T195-S195)*100,"--")</f>
        <v/>
      </c>
    </row>
    <row r="196">
      <c r="A196" s="26" t="inlineStr">
        <is>
          <t>IBM</t>
        </is>
      </c>
      <c r="B196" s="27" t="inlineStr">
        <is>
          <t>IG</t>
        </is>
      </c>
      <c r="C196" s="26" t="inlineStr">
        <is>
          <t>IBM 5 02/10/32</t>
        </is>
      </c>
      <c r="D196" s="27" t="inlineStr">
        <is>
          <t>IBM CDS USD SR 5Y D14 Corp</t>
        </is>
      </c>
      <c r="E196" s="27" t="inlineStr">
        <is>
          <t>US459200LH20</t>
        </is>
      </c>
      <c r="F196" s="28" t="n">
        <v>45694</v>
      </c>
      <c r="G196" s="28" t="n">
        <v>46225</v>
      </c>
      <c r="H196" s="28" t="n">
        <v>48385</v>
      </c>
      <c r="I196" s="29" t="n">
        <v>68.989501953125</v>
      </c>
      <c r="J196" s="29" t="n">
        <v>59.79999923706055</v>
      </c>
      <c r="K196" s="29" t="n">
        <v>72.807</v>
      </c>
      <c r="L196" s="29" t="n">
        <v>77.407</v>
      </c>
      <c r="M196" s="30" t="n">
        <v>365</v>
      </c>
      <c r="N196" s="31" t="n">
        <v>-3.817498046875002</v>
      </c>
      <c r="O196" s="32" t="n">
        <v>-37.85279965209961</v>
      </c>
      <c r="P196" s="32" t="n">
        <v>-1.480902709960944</v>
      </c>
      <c r="Q196" s="33" t="n">
        <v>93.57582217767973</v>
      </c>
      <c r="R196" s="32" t="n">
        <v>-13.00700076293946</v>
      </c>
      <c r="S196" s="32" t="n">
        <v>-43.96500134277343</v>
      </c>
      <c r="T196" s="32" t="n">
        <v>-10.44230178833008</v>
      </c>
      <c r="U196" s="34" t="n">
        <v>92.34936622438742</v>
      </c>
      <c r="V196" s="20">
        <f>IFERROR(BDP(E196&amp;" Corp","LAST_PRICE"),"--")</f>
        <v/>
      </c>
      <c r="W196" s="21">
        <f>IFERROR(BDP(E196&amp;" Corp","YAS_BENCHMARK_BOND_ISIN"),"--")</f>
        <v/>
      </c>
      <c r="X196" s="22">
        <f>IFERROR(BDP(W196&amp;" CORP","LAST_PRICE"),"--")</f>
        <v/>
      </c>
      <c r="Y196" s="23">
        <f>IFERROR(BDP(E196&amp;" Corp","YAS_YLD_SPREAD","YAS_BOND_PX="&amp;V196,"YAS_BNCHMRK_BOND_PX="&amp;X196),"--")</f>
        <v/>
      </c>
      <c r="Z196" s="23">
        <f>IFERROR(BDP(E196&amp;" Corp","BLOOMBERG_MID_G_SPREAD","YAS_BOND_PX="&amp;V196,"YAS_BNCHMRK_BOND_PX="&amp;X196),"--")</f>
        <v/>
      </c>
      <c r="AA196" s="23">
        <f>IFERROR(BDP(D196,"LAST_PRICE"),"--")</f>
        <v/>
      </c>
      <c r="AB196" s="24" t="n"/>
      <c r="AC196" s="23">
        <f>IFERROR(IF(ISBLANK(AB196),AA196,AB196),"--")</f>
        <v/>
      </c>
      <c r="AD196" s="23">
        <f>IFERROR(MAX(-500,MIN(500,AC196-Z196)),"--")</f>
        <v/>
      </c>
      <c r="AE196" s="25">
        <f>IFERROR((AD196-S196)/(T196-S196)*100,"--")</f>
        <v/>
      </c>
    </row>
    <row r="197">
      <c r="A197" s="11" t="inlineStr">
        <is>
          <t>INTC</t>
        </is>
      </c>
      <c r="B197" s="12" t="inlineStr">
        <is>
          <t>IG</t>
        </is>
      </c>
      <c r="C197" s="11" t="inlineStr">
        <is>
          <t>INTC 5 02/21/31</t>
        </is>
      </c>
      <c r="D197" s="12" t="inlineStr">
        <is>
          <t>INTC CDS USD SR 5Y D14 Corp</t>
        </is>
      </c>
      <c r="E197" s="12" t="inlineStr">
        <is>
          <t>US458140CN85</t>
        </is>
      </c>
      <c r="F197" s="13" t="n">
        <v>45659</v>
      </c>
      <c r="G197" s="13" t="n">
        <v>46225</v>
      </c>
      <c r="H197" s="13" t="n">
        <v>48019</v>
      </c>
      <c r="I197" s="14" t="n">
        <v>71.83059692382812</v>
      </c>
      <c r="J197" s="14" t="n">
        <v>71.83059692382812</v>
      </c>
      <c r="K197" s="14" t="n">
        <v>62.847</v>
      </c>
      <c r="L197" s="14" t="n">
        <v>61.145</v>
      </c>
      <c r="M197" s="15" t="n">
        <v>388</v>
      </c>
      <c r="N197" s="16" t="n">
        <v>8.983596923828124</v>
      </c>
      <c r="O197" s="17" t="n">
        <v>-25.23009887695312</v>
      </c>
      <c r="P197" s="17" t="n">
        <v>8.983596923828124</v>
      </c>
      <c r="Q197" s="18" t="n">
        <v>100</v>
      </c>
      <c r="R197" s="17" t="n">
        <v>8.983596923828124</v>
      </c>
      <c r="S197" s="17" t="n">
        <v>-25.23009887695312</v>
      </c>
      <c r="T197" s="17" t="n">
        <v>8.983596923828124</v>
      </c>
      <c r="U197" s="19" t="n">
        <v>100</v>
      </c>
      <c r="V197" s="20">
        <f>IFERROR(BDP(E197&amp;" Corp","LAST_PRICE"),"--")</f>
        <v/>
      </c>
      <c r="W197" s="21">
        <f>IFERROR(BDP(E197&amp;" Corp","YAS_BENCHMARK_BOND_ISIN"),"--")</f>
        <v/>
      </c>
      <c r="X197" s="22">
        <f>IFERROR(BDP(W197&amp;" CORP","LAST_PRICE"),"--")</f>
        <v/>
      </c>
      <c r="Y197" s="23">
        <f>IFERROR(BDP(E197&amp;" Corp","YAS_YLD_SPREAD","YAS_BOND_PX="&amp;V197,"YAS_BNCHMRK_BOND_PX="&amp;X197),"--")</f>
        <v/>
      </c>
      <c r="Z197" s="23">
        <f>IFERROR(BDP(E197&amp;" Corp","BLOOMBERG_MID_G_SPREAD","YAS_BOND_PX="&amp;V197,"YAS_BNCHMRK_BOND_PX="&amp;X197),"--")</f>
        <v/>
      </c>
      <c r="AA197" s="23">
        <f>IFERROR(BDP(D197,"LAST_PRICE"),"--")</f>
        <v/>
      </c>
      <c r="AB197" s="24" t="n"/>
      <c r="AC197" s="23">
        <f>IFERROR(IF(ISBLANK(AB197),AA197,AB197),"--")</f>
        <v/>
      </c>
      <c r="AD197" s="23">
        <f>IFERROR(MAX(-500,MIN(500,AC197-Z197)),"--")</f>
        <v/>
      </c>
      <c r="AE197" s="25">
        <f>IFERROR((AD197-S197)/(T197-S197)*100,"--")</f>
        <v/>
      </c>
    </row>
    <row r="198">
      <c r="A198" s="26" t="inlineStr">
        <is>
          <t>IP</t>
        </is>
      </c>
      <c r="B198" s="27" t="inlineStr">
        <is>
          <t>IG</t>
        </is>
      </c>
      <c r="C198" s="26" t="inlineStr">
        <is>
          <t>IP 5 09/15/35</t>
        </is>
      </c>
      <c r="D198" s="27" t="inlineStr">
        <is>
          <t>PAPER CDS USD SR 5Y D14 Corp</t>
        </is>
      </c>
      <c r="E198" s="27" t="inlineStr">
        <is>
          <t>US460146CM37</t>
        </is>
      </c>
      <c r="F198" s="28" t="n">
        <v>45922</v>
      </c>
      <c r="G198" s="28" t="n">
        <v>46225</v>
      </c>
      <c r="H198" s="28" t="n">
        <v>49663</v>
      </c>
      <c r="I198" s="29" t="n">
        <v>93.17949676513672</v>
      </c>
      <c r="J198" s="29" t="n">
        <v>53.27149963378906</v>
      </c>
      <c r="K198" s="29" t="n">
        <v>87.536</v>
      </c>
      <c r="L198" s="29" t="n">
        <v>88.33799999999999</v>
      </c>
      <c r="M198" s="30" t="n">
        <v>209</v>
      </c>
      <c r="N198" s="31" t="n">
        <v>5.643496765136717</v>
      </c>
      <c r="O198" s="32" t="n">
        <v>-10.07610345458984</v>
      </c>
      <c r="P198" s="32" t="n">
        <v>24.81780065917968</v>
      </c>
      <c r="Q198" s="33" t="n">
        <v>45.0497031472137</v>
      </c>
      <c r="R198" s="32" t="n">
        <v>-34.26450036621094</v>
      </c>
      <c r="S198" s="32" t="n">
        <v>-52.00579663085938</v>
      </c>
      <c r="T198" s="32" t="n">
        <v>-7.436502319335943</v>
      </c>
      <c r="U198" s="34" t="n">
        <v>39.80609641391924</v>
      </c>
      <c r="V198" s="20">
        <f>IFERROR(BDP(E198&amp;" Corp","LAST_PRICE"),"--")</f>
        <v/>
      </c>
      <c r="W198" s="21">
        <f>IFERROR(BDP(E198&amp;" Corp","YAS_BENCHMARK_BOND_ISIN"),"--")</f>
        <v/>
      </c>
      <c r="X198" s="22">
        <f>IFERROR(BDP(W198&amp;" CORP","LAST_PRICE"),"--")</f>
        <v/>
      </c>
      <c r="Y198" s="23">
        <f>IFERROR(BDP(E198&amp;" Corp","YAS_YLD_SPREAD","YAS_BOND_PX="&amp;V198,"YAS_BNCHMRK_BOND_PX="&amp;X198),"--")</f>
        <v/>
      </c>
      <c r="Z198" s="23">
        <f>IFERROR(BDP(E198&amp;" Corp","BLOOMBERG_MID_G_SPREAD","YAS_BOND_PX="&amp;V198,"YAS_BNCHMRK_BOND_PX="&amp;X198),"--")</f>
        <v/>
      </c>
      <c r="AA198" s="23">
        <f>IFERROR(BDP(D198,"LAST_PRICE"),"--")</f>
        <v/>
      </c>
      <c r="AB198" s="24" t="n"/>
      <c r="AC198" s="23">
        <f>IFERROR(IF(ISBLANK(AB198),AA198,AB198),"--")</f>
        <v/>
      </c>
      <c r="AD198" s="23">
        <f>IFERROR(MAX(-500,MIN(500,AC198-Z198)),"--")</f>
        <v/>
      </c>
      <c r="AE198" s="25">
        <f>IFERROR((AD198-S198)/(T198-S198)*100,"--")</f>
        <v/>
      </c>
    </row>
    <row r="199">
      <c r="A199" s="11" t="inlineStr">
        <is>
          <t>JCI</t>
        </is>
      </c>
      <c r="B199" s="12" t="inlineStr">
        <is>
          <t>IG</t>
        </is>
      </c>
      <c r="C199" s="11" t="inlineStr">
        <is>
          <t>JCI 4.9 12/01/32</t>
        </is>
      </c>
      <c r="D199" s="12" t="inlineStr">
        <is>
          <t>CTYC1U5 MSG1 Curncy</t>
        </is>
      </c>
      <c r="E199" s="12" t="inlineStr">
        <is>
          <t>US47837RAE09</t>
        </is>
      </c>
      <c r="F199" s="13" t="n">
        <v>45659</v>
      </c>
      <c r="G199" s="13" t="n">
        <v>46225</v>
      </c>
      <c r="H199" s="13" t="n">
        <v>48568</v>
      </c>
      <c r="I199" s="14" t="n">
        <v>36.90230178833008</v>
      </c>
      <c r="J199" s="14" t="n">
        <v>26.5</v>
      </c>
      <c r="K199" s="14" t="n">
        <v>58.701</v>
      </c>
      <c r="L199" s="14" t="n">
        <v>67.571</v>
      </c>
      <c r="M199" s="15" t="n">
        <v>389</v>
      </c>
      <c r="N199" s="16" t="n">
        <v>-21.79869821166992</v>
      </c>
      <c r="O199" s="17" t="n">
        <v>-54.26680102539062</v>
      </c>
      <c r="P199" s="17" t="n">
        <v>-9.65040148925781</v>
      </c>
      <c r="Q199" s="18" t="n">
        <v>72.77167846640393</v>
      </c>
      <c r="R199" s="17" t="n">
        <v>-32.201</v>
      </c>
      <c r="S199" s="17" t="n">
        <v>-61.99360003662109</v>
      </c>
      <c r="T199" s="17" t="n">
        <v>-19.07459963989258</v>
      </c>
      <c r="U199" s="19" t="n">
        <v>69.41587586203899</v>
      </c>
      <c r="V199" s="20">
        <f>IFERROR(BDP(E199&amp;" Corp","LAST_PRICE"),"--")</f>
        <v/>
      </c>
      <c r="W199" s="21">
        <f>IFERROR(BDP(E199&amp;" Corp","YAS_BENCHMARK_BOND_ISIN"),"--")</f>
        <v/>
      </c>
      <c r="X199" s="22">
        <f>IFERROR(BDP(W199&amp;" CORP","LAST_PRICE"),"--")</f>
        <v/>
      </c>
      <c r="Y199" s="23">
        <f>IFERROR(BDP(E199&amp;" Corp","YAS_YLD_SPREAD","YAS_BOND_PX="&amp;V199,"YAS_BNCHMRK_BOND_PX="&amp;X199),"--")</f>
        <v/>
      </c>
      <c r="Z199" s="23">
        <f>IFERROR(BDP(E199&amp;" Corp","BLOOMBERG_MID_G_SPREAD","YAS_BOND_PX="&amp;V199,"YAS_BNCHMRK_BOND_PX="&amp;X199),"--")</f>
        <v/>
      </c>
      <c r="AA199" s="23">
        <f>IFERROR(BDP(D199,"LAST_PRICE"),"--")</f>
        <v/>
      </c>
      <c r="AB199" s="24" t="n"/>
      <c r="AC199" s="23">
        <f>IFERROR(IF(ISBLANK(AB199),AA199,AB199),"--")</f>
        <v/>
      </c>
      <c r="AD199" s="23">
        <f>IFERROR(MAX(-500,MIN(500,AC199-Z199)),"--")</f>
        <v/>
      </c>
      <c r="AE199" s="25">
        <f>IFERROR((AD199-S199)/(T199-S199)*100,"--")</f>
        <v/>
      </c>
    </row>
    <row r="200">
      <c r="A200" s="26" t="inlineStr">
        <is>
          <t>JNJ</t>
        </is>
      </c>
      <c r="B200" s="27" t="inlineStr">
        <is>
          <t>IG</t>
        </is>
      </c>
      <c r="C200" s="26" t="inlineStr">
        <is>
          <t>JNJ 4.9 06/01/31</t>
        </is>
      </c>
      <c r="D200" s="27" t="inlineStr">
        <is>
          <t>JNJ CDS USD SR 5Y D14 Corp</t>
        </is>
      </c>
      <c r="E200" s="27" t="inlineStr">
        <is>
          <t>US478160CV47</t>
        </is>
      </c>
      <c r="F200" s="28" t="n">
        <v>45659</v>
      </c>
      <c r="G200" s="28" t="n">
        <v>46225</v>
      </c>
      <c r="H200" s="28" t="n">
        <v>48019</v>
      </c>
      <c r="I200" s="29" t="n">
        <v>17.25329971313477</v>
      </c>
      <c r="J200" s="29" t="n">
        <v>17.25329971313477</v>
      </c>
      <c r="K200" s="29" t="n">
        <v>17.155</v>
      </c>
      <c r="L200" s="29" t="n">
        <v>16.752</v>
      </c>
      <c r="M200" s="30" t="n">
        <v>389</v>
      </c>
      <c r="N200" s="31" t="n">
        <v>0.09829971313476449</v>
      </c>
      <c r="O200" s="32" t="n">
        <v>-27.61399987792969</v>
      </c>
      <c r="P200" s="32" t="n">
        <v>11.16429963684082</v>
      </c>
      <c r="Q200" s="33" t="n">
        <v>71.46342139244382</v>
      </c>
      <c r="R200" s="32" t="n">
        <v>0.09829971313476449</v>
      </c>
      <c r="S200" s="32" t="n">
        <v>-27.61399987792969</v>
      </c>
      <c r="T200" s="32" t="n">
        <v>11.16429963684082</v>
      </c>
      <c r="U200" s="34" t="n">
        <v>71.46342139244382</v>
      </c>
      <c r="V200" s="20">
        <f>IFERROR(BDP(E200&amp;" Corp","LAST_PRICE"),"--")</f>
        <v/>
      </c>
      <c r="W200" s="21">
        <f>IFERROR(BDP(E200&amp;" Corp","YAS_BENCHMARK_BOND_ISIN"),"--")</f>
        <v/>
      </c>
      <c r="X200" s="22">
        <f>IFERROR(BDP(W200&amp;" CORP","LAST_PRICE"),"--")</f>
        <v/>
      </c>
      <c r="Y200" s="23">
        <f>IFERROR(BDP(E200&amp;" Corp","YAS_YLD_SPREAD","YAS_BOND_PX="&amp;V200,"YAS_BNCHMRK_BOND_PX="&amp;X200),"--")</f>
        <v/>
      </c>
      <c r="Z200" s="23">
        <f>IFERROR(BDP(E200&amp;" Corp","BLOOMBERG_MID_G_SPREAD","YAS_BOND_PX="&amp;V200,"YAS_BNCHMRK_BOND_PX="&amp;X200),"--")</f>
        <v/>
      </c>
      <c r="AA200" s="23">
        <f>IFERROR(BDP(D200,"LAST_PRICE"),"--")</f>
        <v/>
      </c>
      <c r="AB200" s="24" t="n"/>
      <c r="AC200" s="23">
        <f>IFERROR(IF(ISBLANK(AB200),AA200,AB200),"--")</f>
        <v/>
      </c>
      <c r="AD200" s="23">
        <f>IFERROR(MAX(-500,MIN(500,AC200-Z200)),"--")</f>
        <v/>
      </c>
      <c r="AE200" s="25">
        <f>IFERROR((AD200-S200)/(T200-S200)*100,"--")</f>
        <v/>
      </c>
    </row>
    <row r="201">
      <c r="A201" s="11" t="inlineStr">
        <is>
          <t>KHC</t>
        </is>
      </c>
      <c r="B201" s="12" t="inlineStr">
        <is>
          <t>IG</t>
        </is>
      </c>
      <c r="C201" s="11" t="inlineStr">
        <is>
          <t>KHC 5.2 03/15/32</t>
        </is>
      </c>
      <c r="D201" s="12" t="inlineStr">
        <is>
          <t>KHC CDS USD SR 5Y D14 Corp</t>
        </is>
      </c>
      <c r="E201" s="12" t="inlineStr">
        <is>
          <t>US50077LBM72</t>
        </is>
      </c>
      <c r="F201" s="13" t="n">
        <v>45708</v>
      </c>
      <c r="G201" s="13" t="n">
        <v>46225</v>
      </c>
      <c r="H201" s="13" t="n">
        <v>48385</v>
      </c>
      <c r="I201" s="14" t="n">
        <v>69.51920318603516</v>
      </c>
      <c r="J201" s="14" t="n">
        <v>54.12279891967773</v>
      </c>
      <c r="K201" s="14" t="n">
        <v>70.07599999999999</v>
      </c>
      <c r="L201" s="14" t="n">
        <v>73.919</v>
      </c>
      <c r="M201" s="15" t="n">
        <v>356</v>
      </c>
      <c r="N201" s="16" t="n">
        <v>-0.5567968139648372</v>
      </c>
      <c r="O201" s="17" t="n">
        <v>-34.82840325927734</v>
      </c>
      <c r="P201" s="17" t="n">
        <v>7.786997253417965</v>
      </c>
      <c r="Q201" s="18" t="n">
        <v>80.42070714577197</v>
      </c>
      <c r="R201" s="17" t="n">
        <v>-15.95320108032226</v>
      </c>
      <c r="S201" s="17" t="n">
        <v>-44.9218023071289</v>
      </c>
      <c r="T201" s="17" t="n">
        <v>-6.620498748779298</v>
      </c>
      <c r="U201" s="19" t="n">
        <v>75.63346031467263</v>
      </c>
      <c r="V201" s="20">
        <f>IFERROR(BDP(E201&amp;" Corp","LAST_PRICE"),"--")</f>
        <v/>
      </c>
      <c r="W201" s="21">
        <f>IFERROR(BDP(E201&amp;" Corp","YAS_BENCHMARK_BOND_ISIN"),"--")</f>
        <v/>
      </c>
      <c r="X201" s="22">
        <f>IFERROR(BDP(W201&amp;" CORP","LAST_PRICE"),"--")</f>
        <v/>
      </c>
      <c r="Y201" s="23">
        <f>IFERROR(BDP(E201&amp;" Corp","YAS_YLD_SPREAD","YAS_BOND_PX="&amp;V201,"YAS_BNCHMRK_BOND_PX="&amp;X201),"--")</f>
        <v/>
      </c>
      <c r="Z201" s="23">
        <f>IFERROR(BDP(E201&amp;" Corp","BLOOMBERG_MID_G_SPREAD","YAS_BOND_PX="&amp;V201,"YAS_BNCHMRK_BOND_PX="&amp;X201),"--")</f>
        <v/>
      </c>
      <c r="AA201" s="23">
        <f>IFERROR(BDP(D201,"LAST_PRICE"),"--")</f>
        <v/>
      </c>
      <c r="AB201" s="24" t="n"/>
      <c r="AC201" s="23">
        <f>IFERROR(IF(ISBLANK(AB201),AA201,AB201),"--")</f>
        <v/>
      </c>
      <c r="AD201" s="23">
        <f>IFERROR(MAX(-500,MIN(500,AC201-Z201)),"--")</f>
        <v/>
      </c>
      <c r="AE201" s="25">
        <f>IFERROR((AD201-S201)/(T201-S201)*100,"--")</f>
        <v/>
      </c>
    </row>
    <row r="202">
      <c r="A202" s="26" t="inlineStr">
        <is>
          <t>KMI</t>
        </is>
      </c>
      <c r="B202" s="27" t="inlineStr">
        <is>
          <t>IG</t>
        </is>
      </c>
      <c r="C202" s="26" t="inlineStr">
        <is>
          <t>KMI 5.4 02/01/34</t>
        </is>
      </c>
      <c r="D202" s="27" t="inlineStr">
        <is>
          <t>CKMI1U5 MSG1 Curncy</t>
        </is>
      </c>
      <c r="E202" s="27" t="inlineStr">
        <is>
          <t>US494553AE00</t>
        </is>
      </c>
      <c r="F202" s="28" t="n">
        <v>45659</v>
      </c>
      <c r="G202" s="28" t="n">
        <v>46225</v>
      </c>
      <c r="H202" s="28" t="n">
        <v>49115</v>
      </c>
      <c r="I202" s="29" t="n">
        <v>72.35970306396484</v>
      </c>
      <c r="J202" s="29" t="n">
        <v>44.5</v>
      </c>
      <c r="K202" s="29" t="n">
        <v>76.40900000000001</v>
      </c>
      <c r="L202" s="29" t="n">
        <v>66.291</v>
      </c>
      <c r="M202" s="30" t="n">
        <v>389</v>
      </c>
      <c r="N202" s="31" t="n">
        <v>-4.049296936035162</v>
      </c>
      <c r="O202" s="32" t="n">
        <v>-39.99039996337891</v>
      </c>
      <c r="P202" s="32" t="n">
        <v>8.57349780273438</v>
      </c>
      <c r="Q202" s="33" t="n">
        <v>74.00786320825874</v>
      </c>
      <c r="R202" s="32" t="n">
        <v>-31.90900000000001</v>
      </c>
      <c r="S202" s="32" t="n">
        <v>-64.64629901123047</v>
      </c>
      <c r="T202" s="32" t="n">
        <v>-17.86849829101563</v>
      </c>
      <c r="U202" s="34" t="n">
        <v>69.98469040269174</v>
      </c>
      <c r="V202" s="20">
        <f>IFERROR(BDP(E202&amp;" Corp","LAST_PRICE"),"--")</f>
        <v/>
      </c>
      <c r="W202" s="21">
        <f>IFERROR(BDP(E202&amp;" Corp","YAS_BENCHMARK_BOND_ISIN"),"--")</f>
        <v/>
      </c>
      <c r="X202" s="22">
        <f>IFERROR(BDP(W202&amp;" CORP","LAST_PRICE"),"--")</f>
        <v/>
      </c>
      <c r="Y202" s="23">
        <f>IFERROR(BDP(E202&amp;" Corp","YAS_YLD_SPREAD","YAS_BOND_PX="&amp;V202,"YAS_BNCHMRK_BOND_PX="&amp;X202),"--")</f>
        <v/>
      </c>
      <c r="Z202" s="23">
        <f>IFERROR(BDP(E202&amp;" Corp","BLOOMBERG_MID_G_SPREAD","YAS_BOND_PX="&amp;V202,"YAS_BNCHMRK_BOND_PX="&amp;X202),"--")</f>
        <v/>
      </c>
      <c r="AA202" s="23">
        <f>IFERROR(BDP(D202,"LAST_PRICE"),"--")</f>
        <v/>
      </c>
      <c r="AB202" s="24" t="n"/>
      <c r="AC202" s="23">
        <f>IFERROR(IF(ISBLANK(AB202),AA202,AB202),"--")</f>
        <v/>
      </c>
      <c r="AD202" s="23">
        <f>IFERROR(MAX(-500,MIN(500,AC202-Z202)),"--")</f>
        <v/>
      </c>
      <c r="AE202" s="25">
        <f>IFERROR((AD202-S202)/(T202-S202)*100,"--")</f>
        <v/>
      </c>
    </row>
    <row r="203">
      <c r="A203" s="11" t="inlineStr">
        <is>
          <t>KR</t>
        </is>
      </c>
      <c r="B203" s="12" t="inlineStr">
        <is>
          <t>IG</t>
        </is>
      </c>
      <c r="C203" s="11" t="inlineStr">
        <is>
          <t>KR 5 09/15/34</t>
        </is>
      </c>
      <c r="D203" s="12" t="inlineStr">
        <is>
          <t>KR CDS USD SR 5Y D14 Corp</t>
        </is>
      </c>
      <c r="E203" s="12" t="inlineStr">
        <is>
          <t>US501044DV05</t>
        </is>
      </c>
      <c r="F203" s="13" t="n">
        <v>45659</v>
      </c>
      <c r="G203" s="13" t="n">
        <v>46225</v>
      </c>
      <c r="H203" s="13" t="n">
        <v>49298</v>
      </c>
      <c r="I203" s="14" t="n">
        <v>58.17449951171875</v>
      </c>
      <c r="J203" s="14" t="n">
        <v>34.44169998168945</v>
      </c>
      <c r="K203" s="14" t="n">
        <v>84.93899999999999</v>
      </c>
      <c r="L203" s="14" t="n">
        <v>80.505</v>
      </c>
      <c r="M203" s="15" t="n">
        <v>389</v>
      </c>
      <c r="N203" s="16" t="n">
        <v>-26.76450048828124</v>
      </c>
      <c r="O203" s="17" t="n">
        <v>-43.98990307617187</v>
      </c>
      <c r="P203" s="17" t="n">
        <v>-5.661002441406254</v>
      </c>
      <c r="Q203" s="18" t="n">
        <v>44.94102962156604</v>
      </c>
      <c r="R203" s="17" t="n">
        <v>-50.49730001831054</v>
      </c>
      <c r="S203" s="17" t="n">
        <v>-68.88839822387695</v>
      </c>
      <c r="T203" s="17" t="n">
        <v>-31.94850091552735</v>
      </c>
      <c r="U203" s="19" t="n">
        <v>49.78654394204131</v>
      </c>
      <c r="V203" s="20">
        <f>IFERROR(BDP(E203&amp;" Corp","LAST_PRICE"),"--")</f>
        <v/>
      </c>
      <c r="W203" s="21">
        <f>IFERROR(BDP(E203&amp;" Corp","YAS_BENCHMARK_BOND_ISIN"),"--")</f>
        <v/>
      </c>
      <c r="X203" s="22">
        <f>IFERROR(BDP(W203&amp;" CORP","LAST_PRICE"),"--")</f>
        <v/>
      </c>
      <c r="Y203" s="23">
        <f>IFERROR(BDP(E203&amp;" Corp","YAS_YLD_SPREAD","YAS_BOND_PX="&amp;V203,"YAS_BNCHMRK_BOND_PX="&amp;X203),"--")</f>
        <v/>
      </c>
      <c r="Z203" s="23">
        <f>IFERROR(BDP(E203&amp;" Corp","BLOOMBERG_MID_G_SPREAD","YAS_BOND_PX="&amp;V203,"YAS_BNCHMRK_BOND_PX="&amp;X203),"--")</f>
        <v/>
      </c>
      <c r="AA203" s="23">
        <f>IFERROR(BDP(D203,"LAST_PRICE"),"--")</f>
        <v/>
      </c>
      <c r="AB203" s="24" t="n"/>
      <c r="AC203" s="23">
        <f>IFERROR(IF(ISBLANK(AB203),AA203,AB203),"--")</f>
        <v/>
      </c>
      <c r="AD203" s="23">
        <f>IFERROR(MAX(-500,MIN(500,AC203-Z203)),"--")</f>
        <v/>
      </c>
      <c r="AE203" s="25">
        <f>IFERROR((AD203-S203)/(T203-S203)*100,"--")</f>
        <v/>
      </c>
    </row>
    <row r="204">
      <c r="A204" s="26" t="inlineStr">
        <is>
          <t>LEN</t>
        </is>
      </c>
      <c r="B204" s="27" t="inlineStr">
        <is>
          <t>IG</t>
        </is>
      </c>
      <c r="C204" s="26" t="inlineStr">
        <is>
          <t>LEN 5.2 07/30/30</t>
        </is>
      </c>
      <c r="D204" s="27" t="inlineStr">
        <is>
          <t>LEN CDS USD SR 5Y D14 Corp</t>
        </is>
      </c>
      <c r="E204" s="27" t="inlineStr">
        <is>
          <t>US526057CY87</t>
        </is>
      </c>
      <c r="F204" s="28" t="n">
        <v>45789</v>
      </c>
      <c r="G204" s="28" t="n">
        <v>46225</v>
      </c>
      <c r="H204" s="28" t="n">
        <v>47837</v>
      </c>
      <c r="I204" s="29" t="n">
        <v>75.34539794921875</v>
      </c>
      <c r="J204" s="29" t="n">
        <v>82.09729766845703</v>
      </c>
      <c r="K204" s="29" t="n">
        <v>67.773</v>
      </c>
      <c r="L204" s="29" t="n">
        <v>66.03</v>
      </c>
      <c r="M204" s="30" t="n">
        <v>299</v>
      </c>
      <c r="N204" s="31" t="n">
        <v>7.572397949218754</v>
      </c>
      <c r="O204" s="32" t="n">
        <v>-9.404696777343744</v>
      </c>
      <c r="P204" s="32" t="n">
        <v>18.20730255126954</v>
      </c>
      <c r="Q204" s="33" t="n">
        <v>61.48448188961736</v>
      </c>
      <c r="R204" s="32" t="n">
        <v>14.32429766845704</v>
      </c>
      <c r="S204" s="32" t="n">
        <v>-1.359496826171878</v>
      </c>
      <c r="T204" s="32" t="n">
        <v>25.03210113525391</v>
      </c>
      <c r="U204" s="34" t="n">
        <v>59.42722573128196</v>
      </c>
      <c r="V204" s="20">
        <f>IFERROR(BDP(E204&amp;" Corp","LAST_PRICE"),"--")</f>
        <v/>
      </c>
      <c r="W204" s="21">
        <f>IFERROR(BDP(E204&amp;" Corp","YAS_BENCHMARK_BOND_ISIN"),"--")</f>
        <v/>
      </c>
      <c r="X204" s="22">
        <f>IFERROR(BDP(W204&amp;" CORP","LAST_PRICE"),"--")</f>
        <v/>
      </c>
      <c r="Y204" s="23">
        <f>IFERROR(BDP(E204&amp;" Corp","YAS_YLD_SPREAD","YAS_BOND_PX="&amp;V204,"YAS_BNCHMRK_BOND_PX="&amp;X204),"--")</f>
        <v/>
      </c>
      <c r="Z204" s="23">
        <f>IFERROR(BDP(E204&amp;" Corp","BLOOMBERG_MID_G_SPREAD","YAS_BOND_PX="&amp;V204,"YAS_BNCHMRK_BOND_PX="&amp;X204),"--")</f>
        <v/>
      </c>
      <c r="AA204" s="23">
        <f>IFERROR(BDP(D204,"LAST_PRICE"),"--")</f>
        <v/>
      </c>
      <c r="AB204" s="24" t="n"/>
      <c r="AC204" s="23">
        <f>IFERROR(IF(ISBLANK(AB204),AA204,AB204),"--")</f>
        <v/>
      </c>
      <c r="AD204" s="23">
        <f>IFERROR(MAX(-500,MIN(500,AC204-Z204)),"--")</f>
        <v/>
      </c>
      <c r="AE204" s="25">
        <f>IFERROR((AD204-S204)/(T204-S204)*100,"--")</f>
        <v/>
      </c>
    </row>
    <row r="205">
      <c r="A205" s="11" t="inlineStr">
        <is>
          <t>LMT</t>
        </is>
      </c>
      <c r="B205" s="12" t="inlineStr">
        <is>
          <t>IG</t>
        </is>
      </c>
      <c r="C205" s="11" t="inlineStr">
        <is>
          <t>LMT 4.8 08/15/34</t>
        </is>
      </c>
      <c r="D205" s="12" t="inlineStr">
        <is>
          <t>LMT CDS USD SR 5Y D14 Corp</t>
        </is>
      </c>
      <c r="E205" s="12" t="inlineStr">
        <is>
          <t>US539830CD97</t>
        </is>
      </c>
      <c r="F205" s="13" t="n">
        <v>45659</v>
      </c>
      <c r="G205" s="13" t="n">
        <v>46225</v>
      </c>
      <c r="H205" s="13" t="n">
        <v>49298</v>
      </c>
      <c r="I205" s="14" t="n">
        <v>32.48809814453125</v>
      </c>
      <c r="J205" s="14" t="n">
        <v>19.39089965820312</v>
      </c>
      <c r="K205" s="14" t="n">
        <v>50.943</v>
      </c>
      <c r="L205" s="14" t="n">
        <v>42.708</v>
      </c>
      <c r="M205" s="15" t="n">
        <v>384</v>
      </c>
      <c r="N205" s="16" t="n">
        <v>-18.45490185546875</v>
      </c>
      <c r="O205" s="17" t="n">
        <v>-42.547</v>
      </c>
      <c r="P205" s="17" t="n">
        <v>-11.34379928588867</v>
      </c>
      <c r="Q205" s="18" t="n">
        <v>77.21034250706161</v>
      </c>
      <c r="R205" s="17" t="n">
        <v>-31.55210034179687</v>
      </c>
      <c r="S205" s="17" t="n">
        <v>-57.922</v>
      </c>
      <c r="T205" s="17" t="n">
        <v>-25.82260018920898</v>
      </c>
      <c r="U205" s="19" t="n">
        <v>82.15075613139105</v>
      </c>
      <c r="V205" s="20">
        <f>IFERROR(BDP(E205&amp;" Corp","LAST_PRICE"),"--")</f>
        <v/>
      </c>
      <c r="W205" s="21">
        <f>IFERROR(BDP(E205&amp;" Corp","YAS_BENCHMARK_BOND_ISIN"),"--")</f>
        <v/>
      </c>
      <c r="X205" s="22">
        <f>IFERROR(BDP(W205&amp;" CORP","LAST_PRICE"),"--")</f>
        <v/>
      </c>
      <c r="Y205" s="23">
        <f>IFERROR(BDP(E205&amp;" Corp","YAS_YLD_SPREAD","YAS_BOND_PX="&amp;V205,"YAS_BNCHMRK_BOND_PX="&amp;X205),"--")</f>
        <v/>
      </c>
      <c r="Z205" s="23">
        <f>IFERROR(BDP(E205&amp;" Corp","BLOOMBERG_MID_G_SPREAD","YAS_BOND_PX="&amp;V205,"YAS_BNCHMRK_BOND_PX="&amp;X205),"--")</f>
        <v/>
      </c>
      <c r="AA205" s="23">
        <f>IFERROR(BDP(D205,"LAST_PRICE"),"--")</f>
        <v/>
      </c>
      <c r="AB205" s="24" t="n"/>
      <c r="AC205" s="23">
        <f>IFERROR(IF(ISBLANK(AB205),AA205,AB205),"--")</f>
        <v/>
      </c>
      <c r="AD205" s="23">
        <f>IFERROR(MAX(-500,MIN(500,AC205-Z205)),"--")</f>
        <v/>
      </c>
      <c r="AE205" s="25">
        <f>IFERROR((AD205-S205)/(T205-S205)*100,"--")</f>
        <v/>
      </c>
    </row>
    <row r="206">
      <c r="A206" s="26" t="inlineStr">
        <is>
          <t>LNC</t>
        </is>
      </c>
      <c r="B206" s="27" t="inlineStr">
        <is>
          <t>IG</t>
        </is>
      </c>
      <c r="C206" s="26" t="inlineStr">
        <is>
          <t>LNC 5.852 03/15/34</t>
        </is>
      </c>
      <c r="D206" s="27" t="inlineStr">
        <is>
          <t>LNC CDS USD SR 5Y D14 Corp</t>
        </is>
      </c>
      <c r="E206" s="27" t="inlineStr">
        <is>
          <t>US534187BT58</t>
        </is>
      </c>
      <c r="F206" s="28" t="n">
        <v>45659</v>
      </c>
      <c r="G206" s="28" t="n">
        <v>46225</v>
      </c>
      <c r="H206" s="28" t="n">
        <v>49115</v>
      </c>
      <c r="I206" s="29" t="n">
        <v>173.6934967041016</v>
      </c>
      <c r="J206" s="29" t="n">
        <v>135.1880035400391</v>
      </c>
      <c r="K206" s="29" t="n">
        <v>116.22</v>
      </c>
      <c r="L206" s="29" t="n">
        <v>106.336</v>
      </c>
      <c r="M206" s="30" t="n">
        <v>389</v>
      </c>
      <c r="N206" s="31" t="n">
        <v>57.47349670410156</v>
      </c>
      <c r="O206" s="32" t="n">
        <v>17.91369470214843</v>
      </c>
      <c r="P206" s="32" t="n">
        <v>78.2059951171875</v>
      </c>
      <c r="Q206" s="33" t="n">
        <v>65.61335648106321</v>
      </c>
      <c r="R206" s="32" t="n">
        <v>18.96800354003906</v>
      </c>
      <c r="S206" s="32" t="n">
        <v>-6.342003356933589</v>
      </c>
      <c r="T206" s="32" t="n">
        <v>41.91969262695312</v>
      </c>
      <c r="U206" s="34" t="n">
        <v>52.44326039727859</v>
      </c>
      <c r="V206" s="20">
        <f>IFERROR(BDP(E206&amp;" Corp","LAST_PRICE"),"--")</f>
        <v/>
      </c>
      <c r="W206" s="21">
        <f>IFERROR(BDP(E206&amp;" Corp","YAS_BENCHMARK_BOND_ISIN"),"--")</f>
        <v/>
      </c>
      <c r="X206" s="22">
        <f>IFERROR(BDP(W206&amp;" CORP","LAST_PRICE"),"--")</f>
        <v/>
      </c>
      <c r="Y206" s="23">
        <f>IFERROR(BDP(E206&amp;" Corp","YAS_YLD_SPREAD","YAS_BOND_PX="&amp;V206,"YAS_BNCHMRK_BOND_PX="&amp;X206),"--")</f>
        <v/>
      </c>
      <c r="Z206" s="23">
        <f>IFERROR(BDP(E206&amp;" Corp","BLOOMBERG_MID_G_SPREAD","YAS_BOND_PX="&amp;V206,"YAS_BNCHMRK_BOND_PX="&amp;X206),"--")</f>
        <v/>
      </c>
      <c r="AA206" s="23">
        <f>IFERROR(BDP(D206,"LAST_PRICE"),"--")</f>
        <v/>
      </c>
      <c r="AB206" s="24" t="n"/>
      <c r="AC206" s="23">
        <f>IFERROR(IF(ISBLANK(AB206),AA206,AB206),"--")</f>
        <v/>
      </c>
      <c r="AD206" s="23">
        <f>IFERROR(MAX(-500,MIN(500,AC206-Z206)),"--")</f>
        <v/>
      </c>
      <c r="AE206" s="25">
        <f>IFERROR((AD206-S206)/(T206-S206)*100,"--")</f>
        <v/>
      </c>
    </row>
    <row r="207">
      <c r="A207" s="11" t="inlineStr">
        <is>
          <t>LOW</t>
        </is>
      </c>
      <c r="B207" s="12" t="inlineStr">
        <is>
          <t>IG</t>
        </is>
      </c>
      <c r="C207" s="11" t="inlineStr">
        <is>
          <t>LOW 5 04/15/33</t>
        </is>
      </c>
      <c r="D207" s="12" t="inlineStr">
        <is>
          <t>LOW CDS USD SR 5Y D14 Corp</t>
        </is>
      </c>
      <c r="E207" s="12" t="inlineStr">
        <is>
          <t>US548661EL74</t>
        </is>
      </c>
      <c r="F207" s="13" t="n">
        <v>45659</v>
      </c>
      <c r="G207" s="13" t="n">
        <v>46225</v>
      </c>
      <c r="H207" s="13" t="n">
        <v>48750</v>
      </c>
      <c r="I207" s="14" t="n">
        <v>41.54470062255859</v>
      </c>
      <c r="J207" s="14" t="n">
        <v>29.76510047912598</v>
      </c>
      <c r="K207" s="14" t="n">
        <v>64.11799999999999</v>
      </c>
      <c r="L207" s="14" t="n">
        <v>51.437</v>
      </c>
      <c r="M207" s="15" t="n">
        <v>389</v>
      </c>
      <c r="N207" s="16" t="n">
        <v>-22.5732993774414</v>
      </c>
      <c r="O207" s="17" t="n">
        <v>-47.49200097656249</v>
      </c>
      <c r="P207" s="17" t="n">
        <v>-6.429500762939455</v>
      </c>
      <c r="Q207" s="18" t="n">
        <v>60.68481331990101</v>
      </c>
      <c r="R207" s="17" t="n">
        <v>-34.35289952087402</v>
      </c>
      <c r="S207" s="17" t="n">
        <v>-57.45880166625976</v>
      </c>
      <c r="T207" s="17" t="n">
        <v>-17.33409899902344</v>
      </c>
      <c r="U207" s="19" t="n">
        <v>57.5852295704431</v>
      </c>
      <c r="V207" s="20">
        <f>IFERROR(BDP(E207&amp;" Corp","LAST_PRICE"),"--")</f>
        <v/>
      </c>
      <c r="W207" s="21">
        <f>IFERROR(BDP(E207&amp;" Corp","YAS_BENCHMARK_BOND_ISIN"),"--")</f>
        <v/>
      </c>
      <c r="X207" s="22">
        <f>IFERROR(BDP(W207&amp;" CORP","LAST_PRICE"),"--")</f>
        <v/>
      </c>
      <c r="Y207" s="23">
        <f>IFERROR(BDP(E207&amp;" Corp","YAS_YLD_SPREAD","YAS_BOND_PX="&amp;V207,"YAS_BNCHMRK_BOND_PX="&amp;X207),"--")</f>
        <v/>
      </c>
      <c r="Z207" s="23">
        <f>IFERROR(BDP(E207&amp;" Corp","BLOOMBERG_MID_G_SPREAD","YAS_BOND_PX="&amp;V207,"YAS_BNCHMRK_BOND_PX="&amp;X207),"--")</f>
        <v/>
      </c>
      <c r="AA207" s="23">
        <f>IFERROR(BDP(D207,"LAST_PRICE"),"--")</f>
        <v/>
      </c>
      <c r="AB207" s="24" t="n"/>
      <c r="AC207" s="23">
        <f>IFERROR(IF(ISBLANK(AB207),AA207,AB207),"--")</f>
        <v/>
      </c>
      <c r="AD207" s="23">
        <f>IFERROR(MAX(-500,MIN(500,AC207-Z207)),"--")</f>
        <v/>
      </c>
      <c r="AE207" s="25">
        <f>IFERROR((AD207-S207)/(T207-S207)*100,"--")</f>
        <v/>
      </c>
    </row>
    <row r="208">
      <c r="A208" s="26" t="inlineStr">
        <is>
          <t>LUV</t>
        </is>
      </c>
      <c r="B208" s="27" t="inlineStr">
        <is>
          <t>IG</t>
        </is>
      </c>
      <c r="C208" s="26" t="inlineStr">
        <is>
          <t>LUV 5 1/4 11/15/35</t>
        </is>
      </c>
      <c r="D208" s="27" t="inlineStr">
        <is>
          <t>LUV CDS USD SR 5Y D14 Corp</t>
        </is>
      </c>
      <c r="E208" s="27" t="inlineStr">
        <is>
          <t>US844741BM99</t>
        </is>
      </c>
      <c r="F208" s="28" t="n">
        <v>45957</v>
      </c>
      <c r="G208" s="28" t="n">
        <v>46225</v>
      </c>
      <c r="H208" s="28" t="n">
        <v>49663</v>
      </c>
      <c r="I208" s="29" t="n">
        <v>132.5738067626953</v>
      </c>
      <c r="J208" s="29" t="n">
        <v>89.18959808349609</v>
      </c>
      <c r="K208" s="29" t="n">
        <v>135.585</v>
      </c>
      <c r="L208" s="29" t="n">
        <v>135.948</v>
      </c>
      <c r="M208" s="30" t="n">
        <v>185</v>
      </c>
      <c r="N208" s="31" t="n">
        <v>-3.011193237304695</v>
      </c>
      <c r="O208" s="32" t="n">
        <v>-7.132299316406261</v>
      </c>
      <c r="P208" s="32" t="n">
        <v>20.04539685058593</v>
      </c>
      <c r="Q208" s="33" t="n">
        <v>15.16355931635855</v>
      </c>
      <c r="R208" s="32" t="n">
        <v>-46.39540191650391</v>
      </c>
      <c r="S208" s="32" t="n">
        <v>-49.37200360107423</v>
      </c>
      <c r="T208" s="32" t="n">
        <v>-15.31439642333984</v>
      </c>
      <c r="U208" s="34" t="n">
        <v>8.739902568716881</v>
      </c>
      <c r="V208" s="20">
        <f>IFERROR(BDP(E208&amp;" Corp","LAST_PRICE"),"--")</f>
        <v/>
      </c>
      <c r="W208" s="21">
        <f>IFERROR(BDP(E208&amp;" Corp","YAS_BENCHMARK_BOND_ISIN"),"--")</f>
        <v/>
      </c>
      <c r="X208" s="22">
        <f>IFERROR(BDP(W208&amp;" CORP","LAST_PRICE"),"--")</f>
        <v/>
      </c>
      <c r="Y208" s="23">
        <f>IFERROR(BDP(E208&amp;" Corp","YAS_YLD_SPREAD","YAS_BOND_PX="&amp;V208,"YAS_BNCHMRK_BOND_PX="&amp;X208),"--")</f>
        <v/>
      </c>
      <c r="Z208" s="23">
        <f>IFERROR(BDP(E208&amp;" Corp","BLOOMBERG_MID_G_SPREAD","YAS_BOND_PX="&amp;V208,"YAS_BNCHMRK_BOND_PX="&amp;X208),"--")</f>
        <v/>
      </c>
      <c r="AA208" s="23">
        <f>IFERROR(BDP(D208,"LAST_PRICE"),"--")</f>
        <v/>
      </c>
      <c r="AB208" s="24" t="n"/>
      <c r="AC208" s="23">
        <f>IFERROR(IF(ISBLANK(AB208),AA208,AB208),"--")</f>
        <v/>
      </c>
      <c r="AD208" s="23">
        <f>IFERROR(MAX(-500,MIN(500,AC208-Z208)),"--")</f>
        <v/>
      </c>
      <c r="AE208" s="25">
        <f>IFERROR((AD208-S208)/(T208-S208)*100,"--")</f>
        <v/>
      </c>
    </row>
    <row r="209">
      <c r="A209" s="11" t="inlineStr">
        <is>
          <t>MCD</t>
        </is>
      </c>
      <c r="B209" s="12" t="inlineStr">
        <is>
          <t>IG</t>
        </is>
      </c>
      <c r="C209" s="11" t="inlineStr">
        <is>
          <t>MCD 4.95 08/14/33</t>
        </is>
      </c>
      <c r="D209" s="12" t="inlineStr">
        <is>
          <t>MCD CDS USD SR 5Y D14 Corp</t>
        </is>
      </c>
      <c r="E209" s="12" t="inlineStr">
        <is>
          <t>US58013MFV19</t>
        </is>
      </c>
      <c r="F209" s="13" t="n">
        <v>45659</v>
      </c>
      <c r="G209" s="13" t="n">
        <v>46225</v>
      </c>
      <c r="H209" s="13" t="n">
        <v>48933</v>
      </c>
      <c r="I209" s="14" t="n">
        <v>32.96929931640625</v>
      </c>
      <c r="J209" s="14" t="n">
        <v>22.16679954528809</v>
      </c>
      <c r="K209" s="14" t="n">
        <v>40.577</v>
      </c>
      <c r="L209" s="14" t="n">
        <v>28.697</v>
      </c>
      <c r="M209" s="15" t="n">
        <v>388</v>
      </c>
      <c r="N209" s="16" t="n">
        <v>-7.607700683593748</v>
      </c>
      <c r="O209" s="17" t="n">
        <v>-39.78580157470704</v>
      </c>
      <c r="P209" s="17" t="n">
        <v>-1.631598571777346</v>
      </c>
      <c r="Q209" s="18" t="n">
        <v>84.33697563710734</v>
      </c>
      <c r="R209" s="17" t="n">
        <v>-18.41020045471191</v>
      </c>
      <c r="S209" s="17" t="n">
        <v>-49.86130111694337</v>
      </c>
      <c r="T209" s="17" t="n">
        <v>-13.35209989929199</v>
      </c>
      <c r="U209" s="19" t="n">
        <v>86.14568276839088</v>
      </c>
      <c r="V209" s="20">
        <f>IFERROR(BDP(E209&amp;" Corp","LAST_PRICE"),"--")</f>
        <v/>
      </c>
      <c r="W209" s="21">
        <f>IFERROR(BDP(E209&amp;" Corp","YAS_BENCHMARK_BOND_ISIN"),"--")</f>
        <v/>
      </c>
      <c r="X209" s="22">
        <f>IFERROR(BDP(W209&amp;" CORP","LAST_PRICE"),"--")</f>
        <v/>
      </c>
      <c r="Y209" s="23">
        <f>IFERROR(BDP(E209&amp;" Corp","YAS_YLD_SPREAD","YAS_BOND_PX="&amp;V209,"YAS_BNCHMRK_BOND_PX="&amp;X209),"--")</f>
        <v/>
      </c>
      <c r="Z209" s="23">
        <f>IFERROR(BDP(E209&amp;" Corp","BLOOMBERG_MID_G_SPREAD","YAS_BOND_PX="&amp;V209,"YAS_BNCHMRK_BOND_PX="&amp;X209),"--")</f>
        <v/>
      </c>
      <c r="AA209" s="23">
        <f>IFERROR(BDP(D209,"LAST_PRICE"),"--")</f>
        <v/>
      </c>
      <c r="AB209" s="24" t="n"/>
      <c r="AC209" s="23">
        <f>IFERROR(IF(ISBLANK(AB209),AA209,AB209),"--")</f>
        <v/>
      </c>
      <c r="AD209" s="23">
        <f>IFERROR(MAX(-500,MIN(500,AC209-Z209)),"--")</f>
        <v/>
      </c>
      <c r="AE209" s="25">
        <f>IFERROR((AD209-S209)/(T209-S209)*100,"--")</f>
        <v/>
      </c>
    </row>
    <row r="210">
      <c r="A210" s="26" t="inlineStr">
        <is>
          <t>MCK</t>
        </is>
      </c>
      <c r="B210" s="27" t="inlineStr">
        <is>
          <t>IG</t>
        </is>
      </c>
      <c r="C210" s="26" t="inlineStr">
        <is>
          <t>MCK 4.95 05/30/32</t>
        </is>
      </c>
      <c r="D210" s="27" t="inlineStr">
        <is>
          <t>MCK CDS USD SR 5Y D14 Corp</t>
        </is>
      </c>
      <c r="E210" s="27" t="inlineStr">
        <is>
          <t>US581557BX22</t>
        </is>
      </c>
      <c r="F210" s="28" t="n">
        <v>45797</v>
      </c>
      <c r="G210" s="28" t="n">
        <v>46225</v>
      </c>
      <c r="H210" s="28" t="n">
        <v>48385</v>
      </c>
      <c r="I210" s="29" t="n">
        <v>36.29079818725586</v>
      </c>
      <c r="J210" s="29" t="n">
        <v>26.43619918823242</v>
      </c>
      <c r="K210" s="29" t="n">
        <v>53.624</v>
      </c>
      <c r="L210" s="29" t="n">
        <v>59.096</v>
      </c>
      <c r="M210" s="30" t="n">
        <v>293</v>
      </c>
      <c r="N210" s="31" t="n">
        <v>-17.33320181274414</v>
      </c>
      <c r="O210" s="32" t="n">
        <v>-27.76820111083984</v>
      </c>
      <c r="P210" s="32" t="n">
        <v>-4.304901672363279</v>
      </c>
      <c r="Q210" s="33" t="n">
        <v>44.47370807953695</v>
      </c>
      <c r="R210" s="32" t="n">
        <v>-27.18780081176758</v>
      </c>
      <c r="S210" s="32" t="n">
        <v>-33.81369900512695</v>
      </c>
      <c r="T210" s="32" t="n">
        <v>-14.37580163574219</v>
      </c>
      <c r="U210" s="34" t="n">
        <v>34.08752535032593</v>
      </c>
      <c r="V210" s="20">
        <f>IFERROR(BDP(E210&amp;" Corp","LAST_PRICE"),"--")</f>
        <v/>
      </c>
      <c r="W210" s="21">
        <f>IFERROR(BDP(E210&amp;" Corp","YAS_BENCHMARK_BOND_ISIN"),"--")</f>
        <v/>
      </c>
      <c r="X210" s="22">
        <f>IFERROR(BDP(W210&amp;" CORP","LAST_PRICE"),"--")</f>
        <v/>
      </c>
      <c r="Y210" s="23">
        <f>IFERROR(BDP(E210&amp;" Corp","YAS_YLD_SPREAD","YAS_BOND_PX="&amp;V210,"YAS_BNCHMRK_BOND_PX="&amp;X210),"--")</f>
        <v/>
      </c>
      <c r="Z210" s="23">
        <f>IFERROR(BDP(E210&amp;" Corp","BLOOMBERG_MID_G_SPREAD","YAS_BOND_PX="&amp;V210,"YAS_BNCHMRK_BOND_PX="&amp;X210),"--")</f>
        <v/>
      </c>
      <c r="AA210" s="23">
        <f>IFERROR(BDP(D210,"LAST_PRICE"),"--")</f>
        <v/>
      </c>
      <c r="AB210" s="24" t="n"/>
      <c r="AC210" s="23">
        <f>IFERROR(IF(ISBLANK(AB210),AA210,AB210),"--")</f>
        <v/>
      </c>
      <c r="AD210" s="23">
        <f>IFERROR(MAX(-500,MIN(500,AC210-Z210)),"--")</f>
        <v/>
      </c>
      <c r="AE210" s="25">
        <f>IFERROR((AD210-S210)/(T210-S210)*100,"--")</f>
        <v/>
      </c>
    </row>
    <row r="211">
      <c r="A211" s="11" t="inlineStr">
        <is>
          <t>MDLZ</t>
        </is>
      </c>
      <c r="B211" s="12" t="inlineStr">
        <is>
          <t>IG</t>
        </is>
      </c>
      <c r="C211" s="11" t="inlineStr">
        <is>
          <t>MDLZ 4 3/4 08/28/34</t>
        </is>
      </c>
      <c r="D211" s="12" t="inlineStr">
        <is>
          <t>KRAFT CDS USD SR 5Y D14 Corp</t>
        </is>
      </c>
      <c r="E211" s="12" t="inlineStr">
        <is>
          <t>US609207BE44</t>
        </is>
      </c>
      <c r="F211" s="13" t="n">
        <v>45659</v>
      </c>
      <c r="G211" s="13" t="n">
        <v>46225</v>
      </c>
      <c r="H211" s="13" t="n">
        <v>49298</v>
      </c>
      <c r="I211" s="14" t="n">
        <v>58.22470092773438</v>
      </c>
      <c r="J211" s="14" t="n">
        <v>35.87490081787109</v>
      </c>
      <c r="K211" s="14" t="n">
        <v>67.53400000000001</v>
      </c>
      <c r="L211" s="14" t="n">
        <v>60.853</v>
      </c>
      <c r="M211" s="15" t="n">
        <v>389</v>
      </c>
      <c r="N211" s="16" t="n">
        <v>-9.309299072265631</v>
      </c>
      <c r="O211" s="17" t="n">
        <v>-19.59079919433594</v>
      </c>
      <c r="P211" s="17" t="n">
        <v>5.144997924804684</v>
      </c>
      <c r="Q211" s="18" t="n">
        <v>41.56526701989506</v>
      </c>
      <c r="R211" s="17" t="n">
        <v>-31.65909918212891</v>
      </c>
      <c r="S211" s="17" t="n">
        <v>-38.93340097045899</v>
      </c>
      <c r="T211" s="17" t="n">
        <v>-14.92119851684571</v>
      </c>
      <c r="U211" s="19" t="n">
        <v>30.29418814197722</v>
      </c>
      <c r="V211" s="20">
        <f>IFERROR(BDP(E211&amp;" Corp","LAST_PRICE"),"--")</f>
        <v/>
      </c>
      <c r="W211" s="21">
        <f>IFERROR(BDP(E211&amp;" Corp","YAS_BENCHMARK_BOND_ISIN"),"--")</f>
        <v/>
      </c>
      <c r="X211" s="22">
        <f>IFERROR(BDP(W211&amp;" CORP","LAST_PRICE"),"--")</f>
        <v/>
      </c>
      <c r="Y211" s="23">
        <f>IFERROR(BDP(E211&amp;" Corp","YAS_YLD_SPREAD","YAS_BOND_PX="&amp;V211,"YAS_BNCHMRK_BOND_PX="&amp;X211),"--")</f>
        <v/>
      </c>
      <c r="Z211" s="23">
        <f>IFERROR(BDP(E211&amp;" Corp","BLOOMBERG_MID_G_SPREAD","YAS_BOND_PX="&amp;V211,"YAS_BNCHMRK_BOND_PX="&amp;X211),"--")</f>
        <v/>
      </c>
      <c r="AA211" s="23">
        <f>IFERROR(BDP(D211,"LAST_PRICE"),"--")</f>
        <v/>
      </c>
      <c r="AB211" s="24" t="n"/>
      <c r="AC211" s="23">
        <f>IFERROR(IF(ISBLANK(AB211),AA211,AB211),"--")</f>
        <v/>
      </c>
      <c r="AD211" s="23">
        <f>IFERROR(MAX(-500,MIN(500,AC211-Z211)),"--")</f>
        <v/>
      </c>
      <c r="AE211" s="25">
        <f>IFERROR((AD211-S211)/(T211-S211)*100,"--")</f>
        <v/>
      </c>
    </row>
    <row r="212">
      <c r="A212" s="26" t="inlineStr">
        <is>
          <t>MET</t>
        </is>
      </c>
      <c r="B212" s="27" t="inlineStr">
        <is>
          <t>IG</t>
        </is>
      </c>
      <c r="C212" s="26" t="inlineStr">
        <is>
          <t>MET 5 3/8 07/15/33</t>
        </is>
      </c>
      <c r="D212" s="27" t="inlineStr">
        <is>
          <t>MET CDS USD SR 5Y D14 Corp</t>
        </is>
      </c>
      <c r="E212" s="27" t="inlineStr">
        <is>
          <t>US59156RCE62</t>
        </is>
      </c>
      <c r="F212" s="28" t="n">
        <v>45659</v>
      </c>
      <c r="G212" s="28" t="n">
        <v>46225</v>
      </c>
      <c r="H212" s="28" t="n">
        <v>48933</v>
      </c>
      <c r="I212" s="29" t="n">
        <v>94.33280181884766</v>
      </c>
      <c r="J212" s="29" t="n">
        <v>70.28469848632812</v>
      </c>
      <c r="K212" s="29" t="n">
        <v>54.902</v>
      </c>
      <c r="L212" s="29" t="n">
        <v>41.984</v>
      </c>
      <c r="M212" s="30" t="n">
        <v>389</v>
      </c>
      <c r="N212" s="31" t="n">
        <v>39.43080181884766</v>
      </c>
      <c r="O212" s="32" t="n">
        <v>6.053797363281248</v>
      </c>
      <c r="P212" s="32" t="n">
        <v>57.59270220947266</v>
      </c>
      <c r="Q212" s="33" t="n">
        <v>64.76079488916979</v>
      </c>
      <c r="R212" s="32" t="n">
        <v>15.38269848632812</v>
      </c>
      <c r="S212" s="32" t="n">
        <v>-11.60709893798828</v>
      </c>
      <c r="T212" s="32" t="n">
        <v>32.55080157470704</v>
      </c>
      <c r="U212" s="34" t="n">
        <v>61.12110655386999</v>
      </c>
      <c r="V212" s="20">
        <f>IFERROR(BDP(E212&amp;" Corp","LAST_PRICE"),"--")</f>
        <v/>
      </c>
      <c r="W212" s="21">
        <f>IFERROR(BDP(E212&amp;" Corp","YAS_BENCHMARK_BOND_ISIN"),"--")</f>
        <v/>
      </c>
      <c r="X212" s="22">
        <f>IFERROR(BDP(W212&amp;" CORP","LAST_PRICE"),"--")</f>
        <v/>
      </c>
      <c r="Y212" s="23">
        <f>IFERROR(BDP(E212&amp;" Corp","YAS_YLD_SPREAD","YAS_BOND_PX="&amp;V212,"YAS_BNCHMRK_BOND_PX="&amp;X212),"--")</f>
        <v/>
      </c>
      <c r="Z212" s="23">
        <f>IFERROR(BDP(E212&amp;" Corp","BLOOMBERG_MID_G_SPREAD","YAS_BOND_PX="&amp;V212,"YAS_BNCHMRK_BOND_PX="&amp;X212),"--")</f>
        <v/>
      </c>
      <c r="AA212" s="23">
        <f>IFERROR(BDP(D212,"LAST_PRICE"),"--")</f>
        <v/>
      </c>
      <c r="AB212" s="24" t="n"/>
      <c r="AC212" s="23">
        <f>IFERROR(IF(ISBLANK(AB212),AA212,AB212),"--")</f>
        <v/>
      </c>
      <c r="AD212" s="23">
        <f>IFERROR(MAX(-500,MIN(500,AC212-Z212)),"--")</f>
        <v/>
      </c>
      <c r="AE212" s="25">
        <f>IFERROR((AD212-S212)/(T212-S212)*100,"--")</f>
        <v/>
      </c>
    </row>
    <row r="213">
      <c r="A213" s="11" t="inlineStr">
        <is>
          <t>META</t>
        </is>
      </c>
      <c r="B213" s="12" t="inlineStr">
        <is>
          <t>IG</t>
        </is>
      </c>
      <c r="C213" s="11" t="inlineStr">
        <is>
          <t>META 4.55 08/15/31</t>
        </is>
      </c>
      <c r="D213" s="12" t="inlineStr">
        <is>
          <t>META CDS USD SR 5Y D14 Corp</t>
        </is>
      </c>
      <c r="E213" s="12" t="inlineStr">
        <is>
          <t>US30303M8T23</t>
        </is>
      </c>
      <c r="F213" s="13" t="n">
        <v>46099</v>
      </c>
      <c r="G213" s="13" t="n">
        <v>46225</v>
      </c>
      <c r="H213" s="13" t="n">
        <v>48202</v>
      </c>
      <c r="I213" s="14" t="n">
        <v>85.68260192871094</v>
      </c>
      <c r="J213" s="14" t="n">
        <v>79.80770111083984</v>
      </c>
      <c r="K213" s="14" t="n">
        <v>54.904</v>
      </c>
      <c r="L213" s="14" t="n">
        <v>58.541</v>
      </c>
      <c r="M213" s="15" t="n">
        <v>88</v>
      </c>
      <c r="N213" s="16" t="n">
        <v>30.77860192871093</v>
      </c>
      <c r="O213" s="17" t="n">
        <v>21.93250244140625</v>
      </c>
      <c r="P213" s="17" t="n">
        <v>37.85019903564453</v>
      </c>
      <c r="Q213" s="18" t="n">
        <v>55.57399234828174</v>
      </c>
      <c r="R213" s="17" t="n">
        <v>24.90370111083984</v>
      </c>
      <c r="S213" s="17" t="n">
        <v>17.055</v>
      </c>
      <c r="T213" s="17" t="n">
        <v>32.35280065917969</v>
      </c>
      <c r="U213" s="19" t="n">
        <v>51.30607520454323</v>
      </c>
      <c r="V213" s="20">
        <f>IFERROR(BDP(E213&amp;" Corp","LAST_PRICE"),"--")</f>
        <v/>
      </c>
      <c r="W213" s="21">
        <f>IFERROR(BDP(E213&amp;" Corp","YAS_BENCHMARK_BOND_ISIN"),"--")</f>
        <v/>
      </c>
      <c r="X213" s="22">
        <f>IFERROR(BDP(W213&amp;" CORP","LAST_PRICE"),"--")</f>
        <v/>
      </c>
      <c r="Y213" s="23">
        <f>IFERROR(BDP(E213&amp;" Corp","YAS_YLD_SPREAD","YAS_BOND_PX="&amp;V213,"YAS_BNCHMRK_BOND_PX="&amp;X213),"--")</f>
        <v/>
      </c>
      <c r="Z213" s="23">
        <f>IFERROR(BDP(E213&amp;" Corp","BLOOMBERG_MID_G_SPREAD","YAS_BOND_PX="&amp;V213,"YAS_BNCHMRK_BOND_PX="&amp;X213),"--")</f>
        <v/>
      </c>
      <c r="AA213" s="23">
        <f>IFERROR(BDP(D213,"LAST_PRICE"),"--")</f>
        <v/>
      </c>
      <c r="AB213" s="24" t="n"/>
      <c r="AC213" s="23">
        <f>IFERROR(IF(ISBLANK(AB213),AA213,AB213),"--")</f>
        <v/>
      </c>
      <c r="AD213" s="23">
        <f>IFERROR(MAX(-500,MIN(500,AC213-Z213)),"--")</f>
        <v/>
      </c>
      <c r="AE213" s="25">
        <f>IFERROR((AD213-S213)/(T213-S213)*100,"--")</f>
        <v/>
      </c>
    </row>
    <row r="214">
      <c r="A214" s="26" t="inlineStr">
        <is>
          <t>MO</t>
        </is>
      </c>
      <c r="B214" s="27" t="inlineStr">
        <is>
          <t>IG</t>
        </is>
      </c>
      <c r="C214" s="26" t="inlineStr">
        <is>
          <t>MO 6 7/8 11/01/33</t>
        </is>
      </c>
      <c r="D214" s="27" t="inlineStr">
        <is>
          <t>ALTRIA CDS USD SR 5Y D14 Corp</t>
        </is>
      </c>
      <c r="E214" s="27" t="inlineStr">
        <is>
          <t>US02209SBR31</t>
        </is>
      </c>
      <c r="F214" s="28" t="n">
        <v>45659</v>
      </c>
      <c r="G214" s="28" t="n">
        <v>46225</v>
      </c>
      <c r="H214" s="28" t="n">
        <v>48933</v>
      </c>
      <c r="I214" s="29" t="n">
        <v>50.34640121459961</v>
      </c>
      <c r="J214" s="29" t="n">
        <v>30.69589996337891</v>
      </c>
      <c r="K214" s="29" t="n">
        <v>76.128</v>
      </c>
      <c r="L214" s="29" t="n">
        <v>64.76300000000001</v>
      </c>
      <c r="M214" s="30" t="n">
        <v>387</v>
      </c>
      <c r="N214" s="31" t="n">
        <v>-25.78159878540039</v>
      </c>
      <c r="O214" s="32" t="n">
        <v>-70.71720123291016</v>
      </c>
      <c r="P214" s="32" t="n">
        <v>-14.38030154418945</v>
      </c>
      <c r="Q214" s="33" t="n">
        <v>79.76229202493084</v>
      </c>
      <c r="R214" s="32" t="n">
        <v>-45.43210003662109</v>
      </c>
      <c r="S214" s="32" t="n">
        <v>-87.94879913330078</v>
      </c>
      <c r="T214" s="32" t="n">
        <v>-34.78890139770508</v>
      </c>
      <c r="U214" s="34" t="n">
        <v>79.97889557302635</v>
      </c>
      <c r="V214" s="20">
        <f>IFERROR(BDP(E214&amp;" Corp","LAST_PRICE"),"--")</f>
        <v/>
      </c>
      <c r="W214" s="21">
        <f>IFERROR(BDP(E214&amp;" Corp","YAS_BENCHMARK_BOND_ISIN"),"--")</f>
        <v/>
      </c>
      <c r="X214" s="22">
        <f>IFERROR(BDP(W214&amp;" CORP","LAST_PRICE"),"--")</f>
        <v/>
      </c>
      <c r="Y214" s="23">
        <f>IFERROR(BDP(E214&amp;" Corp","YAS_YLD_SPREAD","YAS_BOND_PX="&amp;V214,"YAS_BNCHMRK_BOND_PX="&amp;X214),"--")</f>
        <v/>
      </c>
      <c r="Z214" s="23">
        <f>IFERROR(BDP(E214&amp;" Corp","BLOOMBERG_MID_G_SPREAD","YAS_BOND_PX="&amp;V214,"YAS_BNCHMRK_BOND_PX="&amp;X214),"--")</f>
        <v/>
      </c>
      <c r="AA214" s="23">
        <f>IFERROR(BDP(D214,"LAST_PRICE"),"--")</f>
        <v/>
      </c>
      <c r="AB214" s="24" t="n"/>
      <c r="AC214" s="23">
        <f>IFERROR(IF(ISBLANK(AB214),AA214,AB214),"--")</f>
        <v/>
      </c>
      <c r="AD214" s="23">
        <f>IFERROR(MAX(-500,MIN(500,AC214-Z214)),"--")</f>
        <v/>
      </c>
      <c r="AE214" s="25">
        <f>IFERROR((AD214-S214)/(T214-S214)*100,"--")</f>
        <v/>
      </c>
    </row>
    <row r="215">
      <c r="A215" s="11" t="inlineStr">
        <is>
          <t>MPC</t>
        </is>
      </c>
      <c r="B215" s="12" t="inlineStr">
        <is>
          <t>IG</t>
        </is>
      </c>
      <c r="C215" s="11" t="inlineStr">
        <is>
          <t>MPC 5.7 03/01/35</t>
        </is>
      </c>
      <c r="D215" s="12" t="inlineStr">
        <is>
          <t>MPC CDS USD SR 5Y D14 Corp</t>
        </is>
      </c>
      <c r="E215" s="12" t="inlineStr">
        <is>
          <t>US56585ABL52</t>
        </is>
      </c>
      <c r="F215" s="13" t="n">
        <v>45736</v>
      </c>
      <c r="G215" s="13" t="n">
        <v>46225</v>
      </c>
      <c r="H215" s="13" t="n">
        <v>49480</v>
      </c>
      <c r="I215" s="14" t="n">
        <v>89.50959777832031</v>
      </c>
      <c r="J215" s="14" t="n">
        <v>52.375</v>
      </c>
      <c r="K215" s="14" t="n">
        <v>89.94</v>
      </c>
      <c r="L215" s="14" t="n">
        <v>83.679</v>
      </c>
      <c r="M215" s="15" t="n">
        <v>336</v>
      </c>
      <c r="N215" s="16" t="n">
        <v>-0.4304022216796852</v>
      </c>
      <c r="O215" s="17" t="n">
        <v>-60.15219323730469</v>
      </c>
      <c r="P215" s="17" t="n">
        <v>4.771400939941401</v>
      </c>
      <c r="Q215" s="18" t="n">
        <v>91.9878077799886</v>
      </c>
      <c r="R215" s="17" t="n">
        <v>-37.565</v>
      </c>
      <c r="S215" s="17" t="n">
        <v>-88.78019921875</v>
      </c>
      <c r="T215" s="17" t="n">
        <v>-33.06790124511718</v>
      </c>
      <c r="U215" s="19" t="n">
        <v>91.92799629803248</v>
      </c>
      <c r="V215" s="20">
        <f>IFERROR(BDP(E215&amp;" Corp","LAST_PRICE"),"--")</f>
        <v/>
      </c>
      <c r="W215" s="21">
        <f>IFERROR(BDP(E215&amp;" Corp","YAS_BENCHMARK_BOND_ISIN"),"--")</f>
        <v/>
      </c>
      <c r="X215" s="22">
        <f>IFERROR(BDP(W215&amp;" CORP","LAST_PRICE"),"--")</f>
        <v/>
      </c>
      <c r="Y215" s="23">
        <f>IFERROR(BDP(E215&amp;" Corp","YAS_YLD_SPREAD","YAS_BOND_PX="&amp;V215,"YAS_BNCHMRK_BOND_PX="&amp;X215),"--")</f>
        <v/>
      </c>
      <c r="Z215" s="23">
        <f>IFERROR(BDP(E215&amp;" Corp","BLOOMBERG_MID_G_SPREAD","YAS_BOND_PX="&amp;V215,"YAS_BNCHMRK_BOND_PX="&amp;X215),"--")</f>
        <v/>
      </c>
      <c r="AA215" s="23">
        <f>IFERROR(BDP(D215,"LAST_PRICE"),"--")</f>
        <v/>
      </c>
      <c r="AB215" s="24" t="n"/>
      <c r="AC215" s="23">
        <f>IFERROR(IF(ISBLANK(AB215),AA215,AB215),"--")</f>
        <v/>
      </c>
      <c r="AD215" s="23">
        <f>IFERROR(MAX(-500,MIN(500,AC215-Z215)),"--")</f>
        <v/>
      </c>
      <c r="AE215" s="25">
        <f>IFERROR((AD215-S215)/(T215-S215)*100,"--")</f>
        <v/>
      </c>
    </row>
    <row r="216">
      <c r="A216" s="26" t="inlineStr">
        <is>
          <t>MSFT</t>
        </is>
      </c>
      <c r="B216" s="27" t="inlineStr">
        <is>
          <t>IG</t>
        </is>
      </c>
      <c r="C216" s="26" t="inlineStr">
        <is>
          <t>MSFT 3 1/2 02/12/35</t>
        </is>
      </c>
      <c r="D216" s="27" t="inlineStr">
        <is>
          <t>MSFT CDS USD SR 5Y D14 Corp</t>
        </is>
      </c>
      <c r="E216" s="27" t="inlineStr">
        <is>
          <t>US594918BC73</t>
        </is>
      </c>
      <c r="F216" s="28" t="n">
        <v>46099</v>
      </c>
      <c r="G216" s="28" t="n">
        <v>46225</v>
      </c>
      <c r="H216" s="28" t="n">
        <v>49480</v>
      </c>
      <c r="I216" s="29" t="n">
        <v>64.54239654541016</v>
      </c>
      <c r="J216" s="29" t="n">
        <v>47.7401008605957</v>
      </c>
      <c r="K216" s="29" t="n">
        <v>32.313</v>
      </c>
      <c r="L216" s="29" t="n">
        <v>31.611</v>
      </c>
      <c r="M216" s="30" t="n">
        <v>88</v>
      </c>
      <c r="N216" s="31" t="n">
        <v>32.22939654541015</v>
      </c>
      <c r="O216" s="32" t="n">
        <v>29.3175002746582</v>
      </c>
      <c r="P216" s="32" t="n">
        <v>47.60719967651367</v>
      </c>
      <c r="Q216" s="33" t="n">
        <v>15.92096297906646</v>
      </c>
      <c r="R216" s="32" t="n">
        <v>15.4271008605957</v>
      </c>
      <c r="S216" s="32" t="n">
        <v>15.11540103149414</v>
      </c>
      <c r="T216" s="32" t="n">
        <v>31.9897985534668</v>
      </c>
      <c r="U216" s="34" t="n">
        <v>1.847176047000728</v>
      </c>
      <c r="V216" s="20">
        <f>IFERROR(BDP(E216&amp;" Corp","LAST_PRICE"),"--")</f>
        <v/>
      </c>
      <c r="W216" s="21">
        <f>IFERROR(BDP(E216&amp;" Corp","YAS_BENCHMARK_BOND_ISIN"),"--")</f>
        <v/>
      </c>
      <c r="X216" s="22">
        <f>IFERROR(BDP(W216&amp;" CORP","LAST_PRICE"),"--")</f>
        <v/>
      </c>
      <c r="Y216" s="23">
        <f>IFERROR(BDP(E216&amp;" Corp","YAS_YLD_SPREAD","YAS_BOND_PX="&amp;V216,"YAS_BNCHMRK_BOND_PX="&amp;X216),"--")</f>
        <v/>
      </c>
      <c r="Z216" s="23">
        <f>IFERROR(BDP(E216&amp;" Corp","BLOOMBERG_MID_G_SPREAD","YAS_BOND_PX="&amp;V216,"YAS_BNCHMRK_BOND_PX="&amp;X216),"--")</f>
        <v/>
      </c>
      <c r="AA216" s="23">
        <f>IFERROR(BDP(D216,"LAST_PRICE"),"--")</f>
        <v/>
      </c>
      <c r="AB216" s="24" t="n"/>
      <c r="AC216" s="23">
        <f>IFERROR(IF(ISBLANK(AB216),AA216,AB216),"--")</f>
        <v/>
      </c>
      <c r="AD216" s="23">
        <f>IFERROR(MAX(-500,MIN(500,AC216-Z216)),"--")</f>
        <v/>
      </c>
      <c r="AE216" s="25">
        <f>IFERROR((AD216-S216)/(T216-S216)*100,"--")</f>
        <v/>
      </c>
    </row>
    <row r="217">
      <c r="A217" s="11" t="inlineStr">
        <is>
          <t>MSI</t>
        </is>
      </c>
      <c r="B217" s="12" t="inlineStr">
        <is>
          <t>IG</t>
        </is>
      </c>
      <c r="C217" s="11" t="inlineStr">
        <is>
          <t>MSI 5.6 06/01/32</t>
        </is>
      </c>
      <c r="D217" s="12" t="inlineStr">
        <is>
          <t>MSI CDS USD SR 5Y D14 Corp</t>
        </is>
      </c>
      <c r="E217" s="12" t="inlineStr">
        <is>
          <t>US620076BW88</t>
        </is>
      </c>
      <c r="F217" s="13" t="n">
        <v>45659</v>
      </c>
      <c r="G217" s="13" t="n">
        <v>46225</v>
      </c>
      <c r="H217" s="13" t="n">
        <v>48385</v>
      </c>
      <c r="I217" s="14" t="n">
        <v>43.652099609375</v>
      </c>
      <c r="J217" s="14" t="n">
        <v>36.62459945678711</v>
      </c>
      <c r="K217" s="14" t="n">
        <v>78.23699999999999</v>
      </c>
      <c r="L217" s="14" t="n">
        <v>83.749</v>
      </c>
      <c r="M217" s="15" t="n">
        <v>389</v>
      </c>
      <c r="N217" s="16" t="n">
        <v>-34.58490039062499</v>
      </c>
      <c r="O217" s="17" t="n">
        <v>-61.4108013305664</v>
      </c>
      <c r="P217" s="17" t="n">
        <v>-11.69469882202148</v>
      </c>
      <c r="Q217" s="18" t="n">
        <v>53.9581736829244</v>
      </c>
      <c r="R217" s="17" t="n">
        <v>-41.61240054321289</v>
      </c>
      <c r="S217" s="17" t="n">
        <v>-68.45740167236328</v>
      </c>
      <c r="T217" s="17" t="n">
        <v>-21.06829971313476</v>
      </c>
      <c r="U217" s="19" t="n">
        <v>56.64804779851419</v>
      </c>
      <c r="V217" s="20">
        <f>IFERROR(BDP(E217&amp;" Corp","LAST_PRICE"),"--")</f>
        <v/>
      </c>
      <c r="W217" s="21">
        <f>IFERROR(BDP(E217&amp;" Corp","YAS_BENCHMARK_BOND_ISIN"),"--")</f>
        <v/>
      </c>
      <c r="X217" s="22">
        <f>IFERROR(BDP(W217&amp;" CORP","LAST_PRICE"),"--")</f>
        <v/>
      </c>
      <c r="Y217" s="23">
        <f>IFERROR(BDP(E217&amp;" Corp","YAS_YLD_SPREAD","YAS_BOND_PX="&amp;V217,"YAS_BNCHMRK_BOND_PX="&amp;X217),"--")</f>
        <v/>
      </c>
      <c r="Z217" s="23">
        <f>IFERROR(BDP(E217&amp;" Corp","BLOOMBERG_MID_G_SPREAD","YAS_BOND_PX="&amp;V217,"YAS_BNCHMRK_BOND_PX="&amp;X217),"--")</f>
        <v/>
      </c>
      <c r="AA217" s="23">
        <f>IFERROR(BDP(D217,"LAST_PRICE"),"--")</f>
        <v/>
      </c>
      <c r="AB217" s="24" t="n"/>
      <c r="AC217" s="23">
        <f>IFERROR(IF(ISBLANK(AB217),AA217,AB217),"--")</f>
        <v/>
      </c>
      <c r="AD217" s="23">
        <f>IFERROR(MAX(-500,MIN(500,AC217-Z217)),"--")</f>
        <v/>
      </c>
      <c r="AE217" s="25">
        <f>IFERROR((AD217-S217)/(T217-S217)*100,"--")</f>
        <v/>
      </c>
    </row>
    <row r="218">
      <c r="A218" s="26" t="inlineStr">
        <is>
          <t>NEE</t>
        </is>
      </c>
      <c r="B218" s="27" t="inlineStr">
        <is>
          <t>IG</t>
        </is>
      </c>
      <c r="C218" s="26" t="inlineStr">
        <is>
          <t>NEE 5 1/4 03/15/34</t>
        </is>
      </c>
      <c r="D218" s="27" t="inlineStr">
        <is>
          <t>FPL CDS USD SR 5Y D14 Corp</t>
        </is>
      </c>
      <c r="E218" s="27" t="inlineStr">
        <is>
          <t>US65339KCU25</t>
        </is>
      </c>
      <c r="F218" s="28" t="n">
        <v>45659</v>
      </c>
      <c r="G218" s="28" t="n">
        <v>46225</v>
      </c>
      <c r="H218" s="28" t="n">
        <v>49115</v>
      </c>
      <c r="I218" s="29" t="n">
        <v>81.57309722900391</v>
      </c>
      <c r="J218" s="29" t="n">
        <v>54.29119873046875</v>
      </c>
      <c r="K218" s="29" t="n">
        <v>70.04300000000001</v>
      </c>
      <c r="L218" s="29" t="n">
        <v>62.027</v>
      </c>
      <c r="M218" s="30" t="n">
        <v>389</v>
      </c>
      <c r="N218" s="31" t="n">
        <v>11.5300972290039</v>
      </c>
      <c r="O218" s="32" t="n">
        <v>-17.88439672851561</v>
      </c>
      <c r="P218" s="32" t="n">
        <v>21.04270172119141</v>
      </c>
      <c r="Q218" s="33" t="n">
        <v>75.56302711727258</v>
      </c>
      <c r="R218" s="32" t="n">
        <v>-15.75180126953126</v>
      </c>
      <c r="S218" s="32" t="n">
        <v>-39.34519689941405</v>
      </c>
      <c r="T218" s="32" t="n">
        <v>-3.711798583984375</v>
      </c>
      <c r="U218" s="34" t="n">
        <v>66.21146661632488</v>
      </c>
      <c r="V218" s="20">
        <f>IFERROR(BDP(E218&amp;" Corp","LAST_PRICE"),"--")</f>
        <v/>
      </c>
      <c r="W218" s="21">
        <f>IFERROR(BDP(E218&amp;" Corp","YAS_BENCHMARK_BOND_ISIN"),"--")</f>
        <v/>
      </c>
      <c r="X218" s="22">
        <f>IFERROR(BDP(W218&amp;" CORP","LAST_PRICE"),"--")</f>
        <v/>
      </c>
      <c r="Y218" s="23">
        <f>IFERROR(BDP(E218&amp;" Corp","YAS_YLD_SPREAD","YAS_BOND_PX="&amp;V218,"YAS_BNCHMRK_BOND_PX="&amp;X218),"--")</f>
        <v/>
      </c>
      <c r="Z218" s="23">
        <f>IFERROR(BDP(E218&amp;" Corp","BLOOMBERG_MID_G_SPREAD","YAS_BOND_PX="&amp;V218,"YAS_BNCHMRK_BOND_PX="&amp;X218),"--")</f>
        <v/>
      </c>
      <c r="AA218" s="23">
        <f>IFERROR(BDP(D218,"LAST_PRICE"),"--")</f>
        <v/>
      </c>
      <c r="AB218" s="24" t="n"/>
      <c r="AC218" s="23">
        <f>IFERROR(IF(ISBLANK(AB218),AA218,AB218),"--")</f>
        <v/>
      </c>
      <c r="AD218" s="23">
        <f>IFERROR(MAX(-500,MIN(500,AC218-Z218)),"--")</f>
        <v/>
      </c>
      <c r="AE218" s="25">
        <f>IFERROR((AD218-S218)/(T218-S218)*100,"--")</f>
        <v/>
      </c>
    </row>
    <row r="219">
      <c r="A219" s="11" t="inlineStr">
        <is>
          <t>NEM</t>
        </is>
      </c>
      <c r="B219" s="12" t="inlineStr">
        <is>
          <t>IG</t>
        </is>
      </c>
      <c r="C219" s="11" t="inlineStr">
        <is>
          <t>NEM 5.35 03/15/34</t>
        </is>
      </c>
      <c r="D219" s="12" t="inlineStr">
        <is>
          <t>NEWMONT CDS USD SR 5Y D14 Corp</t>
        </is>
      </c>
      <c r="E219" s="12" t="inlineStr">
        <is>
          <t>US65163LAR06</t>
        </is>
      </c>
      <c r="F219" s="13" t="n">
        <v>45659</v>
      </c>
      <c r="G219" s="13" t="n">
        <v>46225</v>
      </c>
      <c r="H219" s="13" t="n">
        <v>49115</v>
      </c>
      <c r="I219" s="14" t="n">
        <v>49.37839889526367</v>
      </c>
      <c r="J219" s="14" t="n">
        <v>27.55870056152344</v>
      </c>
      <c r="K219" s="14" t="n">
        <v>63.408</v>
      </c>
      <c r="L219" s="14" t="n">
        <v>53.282</v>
      </c>
      <c r="M219" s="15" t="n">
        <v>389</v>
      </c>
      <c r="N219" s="16" t="n">
        <v>-14.02960110473633</v>
      </c>
      <c r="O219" s="17" t="n">
        <v>-31.14379815673828</v>
      </c>
      <c r="P219" s="17" t="n">
        <v>6.702097839355474</v>
      </c>
      <c r="Q219" s="18" t="n">
        <v>45.2207474590333</v>
      </c>
      <c r="R219" s="17" t="n">
        <v>-35.84929943847656</v>
      </c>
      <c r="S219" s="17" t="n">
        <v>-59.65340039062499</v>
      </c>
      <c r="T219" s="17" t="n">
        <v>-18.27200048828125</v>
      </c>
      <c r="U219" s="19" t="n">
        <v>57.52367249132193</v>
      </c>
      <c r="V219" s="20">
        <f>IFERROR(BDP(E219&amp;" Corp","LAST_PRICE"),"--")</f>
        <v/>
      </c>
      <c r="W219" s="21">
        <f>IFERROR(BDP(E219&amp;" Corp","YAS_BENCHMARK_BOND_ISIN"),"--")</f>
        <v/>
      </c>
      <c r="X219" s="22">
        <f>IFERROR(BDP(W219&amp;" CORP","LAST_PRICE"),"--")</f>
        <v/>
      </c>
      <c r="Y219" s="23">
        <f>IFERROR(BDP(E219&amp;" Corp","YAS_YLD_SPREAD","YAS_BOND_PX="&amp;V219,"YAS_BNCHMRK_BOND_PX="&amp;X219),"--")</f>
        <v/>
      </c>
      <c r="Z219" s="23">
        <f>IFERROR(BDP(E219&amp;" Corp","BLOOMBERG_MID_G_SPREAD","YAS_BOND_PX="&amp;V219,"YAS_BNCHMRK_BOND_PX="&amp;X219),"--")</f>
        <v/>
      </c>
      <c r="AA219" s="23">
        <f>IFERROR(BDP(D219,"LAST_PRICE"),"--")</f>
        <v/>
      </c>
      <c r="AB219" s="24" t="n"/>
      <c r="AC219" s="23">
        <f>IFERROR(IF(ISBLANK(AB219),AA219,AB219),"--")</f>
        <v/>
      </c>
      <c r="AD219" s="23">
        <f>IFERROR(MAX(-500,MIN(500,AC219-Z219)),"--")</f>
        <v/>
      </c>
      <c r="AE219" s="25">
        <f>IFERROR((AD219-S219)/(T219-S219)*100,"--")</f>
        <v/>
      </c>
    </row>
    <row r="220">
      <c r="A220" s="26" t="inlineStr">
        <is>
          <t>NFLX</t>
        </is>
      </c>
      <c r="B220" s="27" t="inlineStr">
        <is>
          <t>IG</t>
        </is>
      </c>
      <c r="C220" s="26" t="inlineStr">
        <is>
          <t>NFLX 4.9 08/15/34</t>
        </is>
      </c>
      <c r="D220" s="27" t="inlineStr">
        <is>
          <t>NFLX CDS USD SR 5Y D14 Corp</t>
        </is>
      </c>
      <c r="E220" s="27" t="inlineStr">
        <is>
          <t>US64110LAZ94</t>
        </is>
      </c>
      <c r="F220" s="28" t="n">
        <v>45659</v>
      </c>
      <c r="G220" s="28" t="n">
        <v>46225</v>
      </c>
      <c r="H220" s="28" t="n">
        <v>49298</v>
      </c>
      <c r="I220" s="29" t="n">
        <v>57.40390014648438</v>
      </c>
      <c r="J220" s="29" t="n">
        <v>41.11989974975586</v>
      </c>
      <c r="K220" s="29" t="n">
        <v>62.753</v>
      </c>
      <c r="L220" s="29" t="n">
        <v>55.139</v>
      </c>
      <c r="M220" s="30" t="n">
        <v>388</v>
      </c>
      <c r="N220" s="31" t="n">
        <v>-5.349099853515625</v>
      </c>
      <c r="O220" s="32" t="n">
        <v>-23.62929864501953</v>
      </c>
      <c r="P220" s="32" t="n">
        <v>20.34780236816406</v>
      </c>
      <c r="Q220" s="33" t="n">
        <v>41.56753940198061</v>
      </c>
      <c r="R220" s="32" t="n">
        <v>-21.63310025024414</v>
      </c>
      <c r="S220" s="32" t="n">
        <v>-36.04890008544922</v>
      </c>
      <c r="T220" s="32" t="n">
        <v>5.597600830078122</v>
      </c>
      <c r="U220" s="34" t="n">
        <v>34.61467234533103</v>
      </c>
      <c r="V220" s="20">
        <f>IFERROR(BDP(E220&amp;" Corp","LAST_PRICE"),"--")</f>
        <v/>
      </c>
      <c r="W220" s="21">
        <f>IFERROR(BDP(E220&amp;" Corp","YAS_BENCHMARK_BOND_ISIN"),"--")</f>
        <v/>
      </c>
      <c r="X220" s="22">
        <f>IFERROR(BDP(W220&amp;" CORP","LAST_PRICE"),"--")</f>
        <v/>
      </c>
      <c r="Y220" s="23">
        <f>IFERROR(BDP(E220&amp;" Corp","YAS_YLD_SPREAD","YAS_BOND_PX="&amp;V220,"YAS_BNCHMRK_BOND_PX="&amp;X220),"--")</f>
        <v/>
      </c>
      <c r="Z220" s="23">
        <f>IFERROR(BDP(E220&amp;" Corp","BLOOMBERG_MID_G_SPREAD","YAS_BOND_PX="&amp;V220,"YAS_BNCHMRK_BOND_PX="&amp;X220),"--")</f>
        <v/>
      </c>
      <c r="AA220" s="23">
        <f>IFERROR(BDP(D220,"LAST_PRICE"),"--")</f>
        <v/>
      </c>
      <c r="AB220" s="24" t="n"/>
      <c r="AC220" s="23">
        <f>IFERROR(IF(ISBLANK(AB220),AA220,AB220),"--")</f>
        <v/>
      </c>
      <c r="AD220" s="23">
        <f>IFERROR(MAX(-500,MIN(500,AC220-Z220)),"--")</f>
        <v/>
      </c>
      <c r="AE220" s="25">
        <f>IFERROR((AD220-S220)/(T220-S220)*100,"--")</f>
        <v/>
      </c>
    </row>
    <row r="221">
      <c r="A221" s="11" t="inlineStr">
        <is>
          <t>NOC</t>
        </is>
      </c>
      <c r="B221" s="12" t="inlineStr">
        <is>
          <t>IG</t>
        </is>
      </c>
      <c r="C221" s="11" t="inlineStr">
        <is>
          <t>NOC 4.7 03/15/33</t>
        </is>
      </c>
      <c r="D221" s="12" t="inlineStr">
        <is>
          <t>NOC CDS USD SR 5Y D14 Corp</t>
        </is>
      </c>
      <c r="E221" s="12" t="inlineStr">
        <is>
          <t>US666807CH36</t>
        </is>
      </c>
      <c r="F221" s="13" t="n">
        <v>45659</v>
      </c>
      <c r="G221" s="13" t="n">
        <v>46225</v>
      </c>
      <c r="H221" s="13" t="n">
        <v>48750</v>
      </c>
      <c r="I221" s="14" t="n">
        <v>26.04019927978516</v>
      </c>
      <c r="J221" s="14" t="n">
        <v>19.52149963378906</v>
      </c>
      <c r="K221" s="14" t="n">
        <v>57.577</v>
      </c>
      <c r="L221" s="14" t="n">
        <v>43.094</v>
      </c>
      <c r="M221" s="15" t="n">
        <v>386</v>
      </c>
      <c r="N221" s="16" t="n">
        <v>-31.53680072021484</v>
      </c>
      <c r="O221" s="17" t="n">
        <v>-50.12119873046875</v>
      </c>
      <c r="P221" s="17" t="n">
        <v>-16.18809934997559</v>
      </c>
      <c r="Q221" s="18" t="n">
        <v>54.76775876517005</v>
      </c>
      <c r="R221" s="17" t="n">
        <v>-38.05550036621094</v>
      </c>
      <c r="S221" s="17" t="n">
        <v>-58.84219940185547</v>
      </c>
      <c r="T221" s="17" t="n">
        <v>-24.18289991760254</v>
      </c>
      <c r="U221" s="19" t="n">
        <v>59.97437728102017</v>
      </c>
      <c r="V221" s="20">
        <f>IFERROR(BDP(E221&amp;" Corp","LAST_PRICE"),"--")</f>
        <v/>
      </c>
      <c r="W221" s="21">
        <f>IFERROR(BDP(E221&amp;" Corp","YAS_BENCHMARK_BOND_ISIN"),"--")</f>
        <v/>
      </c>
      <c r="X221" s="22">
        <f>IFERROR(BDP(W221&amp;" CORP","LAST_PRICE"),"--")</f>
        <v/>
      </c>
      <c r="Y221" s="23">
        <f>IFERROR(BDP(E221&amp;" Corp","YAS_YLD_SPREAD","YAS_BOND_PX="&amp;V221,"YAS_BNCHMRK_BOND_PX="&amp;X221),"--")</f>
        <v/>
      </c>
      <c r="Z221" s="23">
        <f>IFERROR(BDP(E221&amp;" Corp","BLOOMBERG_MID_G_SPREAD","YAS_BOND_PX="&amp;V221,"YAS_BNCHMRK_BOND_PX="&amp;X221),"--")</f>
        <v/>
      </c>
      <c r="AA221" s="23">
        <f>IFERROR(BDP(D221,"LAST_PRICE"),"--")</f>
        <v/>
      </c>
      <c r="AB221" s="24" t="n"/>
      <c r="AC221" s="23">
        <f>IFERROR(IF(ISBLANK(AB221),AA221,AB221),"--")</f>
        <v/>
      </c>
      <c r="AD221" s="23">
        <f>IFERROR(MAX(-500,MIN(500,AC221-Z221)),"--")</f>
        <v/>
      </c>
      <c r="AE221" s="25">
        <f>IFERROR((AD221-S221)/(T221-S221)*100,"--")</f>
        <v/>
      </c>
    </row>
    <row r="222">
      <c r="A222" s="26" t="inlineStr">
        <is>
          <t>OMC</t>
        </is>
      </c>
      <c r="B222" s="27" t="inlineStr">
        <is>
          <t>IG</t>
        </is>
      </c>
      <c r="C222" s="26" t="inlineStr">
        <is>
          <t>OMC 5 06/02/33</t>
        </is>
      </c>
      <c r="D222" s="27" t="inlineStr">
        <is>
          <t>OMC CDS USD SR 5Y D14 Corp</t>
        </is>
      </c>
      <c r="E222" s="27" t="inlineStr">
        <is>
          <t>US681919BW57</t>
        </is>
      </c>
      <c r="F222" s="28" t="n">
        <v>46078</v>
      </c>
      <c r="G222" s="28" t="n">
        <v>46225</v>
      </c>
      <c r="H222" s="28" t="n">
        <v>48750</v>
      </c>
      <c r="I222" s="29" t="n">
        <v>73.49030303955078</v>
      </c>
      <c r="J222" s="29" t="n">
        <v>58.62400054931641</v>
      </c>
      <c r="K222" s="29" t="n">
        <v>100.907</v>
      </c>
      <c r="L222" s="29" t="n">
        <v>102.966</v>
      </c>
      <c r="M222" s="30" t="n">
        <v>103</v>
      </c>
      <c r="N222" s="31" t="n">
        <v>-27.41669696044922</v>
      </c>
      <c r="O222" s="32" t="n">
        <v>-48.63990246582031</v>
      </c>
      <c r="P222" s="32" t="n">
        <v>-15.53749926757813</v>
      </c>
      <c r="Q222" s="33" t="n">
        <v>64.11379070658562</v>
      </c>
      <c r="R222" s="32" t="n">
        <v>-42.28299945068359</v>
      </c>
      <c r="S222" s="32" t="n">
        <v>-63.79490124511719</v>
      </c>
      <c r="T222" s="32" t="n">
        <v>-30.96160205078125</v>
      </c>
      <c r="U222" s="34" t="n">
        <v>65.51855074662923</v>
      </c>
      <c r="V222" s="20">
        <f>IFERROR(BDP(E222&amp;" Corp","LAST_PRICE"),"--")</f>
        <v/>
      </c>
      <c r="W222" s="21">
        <f>IFERROR(BDP(E222&amp;" Corp","YAS_BENCHMARK_BOND_ISIN"),"--")</f>
        <v/>
      </c>
      <c r="X222" s="22">
        <f>IFERROR(BDP(W222&amp;" CORP","LAST_PRICE"),"--")</f>
        <v/>
      </c>
      <c r="Y222" s="23">
        <f>IFERROR(BDP(E222&amp;" Corp","YAS_YLD_SPREAD","YAS_BOND_PX="&amp;V222,"YAS_BNCHMRK_BOND_PX="&amp;X222),"--")</f>
        <v/>
      </c>
      <c r="Z222" s="23">
        <f>IFERROR(BDP(E222&amp;" Corp","BLOOMBERG_MID_G_SPREAD","YAS_BOND_PX="&amp;V222,"YAS_BNCHMRK_BOND_PX="&amp;X222),"--")</f>
        <v/>
      </c>
      <c r="AA222" s="23">
        <f>IFERROR(BDP(D222,"LAST_PRICE"),"--")</f>
        <v/>
      </c>
      <c r="AB222" s="24" t="n"/>
      <c r="AC222" s="23">
        <f>IFERROR(IF(ISBLANK(AB222),AA222,AB222),"--")</f>
        <v/>
      </c>
      <c r="AD222" s="23">
        <f>IFERROR(MAX(-500,MIN(500,AC222-Z222)),"--")</f>
        <v/>
      </c>
      <c r="AE222" s="25">
        <f>IFERROR((AD222-S222)/(T222-S222)*100,"--")</f>
        <v/>
      </c>
    </row>
    <row r="223">
      <c r="A223" s="11" t="inlineStr">
        <is>
          <t>ORCL</t>
        </is>
      </c>
      <c r="B223" s="12" t="inlineStr">
        <is>
          <t>IG</t>
        </is>
      </c>
      <c r="C223" s="11" t="inlineStr">
        <is>
          <t>ORCL 4.95 02/04/31</t>
        </is>
      </c>
      <c r="D223" s="12" t="inlineStr">
        <is>
          <t>ORCLCP CDS USD SR 5Y D14 Corp</t>
        </is>
      </c>
      <c r="E223" s="12" t="inlineStr">
        <is>
          <t>US68389XDX03</t>
        </is>
      </c>
      <c r="F223" s="13" t="n">
        <v>46056</v>
      </c>
      <c r="G223" s="13" t="n">
        <v>46225</v>
      </c>
      <c r="H223" s="13" t="n">
        <v>48019</v>
      </c>
      <c r="I223" s="14" t="n">
        <v>205.0420074462891</v>
      </c>
      <c r="J223" s="14" t="n">
        <v>205.0420074462891</v>
      </c>
      <c r="K223" s="14" t="n">
        <v>163.562</v>
      </c>
      <c r="L223" s="14" t="n">
        <v>167.556</v>
      </c>
      <c r="M223" s="15" t="n">
        <v>118</v>
      </c>
      <c r="N223" s="16" t="n">
        <v>41.48000744628905</v>
      </c>
      <c r="O223" s="17" t="n">
        <v>17.22380065917969</v>
      </c>
      <c r="P223" s="17" t="n">
        <v>49.24439379882813</v>
      </c>
      <c r="Q223" s="18" t="n">
        <v>75.75189716606128</v>
      </c>
      <c r="R223" s="17" t="n">
        <v>41.48000744628905</v>
      </c>
      <c r="S223" s="17" t="n">
        <v>17.22380065917969</v>
      </c>
      <c r="T223" s="17" t="n">
        <v>49.24439379882813</v>
      </c>
      <c r="U223" s="19" t="n">
        <v>75.75189716606128</v>
      </c>
      <c r="V223" s="20">
        <f>IFERROR(BDP(E223&amp;" Corp","LAST_PRICE"),"--")</f>
        <v/>
      </c>
      <c r="W223" s="21">
        <f>IFERROR(BDP(E223&amp;" Corp","YAS_BENCHMARK_BOND_ISIN"),"--")</f>
        <v/>
      </c>
      <c r="X223" s="22">
        <f>IFERROR(BDP(W223&amp;" CORP","LAST_PRICE"),"--")</f>
        <v/>
      </c>
      <c r="Y223" s="23">
        <f>IFERROR(BDP(E223&amp;" Corp","YAS_YLD_SPREAD","YAS_BOND_PX="&amp;V223,"YAS_BNCHMRK_BOND_PX="&amp;X223),"--")</f>
        <v/>
      </c>
      <c r="Z223" s="23">
        <f>IFERROR(BDP(E223&amp;" Corp","BLOOMBERG_MID_G_SPREAD","YAS_BOND_PX="&amp;V223,"YAS_BNCHMRK_BOND_PX="&amp;X223),"--")</f>
        <v/>
      </c>
      <c r="AA223" s="23">
        <f>IFERROR(BDP(D223,"LAST_PRICE"),"--")</f>
        <v/>
      </c>
      <c r="AB223" s="24" t="n"/>
      <c r="AC223" s="23">
        <f>IFERROR(IF(ISBLANK(AB223),AA223,AB223),"--")</f>
        <v/>
      </c>
      <c r="AD223" s="23">
        <f>IFERROR(MAX(-500,MIN(500,AC223-Z223)),"--")</f>
        <v/>
      </c>
      <c r="AE223" s="25">
        <f>IFERROR((AD223-S223)/(T223-S223)*100,"--")</f>
        <v/>
      </c>
    </row>
    <row r="224">
      <c r="A224" s="26" t="inlineStr">
        <is>
          <t>OVV</t>
        </is>
      </c>
      <c r="B224" s="27" t="inlineStr">
        <is>
          <t>IG</t>
        </is>
      </c>
      <c r="C224" s="26" t="inlineStr">
        <is>
          <t>OVV 6 1/4 07/15/33</t>
        </is>
      </c>
      <c r="D224" s="27" t="inlineStr">
        <is>
          <t>OVV A CDS USD SR 5Y D14 Corp</t>
        </is>
      </c>
      <c r="E224" s="27" t="inlineStr">
        <is>
          <t>US69047QAC69</t>
        </is>
      </c>
      <c r="F224" s="28" t="n">
        <v>45659</v>
      </c>
      <c r="G224" s="28" t="n">
        <v>46225</v>
      </c>
      <c r="H224" s="28" t="n">
        <v>48933</v>
      </c>
      <c r="I224" s="29" t="n">
        <v>104.1857986450195</v>
      </c>
      <c r="J224" s="29" t="n">
        <v>71.33249664306641</v>
      </c>
      <c r="K224" s="29" t="n">
        <v>98.468</v>
      </c>
      <c r="L224" s="29" t="n">
        <v>84.35299999999999</v>
      </c>
      <c r="M224" s="30" t="n">
        <v>389</v>
      </c>
      <c r="N224" s="31" t="n">
        <v>5.717798645019528</v>
      </c>
      <c r="O224" s="32" t="n">
        <v>-40.61630126953128</v>
      </c>
      <c r="P224" s="32" t="n">
        <v>17.81449658203125</v>
      </c>
      <c r="Q224" s="33" t="n">
        <v>79.29739387139271</v>
      </c>
      <c r="R224" s="32" t="n">
        <v>-27.1355033569336</v>
      </c>
      <c r="S224" s="32" t="n">
        <v>-72.29600402832034</v>
      </c>
      <c r="T224" s="32" t="n">
        <v>-11.92039721679687</v>
      </c>
      <c r="U224" s="34" t="n">
        <v>74.79924932657947</v>
      </c>
      <c r="V224" s="20">
        <f>IFERROR(BDP(E224&amp;" Corp","LAST_PRICE"),"--")</f>
        <v/>
      </c>
      <c r="W224" s="21">
        <f>IFERROR(BDP(E224&amp;" Corp","YAS_BENCHMARK_BOND_ISIN"),"--")</f>
        <v/>
      </c>
      <c r="X224" s="22">
        <f>IFERROR(BDP(W224&amp;" CORP","LAST_PRICE"),"--")</f>
        <v/>
      </c>
      <c r="Y224" s="23">
        <f>IFERROR(BDP(E224&amp;" Corp","YAS_YLD_SPREAD","YAS_BOND_PX="&amp;V224,"YAS_BNCHMRK_BOND_PX="&amp;X224),"--")</f>
        <v/>
      </c>
      <c r="Z224" s="23">
        <f>IFERROR(BDP(E224&amp;" Corp","BLOOMBERG_MID_G_SPREAD","YAS_BOND_PX="&amp;V224,"YAS_BNCHMRK_BOND_PX="&amp;X224),"--")</f>
        <v/>
      </c>
      <c r="AA224" s="23">
        <f>IFERROR(BDP(D224,"LAST_PRICE"),"--")</f>
        <v/>
      </c>
      <c r="AB224" s="24" t="n"/>
      <c r="AC224" s="23">
        <f>IFERROR(IF(ISBLANK(AB224),AA224,AB224),"--")</f>
        <v/>
      </c>
      <c r="AD224" s="23">
        <f>IFERROR(MAX(-500,MIN(500,AC224-Z224)),"--")</f>
        <v/>
      </c>
      <c r="AE224" s="25">
        <f>IFERROR((AD224-S224)/(T224-S224)*100,"--")</f>
        <v/>
      </c>
    </row>
    <row r="225">
      <c r="A225" s="11" t="inlineStr">
        <is>
          <t>OXY</t>
        </is>
      </c>
      <c r="B225" s="12" t="inlineStr">
        <is>
          <t>IG</t>
        </is>
      </c>
      <c r="C225" s="11" t="inlineStr">
        <is>
          <t>OXY 5 3/8 01/01/32</t>
        </is>
      </c>
      <c r="D225" s="12" t="inlineStr">
        <is>
          <t>OXY CDS USD SR 5Y D14 Corp</t>
        </is>
      </c>
      <c r="E225" s="12" t="inlineStr">
        <is>
          <t>US674599EK76</t>
        </is>
      </c>
      <c r="F225" s="13" t="n">
        <v>45659</v>
      </c>
      <c r="G225" s="13" t="n">
        <v>46225</v>
      </c>
      <c r="H225" s="13" t="n">
        <v>48385</v>
      </c>
      <c r="I225" s="14" t="n">
        <v>81.43489837646484</v>
      </c>
      <c r="J225" s="14" t="n">
        <v>69.99970245361328</v>
      </c>
      <c r="K225" s="14" t="n">
        <v>73.956</v>
      </c>
      <c r="L225" s="14" t="n">
        <v>77.39100000000001</v>
      </c>
      <c r="M225" s="15" t="n">
        <v>389</v>
      </c>
      <c r="N225" s="16" t="n">
        <v>7.478898376464841</v>
      </c>
      <c r="O225" s="17" t="n">
        <v>-63.10619580078125</v>
      </c>
      <c r="P225" s="17" t="n">
        <v>31.62610095214843</v>
      </c>
      <c r="Q225" s="18" t="n">
        <v>74.51006319559457</v>
      </c>
      <c r="R225" s="17" t="n">
        <v>-3.956297546386722</v>
      </c>
      <c r="S225" s="17" t="n">
        <v>-73.67040478515625</v>
      </c>
      <c r="T225" s="17" t="n">
        <v>18.19310229492187</v>
      </c>
      <c r="U225" s="19" t="n">
        <v>75.8887935532433</v>
      </c>
      <c r="V225" s="20">
        <f>IFERROR(BDP(E225&amp;" Corp","LAST_PRICE"),"--")</f>
        <v/>
      </c>
      <c r="W225" s="21">
        <f>IFERROR(BDP(E225&amp;" Corp","YAS_BENCHMARK_BOND_ISIN"),"--")</f>
        <v/>
      </c>
      <c r="X225" s="22">
        <f>IFERROR(BDP(W225&amp;" CORP","LAST_PRICE"),"--")</f>
        <v/>
      </c>
      <c r="Y225" s="23">
        <f>IFERROR(BDP(E225&amp;" Corp","YAS_YLD_SPREAD","YAS_BOND_PX="&amp;V225,"YAS_BNCHMRK_BOND_PX="&amp;X225),"--")</f>
        <v/>
      </c>
      <c r="Z225" s="23">
        <f>IFERROR(BDP(E225&amp;" Corp","BLOOMBERG_MID_G_SPREAD","YAS_BOND_PX="&amp;V225,"YAS_BNCHMRK_BOND_PX="&amp;X225),"--")</f>
        <v/>
      </c>
      <c r="AA225" s="23">
        <f>IFERROR(BDP(D225,"LAST_PRICE"),"--")</f>
        <v/>
      </c>
      <c r="AB225" s="24" t="n"/>
      <c r="AC225" s="23">
        <f>IFERROR(IF(ISBLANK(AB225),AA225,AB225),"--")</f>
        <v/>
      </c>
      <c r="AD225" s="23">
        <f>IFERROR(MAX(-500,MIN(500,AC225-Z225)),"--")</f>
        <v/>
      </c>
      <c r="AE225" s="25">
        <f>IFERROR((AD225-S225)/(T225-S225)*100,"--")</f>
        <v/>
      </c>
    </row>
    <row r="226">
      <c r="A226" s="26" t="inlineStr">
        <is>
          <t>PFE</t>
        </is>
      </c>
      <c r="B226" s="27" t="inlineStr">
        <is>
          <t>IG</t>
        </is>
      </c>
      <c r="C226" s="26" t="inlineStr">
        <is>
          <t>PFE 4 1/2 11/15/32</t>
        </is>
      </c>
      <c r="D226" s="27" t="inlineStr">
        <is>
          <t>PFIZER CDS USD SR 5Y D14 Corp</t>
        </is>
      </c>
      <c r="E226" s="27" t="inlineStr">
        <is>
          <t>US717081FE83</t>
        </is>
      </c>
      <c r="F226" s="28" t="n">
        <v>45979</v>
      </c>
      <c r="G226" s="28" t="n">
        <v>46225</v>
      </c>
      <c r="H226" s="28" t="n">
        <v>48568</v>
      </c>
      <c r="I226" s="29" t="n">
        <v>38.38090133666992</v>
      </c>
      <c r="J226" s="29" t="n">
        <v>28.785400390625</v>
      </c>
      <c r="K226" s="29" t="n">
        <v>44.79</v>
      </c>
      <c r="L226" s="29" t="n">
        <v>54.213</v>
      </c>
      <c r="M226" s="30" t="n">
        <v>170</v>
      </c>
      <c r="N226" s="31" t="n">
        <v>-6.409098663330077</v>
      </c>
      <c r="O226" s="32" t="n">
        <v>-16.72050015258789</v>
      </c>
      <c r="P226" s="32" t="n">
        <v>-1.02009811401367</v>
      </c>
      <c r="Q226" s="33" t="n">
        <v>65.6760346895818</v>
      </c>
      <c r="R226" s="32" t="n">
        <v>-16.004599609375</v>
      </c>
      <c r="S226" s="32" t="n">
        <v>-24.32409970092773</v>
      </c>
      <c r="T226" s="32" t="n">
        <v>-8.603300476074217</v>
      </c>
      <c r="U226" s="34" t="n">
        <v>52.92033803472389</v>
      </c>
      <c r="V226" s="20">
        <f>IFERROR(BDP(E226&amp;" Corp","LAST_PRICE"),"--")</f>
        <v/>
      </c>
      <c r="W226" s="21">
        <f>IFERROR(BDP(E226&amp;" Corp","YAS_BENCHMARK_BOND_ISIN"),"--")</f>
        <v/>
      </c>
      <c r="X226" s="22">
        <f>IFERROR(BDP(W226&amp;" CORP","LAST_PRICE"),"--")</f>
        <v/>
      </c>
      <c r="Y226" s="23">
        <f>IFERROR(BDP(E226&amp;" Corp","YAS_YLD_SPREAD","YAS_BOND_PX="&amp;V226,"YAS_BNCHMRK_BOND_PX="&amp;X226),"--")</f>
        <v/>
      </c>
      <c r="Z226" s="23">
        <f>IFERROR(BDP(E226&amp;" Corp","BLOOMBERG_MID_G_SPREAD","YAS_BOND_PX="&amp;V226,"YAS_BNCHMRK_BOND_PX="&amp;X226),"--")</f>
        <v/>
      </c>
      <c r="AA226" s="23">
        <f>IFERROR(BDP(D226,"LAST_PRICE"),"--")</f>
        <v/>
      </c>
      <c r="AB226" s="24" t="n"/>
      <c r="AC226" s="23">
        <f>IFERROR(IF(ISBLANK(AB226),AA226,AB226),"--")</f>
        <v/>
      </c>
      <c r="AD226" s="23">
        <f>IFERROR(MAX(-500,MIN(500,AC226-Z226)),"--")</f>
        <v/>
      </c>
      <c r="AE226" s="25">
        <f>IFERROR((AD226-S226)/(T226-S226)*100,"--")</f>
        <v/>
      </c>
    </row>
    <row r="227">
      <c r="A227" s="11" t="inlineStr">
        <is>
          <t>PG</t>
        </is>
      </c>
      <c r="B227" s="12" t="inlineStr">
        <is>
          <t>IG</t>
        </is>
      </c>
      <c r="C227" s="11" t="inlineStr">
        <is>
          <t>PG 4.55 10/24/34</t>
        </is>
      </c>
      <c r="D227" s="12" t="inlineStr">
        <is>
          <t>PROCTER CDS USD SR 5Y D14 Corp</t>
        </is>
      </c>
      <c r="E227" s="12" t="inlineStr">
        <is>
          <t>US742718GL74</t>
        </is>
      </c>
      <c r="F227" s="13" t="n">
        <v>45659</v>
      </c>
      <c r="G227" s="13" t="n">
        <v>46225</v>
      </c>
      <c r="H227" s="13" t="n">
        <v>49298</v>
      </c>
      <c r="I227" s="14" t="n">
        <v>31.81920051574707</v>
      </c>
      <c r="J227" s="14" t="n">
        <v>19.53280067443848</v>
      </c>
      <c r="K227" s="14" t="n">
        <v>17.304</v>
      </c>
      <c r="L227" s="14" t="n">
        <v>11.719</v>
      </c>
      <c r="M227" s="15" t="n">
        <v>389</v>
      </c>
      <c r="N227" s="16" t="n">
        <v>14.51520051574707</v>
      </c>
      <c r="O227" s="17" t="n">
        <v>-12.82439862060547</v>
      </c>
      <c r="P227" s="17" t="n">
        <v>19.11050021362305</v>
      </c>
      <c r="Q227" s="18" t="n">
        <v>85.61041410611693</v>
      </c>
      <c r="R227" s="17" t="n">
        <v>2.228800674438478</v>
      </c>
      <c r="S227" s="17" t="n">
        <v>-25.32949887084961</v>
      </c>
      <c r="T227" s="17" t="n">
        <v>7.226800201416015</v>
      </c>
      <c r="U227" s="19" t="n">
        <v>84.64813363495827</v>
      </c>
      <c r="V227" s="20">
        <f>IFERROR(BDP(E227&amp;" Corp","LAST_PRICE"),"--")</f>
        <v/>
      </c>
      <c r="W227" s="21">
        <f>IFERROR(BDP(E227&amp;" Corp","YAS_BENCHMARK_BOND_ISIN"),"--")</f>
        <v/>
      </c>
      <c r="X227" s="22">
        <f>IFERROR(BDP(W227&amp;" CORP","LAST_PRICE"),"--")</f>
        <v/>
      </c>
      <c r="Y227" s="23">
        <f>IFERROR(BDP(E227&amp;" Corp","YAS_YLD_SPREAD","YAS_BOND_PX="&amp;V227,"YAS_BNCHMRK_BOND_PX="&amp;X227),"--")</f>
        <v/>
      </c>
      <c r="Z227" s="23">
        <f>IFERROR(BDP(E227&amp;" Corp","BLOOMBERG_MID_G_SPREAD","YAS_BOND_PX="&amp;V227,"YAS_BNCHMRK_BOND_PX="&amp;X227),"--")</f>
        <v/>
      </c>
      <c r="AA227" s="23">
        <f>IFERROR(BDP(D227,"LAST_PRICE"),"--")</f>
        <v/>
      </c>
      <c r="AB227" s="24" t="n"/>
      <c r="AC227" s="23">
        <f>IFERROR(IF(ISBLANK(AB227),AA227,AB227),"--")</f>
        <v/>
      </c>
      <c r="AD227" s="23">
        <f>IFERROR(MAX(-500,MIN(500,AC227-Z227)),"--")</f>
        <v/>
      </c>
      <c r="AE227" s="25">
        <f>IFERROR((AD227-S227)/(T227-S227)*100,"--")</f>
        <v/>
      </c>
    </row>
    <row r="228">
      <c r="A228" s="26" t="inlineStr">
        <is>
          <t>PHM</t>
        </is>
      </c>
      <c r="B228" s="27" t="inlineStr">
        <is>
          <t>IG</t>
        </is>
      </c>
      <c r="C228" s="26" t="inlineStr">
        <is>
          <t>PHM 7 7/8 06/15/32</t>
        </is>
      </c>
      <c r="D228" s="27" t="inlineStr">
        <is>
          <t>PULTE CDS USD SR 5Y D14 Corp</t>
        </is>
      </c>
      <c r="E228" s="27" t="inlineStr">
        <is>
          <t>US745867AM30</t>
        </is>
      </c>
      <c r="F228" s="28" t="n">
        <v>45659</v>
      </c>
      <c r="G228" s="28" t="n">
        <v>46225</v>
      </c>
      <c r="H228" s="28" t="n">
        <v>48385</v>
      </c>
      <c r="I228" s="29" t="n">
        <v>73.45529937744141</v>
      </c>
      <c r="J228" s="29" t="n">
        <v>61.19559860229492</v>
      </c>
      <c r="K228" s="29" t="n">
        <v>73.831</v>
      </c>
      <c r="L228" s="29" t="n">
        <v>80.044</v>
      </c>
      <c r="M228" s="30" t="n">
        <v>389</v>
      </c>
      <c r="N228" s="31" t="n">
        <v>-0.3757006225585968</v>
      </c>
      <c r="O228" s="32" t="n">
        <v>-35.0336990966797</v>
      </c>
      <c r="P228" s="32" t="n">
        <v>19.99220153808594</v>
      </c>
      <c r="Q228" s="33" t="n">
        <v>62.9848817998701</v>
      </c>
      <c r="R228" s="32" t="n">
        <v>-12.63540139770508</v>
      </c>
      <c r="S228" s="32" t="n">
        <v>-43.4253006591797</v>
      </c>
      <c r="T228" s="32" t="n">
        <v>11.71230194091797</v>
      </c>
      <c r="U228" s="34" t="n">
        <v>55.84192603510127</v>
      </c>
      <c r="V228" s="20">
        <f>IFERROR(BDP(E228&amp;" Corp","LAST_PRICE"),"--")</f>
        <v/>
      </c>
      <c r="W228" s="21">
        <f>IFERROR(BDP(E228&amp;" Corp","YAS_BENCHMARK_BOND_ISIN"),"--")</f>
        <v/>
      </c>
      <c r="X228" s="22">
        <f>IFERROR(BDP(W228&amp;" CORP","LAST_PRICE"),"--")</f>
        <v/>
      </c>
      <c r="Y228" s="23">
        <f>IFERROR(BDP(E228&amp;" Corp","YAS_YLD_SPREAD","YAS_BOND_PX="&amp;V228,"YAS_BNCHMRK_BOND_PX="&amp;X228),"--")</f>
        <v/>
      </c>
      <c r="Z228" s="23">
        <f>IFERROR(BDP(E228&amp;" Corp","BLOOMBERG_MID_G_SPREAD","YAS_BOND_PX="&amp;V228,"YAS_BNCHMRK_BOND_PX="&amp;X228),"--")</f>
        <v/>
      </c>
      <c r="AA228" s="23">
        <f>IFERROR(BDP(D228,"LAST_PRICE"),"--")</f>
        <v/>
      </c>
      <c r="AB228" s="24" t="n"/>
      <c r="AC228" s="23">
        <f>IFERROR(IF(ISBLANK(AB228),AA228,AB228),"--")</f>
        <v/>
      </c>
      <c r="AD228" s="23">
        <f>IFERROR(MAX(-500,MIN(500,AC228-Z228)),"--")</f>
        <v/>
      </c>
      <c r="AE228" s="25">
        <f>IFERROR((AD228-S228)/(T228-S228)*100,"--")</f>
        <v/>
      </c>
    </row>
    <row r="229">
      <c r="A229" s="11" t="inlineStr">
        <is>
          <t>PNC</t>
        </is>
      </c>
      <c r="B229" s="12" t="inlineStr">
        <is>
          <t>IG</t>
        </is>
      </c>
      <c r="C229" s="11" t="inlineStr">
        <is>
          <t>PNC 5.222 01/29/31</t>
        </is>
      </c>
      <c r="D229" s="12" t="inlineStr">
        <is>
          <t>PNC CDS USD SR 5Y D14 Corp</t>
        </is>
      </c>
      <c r="E229" s="12" t="inlineStr">
        <is>
          <t>US693475CB94</t>
        </is>
      </c>
      <c r="F229" s="13" t="n">
        <v>46044</v>
      </c>
      <c r="G229" s="13" t="n">
        <v>46225</v>
      </c>
      <c r="H229" s="13" t="n">
        <v>48019</v>
      </c>
      <c r="I229" s="14" t="n">
        <v>47.52009963989258</v>
      </c>
      <c r="J229" s="14" t="n">
        <v>47.52009963989258</v>
      </c>
      <c r="K229" s="14" t="n">
        <v>59.411</v>
      </c>
      <c r="L229" s="14" t="n">
        <v>54.696</v>
      </c>
      <c r="M229" s="15" t="n">
        <v>126</v>
      </c>
      <c r="N229" s="16" t="n">
        <v>-11.89090036010742</v>
      </c>
      <c r="O229" s="17" t="n">
        <v>-24.95759909057617</v>
      </c>
      <c r="P229" s="17" t="n">
        <v>-1.440799468994143</v>
      </c>
      <c r="Q229" s="18" t="n">
        <v>55.56325240138998</v>
      </c>
      <c r="R229" s="17" t="n">
        <v>-11.89090036010742</v>
      </c>
      <c r="S229" s="17" t="n">
        <v>-24.95759909057617</v>
      </c>
      <c r="T229" s="17" t="n">
        <v>-1.440799468994143</v>
      </c>
      <c r="U229" s="19" t="n">
        <v>55.56325240138998</v>
      </c>
      <c r="V229" s="20">
        <f>IFERROR(BDP(E229&amp;" Corp","LAST_PRICE"),"--")</f>
        <v/>
      </c>
      <c r="W229" s="21">
        <f>IFERROR(BDP(E229&amp;" Corp","YAS_BENCHMARK_BOND_ISIN"),"--")</f>
        <v/>
      </c>
      <c r="X229" s="22">
        <f>IFERROR(BDP(W229&amp;" CORP","LAST_PRICE"),"--")</f>
        <v/>
      </c>
      <c r="Y229" s="23">
        <f>IFERROR(BDP(E229&amp;" Corp","YAS_YLD_SPREAD","YAS_BOND_PX="&amp;V229,"YAS_BNCHMRK_BOND_PX="&amp;X229),"--")</f>
        <v/>
      </c>
      <c r="Z229" s="23">
        <f>IFERROR(BDP(E229&amp;" Corp","BLOOMBERG_MID_G_SPREAD","YAS_BOND_PX="&amp;V229,"YAS_BNCHMRK_BOND_PX="&amp;X229),"--")</f>
        <v/>
      </c>
      <c r="AA229" s="23">
        <f>IFERROR(BDP(D229,"LAST_PRICE"),"--")</f>
        <v/>
      </c>
      <c r="AB229" s="24" t="n"/>
      <c r="AC229" s="23">
        <f>IFERROR(IF(ISBLANK(AB229),AA229,AB229),"--")</f>
        <v/>
      </c>
      <c r="AD229" s="23">
        <f>IFERROR(MAX(-500,MIN(500,AC229-Z229)),"--")</f>
        <v/>
      </c>
      <c r="AE229" s="25">
        <f>IFERROR((AD229-S229)/(T229-S229)*100,"--")</f>
        <v/>
      </c>
    </row>
    <row r="230">
      <c r="A230" s="26" t="inlineStr">
        <is>
          <t>PRU</t>
        </is>
      </c>
      <c r="B230" s="27" t="inlineStr">
        <is>
          <t>IG</t>
        </is>
      </c>
      <c r="C230" s="26" t="inlineStr">
        <is>
          <t>PRU 5.2 03/14/35</t>
        </is>
      </c>
      <c r="D230" s="27" t="inlineStr">
        <is>
          <t>PRU CDS USD SR 5Y D14 Corp</t>
        </is>
      </c>
      <c r="E230" s="27" t="inlineStr">
        <is>
          <t>US74432QCK94</t>
        </is>
      </c>
      <c r="F230" s="28" t="n">
        <v>45736</v>
      </c>
      <c r="G230" s="28" t="n">
        <v>46225</v>
      </c>
      <c r="H230" s="28" t="n">
        <v>49480</v>
      </c>
      <c r="I230" s="29" t="n">
        <v>112.6668014526367</v>
      </c>
      <c r="J230" s="29" t="n">
        <v>80.40399932861328</v>
      </c>
      <c r="K230" s="29" t="n">
        <v>74.318</v>
      </c>
      <c r="L230" s="29" t="n">
        <v>70.89400000000001</v>
      </c>
      <c r="M230" s="30" t="n">
        <v>336</v>
      </c>
      <c r="N230" s="31" t="n">
        <v>38.34880145263672</v>
      </c>
      <c r="O230" s="32" t="n">
        <v>-0.992101196289056</v>
      </c>
      <c r="P230" s="32" t="n">
        <v>53.16370068359375</v>
      </c>
      <c r="Q230" s="33" t="n">
        <v>72.64392970523016</v>
      </c>
      <c r="R230" s="32" t="n">
        <v>6.085999328613283</v>
      </c>
      <c r="S230" s="32" t="n">
        <v>-24.52740240478515</v>
      </c>
      <c r="T230" s="32" t="n">
        <v>20.92180310058593</v>
      </c>
      <c r="U230" s="34" t="n">
        <v>67.35739688514602</v>
      </c>
      <c r="V230" s="20">
        <f>IFERROR(BDP(E230&amp;" Corp","LAST_PRICE"),"--")</f>
        <v/>
      </c>
      <c r="W230" s="21">
        <f>IFERROR(BDP(E230&amp;" Corp","YAS_BENCHMARK_BOND_ISIN"),"--")</f>
        <v/>
      </c>
      <c r="X230" s="22">
        <f>IFERROR(BDP(W230&amp;" CORP","LAST_PRICE"),"--")</f>
        <v/>
      </c>
      <c r="Y230" s="23">
        <f>IFERROR(BDP(E230&amp;" Corp","YAS_YLD_SPREAD","YAS_BOND_PX="&amp;V230,"YAS_BNCHMRK_BOND_PX="&amp;X230),"--")</f>
        <v/>
      </c>
      <c r="Z230" s="23">
        <f>IFERROR(BDP(E230&amp;" Corp","BLOOMBERG_MID_G_SPREAD","YAS_BOND_PX="&amp;V230,"YAS_BNCHMRK_BOND_PX="&amp;X230),"--")</f>
        <v/>
      </c>
      <c r="AA230" s="23">
        <f>IFERROR(BDP(D230,"LAST_PRICE"),"--")</f>
        <v/>
      </c>
      <c r="AB230" s="24" t="n"/>
      <c r="AC230" s="23">
        <f>IFERROR(IF(ISBLANK(AB230),AA230,AB230),"--")</f>
        <v/>
      </c>
      <c r="AD230" s="23">
        <f>IFERROR(MAX(-500,MIN(500,AC230-Z230)),"--")</f>
        <v/>
      </c>
      <c r="AE230" s="25">
        <f>IFERROR((AD230-S230)/(T230-S230)*100,"--")</f>
        <v/>
      </c>
    </row>
    <row r="231">
      <c r="A231" s="11" t="inlineStr">
        <is>
          <t>R</t>
        </is>
      </c>
      <c r="B231" s="12" t="inlineStr">
        <is>
          <t>IG</t>
        </is>
      </c>
      <c r="C231" s="11" t="inlineStr">
        <is>
          <t>R 6.6 12/01/33</t>
        </is>
      </c>
      <c r="D231" s="12" t="inlineStr">
        <is>
          <t>R CDS USD SR 5Y D14 Corp</t>
        </is>
      </c>
      <c r="E231" s="12" t="inlineStr">
        <is>
          <t>US78355HKY44</t>
        </is>
      </c>
      <c r="F231" s="13" t="n">
        <v>45659</v>
      </c>
      <c r="G231" s="13" t="n">
        <v>46225</v>
      </c>
      <c r="H231" s="13" t="n">
        <v>48933</v>
      </c>
      <c r="I231" s="14" t="n">
        <v>77.22139739990234</v>
      </c>
      <c r="J231" s="14" t="n">
        <v>50.21969985961914</v>
      </c>
      <c r="K231" s="14" t="n">
        <v>77.282</v>
      </c>
      <c r="L231" s="14" t="n">
        <v>65.163</v>
      </c>
      <c r="M231" s="15" t="n">
        <v>389</v>
      </c>
      <c r="N231" s="16" t="n">
        <v>-0.06060260009765273</v>
      </c>
      <c r="O231" s="17" t="n">
        <v>-7.380202941894538</v>
      </c>
      <c r="P231" s="17" t="n">
        <v>21.98110571289062</v>
      </c>
      <c r="Q231" s="18" t="n">
        <v>24.92940770405331</v>
      </c>
      <c r="R231" s="17" t="n">
        <v>-27.06230014038086</v>
      </c>
      <c r="S231" s="17" t="n">
        <v>-30.15219970703126</v>
      </c>
      <c r="T231" s="17" t="n">
        <v>-2.71199700927734</v>
      </c>
      <c r="U231" s="19" t="n">
        <v>11.26048375328992</v>
      </c>
      <c r="V231" s="20">
        <f>IFERROR(BDP(E231&amp;" Corp","LAST_PRICE"),"--")</f>
        <v/>
      </c>
      <c r="W231" s="21">
        <f>IFERROR(BDP(E231&amp;" Corp","YAS_BENCHMARK_BOND_ISIN"),"--")</f>
        <v/>
      </c>
      <c r="X231" s="22">
        <f>IFERROR(BDP(W231&amp;" CORP","LAST_PRICE"),"--")</f>
        <v/>
      </c>
      <c r="Y231" s="23">
        <f>IFERROR(BDP(E231&amp;" Corp","YAS_YLD_SPREAD","YAS_BOND_PX="&amp;V231,"YAS_BNCHMRK_BOND_PX="&amp;X231),"--")</f>
        <v/>
      </c>
      <c r="Z231" s="23">
        <f>IFERROR(BDP(E231&amp;" Corp","BLOOMBERG_MID_G_SPREAD","YAS_BOND_PX="&amp;V231,"YAS_BNCHMRK_BOND_PX="&amp;X231),"--")</f>
        <v/>
      </c>
      <c r="AA231" s="23">
        <f>IFERROR(BDP(D231,"LAST_PRICE"),"--")</f>
        <v/>
      </c>
      <c r="AB231" s="24" t="n"/>
      <c r="AC231" s="23">
        <f>IFERROR(IF(ISBLANK(AB231),AA231,AB231),"--")</f>
        <v/>
      </c>
      <c r="AD231" s="23">
        <f>IFERROR(MAX(-500,MIN(500,AC231-Z231)),"--")</f>
        <v/>
      </c>
      <c r="AE231" s="25">
        <f>IFERROR((AD231-S231)/(T231-S231)*100,"--")</f>
        <v/>
      </c>
    </row>
    <row r="232">
      <c r="A232" s="26" t="inlineStr">
        <is>
          <t>RCL</t>
        </is>
      </c>
      <c r="B232" s="27" t="inlineStr">
        <is>
          <t>IG</t>
        </is>
      </c>
      <c r="C232" s="26" t="inlineStr">
        <is>
          <t>RCL 5 5/8 09/30/31</t>
        </is>
      </c>
      <c r="D232" s="27" t="inlineStr">
        <is>
          <t>RCL CDS USD SR 5Y D14 Corp</t>
        </is>
      </c>
      <c r="E232" s="27" t="inlineStr">
        <is>
          <t>USV7780TAQ68</t>
        </is>
      </c>
      <c r="F232" s="28" t="n">
        <v>45659</v>
      </c>
      <c r="G232" s="28" t="n">
        <v>46225</v>
      </c>
      <c r="H232" s="28" t="n">
        <v>48202</v>
      </c>
      <c r="I232" s="29" t="n">
        <v>84.47869873046875</v>
      </c>
      <c r="J232" s="29" t="n">
        <v>74.57060241699219</v>
      </c>
      <c r="K232" s="29" t="n">
        <v>112.79</v>
      </c>
      <c r="L232" s="29" t="n">
        <v>114.541</v>
      </c>
      <c r="M232" s="30" t="n">
        <v>389</v>
      </c>
      <c r="N232" s="31" t="n">
        <v>-28.31130126953126</v>
      </c>
      <c r="O232" s="32" t="n">
        <v>-58.3812025756836</v>
      </c>
      <c r="P232" s="32" t="n">
        <v>16.68830749511719</v>
      </c>
      <c r="Q232" s="33" t="n">
        <v>40.05607773088212</v>
      </c>
      <c r="R232" s="32" t="n">
        <v>-38.21939758300782</v>
      </c>
      <c r="S232" s="32" t="n">
        <v>-65.11630017089843</v>
      </c>
      <c r="T232" s="32" t="n">
        <v>7.695601196289061</v>
      </c>
      <c r="U232" s="34" t="n">
        <v>36.94025575880873</v>
      </c>
      <c r="V232" s="20">
        <f>IFERROR(BDP(E232&amp;" Corp","LAST_PRICE"),"--")</f>
        <v/>
      </c>
      <c r="W232" s="21">
        <f>IFERROR(BDP(E232&amp;" Corp","YAS_BENCHMARK_BOND_ISIN"),"--")</f>
        <v/>
      </c>
      <c r="X232" s="22">
        <f>IFERROR(BDP(W232&amp;" CORP","LAST_PRICE"),"--")</f>
        <v/>
      </c>
      <c r="Y232" s="23">
        <f>IFERROR(BDP(E232&amp;" Corp","YAS_YLD_SPREAD","YAS_BOND_PX="&amp;V232,"YAS_BNCHMRK_BOND_PX="&amp;X232),"--")</f>
        <v/>
      </c>
      <c r="Z232" s="23">
        <f>IFERROR(BDP(E232&amp;" Corp","BLOOMBERG_MID_G_SPREAD","YAS_BOND_PX="&amp;V232,"YAS_BNCHMRK_BOND_PX="&amp;X232),"--")</f>
        <v/>
      </c>
      <c r="AA232" s="23">
        <f>IFERROR(BDP(D232,"LAST_PRICE"),"--")</f>
        <v/>
      </c>
      <c r="AB232" s="24" t="n"/>
      <c r="AC232" s="23">
        <f>IFERROR(IF(ISBLANK(AB232),AA232,AB232),"--")</f>
        <v/>
      </c>
      <c r="AD232" s="23">
        <f>IFERROR(MAX(-500,MIN(500,AC232-Z232)),"--")</f>
        <v/>
      </c>
      <c r="AE232" s="25">
        <f>IFERROR((AD232-S232)/(T232-S232)*100,"--")</f>
        <v/>
      </c>
    </row>
    <row r="233">
      <c r="A233" s="11" t="inlineStr">
        <is>
          <t>RDN</t>
        </is>
      </c>
      <c r="B233" s="12" t="inlineStr">
        <is>
          <t>IG</t>
        </is>
      </c>
      <c r="C233" s="11" t="inlineStr">
        <is>
          <t>RDN 6.2 05/15/29</t>
        </is>
      </c>
      <c r="D233" s="12" t="inlineStr">
        <is>
          <t>RDN CDS USD SR 5Y D14 Corp</t>
        </is>
      </c>
      <c r="E233" s="12" t="inlineStr">
        <is>
          <t>US750236AY71</t>
        </is>
      </c>
      <c r="F233" s="13" t="n">
        <v>45659</v>
      </c>
      <c r="G233" s="13" t="n">
        <v>46225</v>
      </c>
      <c r="H233" s="13" t="n">
        <v>47289</v>
      </c>
      <c r="I233" s="14" t="n">
        <v>54.39889907836914</v>
      </c>
      <c r="J233" s="14" t="n">
        <v>86.05619812011719</v>
      </c>
      <c r="K233" s="14" t="n">
        <v>72.55800000000001</v>
      </c>
      <c r="L233" s="14" t="n">
        <v>73.36</v>
      </c>
      <c r="M233" s="15" t="n">
        <v>389</v>
      </c>
      <c r="N233" s="16" t="n">
        <v>-18.15910092163087</v>
      </c>
      <c r="O233" s="17" t="n">
        <v>-80.96750213623048</v>
      </c>
      <c r="P233" s="17" t="n">
        <v>-18.15910092163087</v>
      </c>
      <c r="Q233" s="18" t="n">
        <v>100</v>
      </c>
      <c r="R233" s="17" t="n">
        <v>13.49819812011718</v>
      </c>
      <c r="S233" s="17" t="n">
        <v>-44.76020233154296</v>
      </c>
      <c r="T233" s="17" t="n">
        <v>13.49819812011718</v>
      </c>
      <c r="U233" s="19" t="n">
        <v>100</v>
      </c>
      <c r="V233" s="20">
        <f>IFERROR(BDP(E233&amp;" Corp","LAST_PRICE"),"--")</f>
        <v/>
      </c>
      <c r="W233" s="21">
        <f>IFERROR(BDP(E233&amp;" Corp","YAS_BENCHMARK_BOND_ISIN"),"--")</f>
        <v/>
      </c>
      <c r="X233" s="22">
        <f>IFERROR(BDP(W233&amp;" CORP","LAST_PRICE"),"--")</f>
        <v/>
      </c>
      <c r="Y233" s="23">
        <f>IFERROR(BDP(E233&amp;" Corp","YAS_YLD_SPREAD","YAS_BOND_PX="&amp;V233,"YAS_BNCHMRK_BOND_PX="&amp;X233),"--")</f>
        <v/>
      </c>
      <c r="Z233" s="23">
        <f>IFERROR(BDP(E233&amp;" Corp","BLOOMBERG_MID_G_SPREAD","YAS_BOND_PX="&amp;V233,"YAS_BNCHMRK_BOND_PX="&amp;X233),"--")</f>
        <v/>
      </c>
      <c r="AA233" s="23">
        <f>IFERROR(BDP(D233,"LAST_PRICE"),"--")</f>
        <v/>
      </c>
      <c r="AB233" s="24" t="n"/>
      <c r="AC233" s="23">
        <f>IFERROR(IF(ISBLANK(AB233),AA233,AB233),"--")</f>
        <v/>
      </c>
      <c r="AD233" s="23">
        <f>IFERROR(MAX(-500,MIN(500,AC233-Z233)),"--")</f>
        <v/>
      </c>
      <c r="AE233" s="25">
        <f>IFERROR((AD233-S233)/(T233-S233)*100,"--")</f>
        <v/>
      </c>
    </row>
    <row r="234">
      <c r="A234" s="26" t="inlineStr">
        <is>
          <t>RTX</t>
        </is>
      </c>
      <c r="B234" s="27" t="inlineStr">
        <is>
          <t>IG</t>
        </is>
      </c>
      <c r="C234" s="26" t="inlineStr">
        <is>
          <t>RTX 5.15 02/27/33</t>
        </is>
      </c>
      <c r="D234" s="27" t="inlineStr">
        <is>
          <t>UTX CDS USD SR 5Y D14 Corp</t>
        </is>
      </c>
      <c r="E234" s="27" t="inlineStr">
        <is>
          <t>US75513ECR09</t>
        </is>
      </c>
      <c r="F234" s="28" t="n">
        <v>45659</v>
      </c>
      <c r="G234" s="28" t="n">
        <v>46225</v>
      </c>
      <c r="H234" s="28" t="n">
        <v>48750</v>
      </c>
      <c r="I234" s="29" t="n">
        <v>41.33110046386719</v>
      </c>
      <c r="J234" s="29" t="n">
        <v>29.69020080566406</v>
      </c>
      <c r="K234" s="29" t="n">
        <v>55.61</v>
      </c>
      <c r="L234" s="29" t="n">
        <v>39.242</v>
      </c>
      <c r="M234" s="30" t="n">
        <v>389</v>
      </c>
      <c r="N234" s="31" t="n">
        <v>-14.27889953613281</v>
      </c>
      <c r="O234" s="32" t="n">
        <v>-43.40160363769532</v>
      </c>
      <c r="P234" s="32" t="n">
        <v>-4.166501617431642</v>
      </c>
      <c r="Q234" s="33" t="n">
        <v>74.22614598152838</v>
      </c>
      <c r="R234" s="32" t="n">
        <v>-25.91979919433594</v>
      </c>
      <c r="S234" s="32" t="n">
        <v>-52.37559884643555</v>
      </c>
      <c r="T234" s="32" t="n">
        <v>-13.91900024414063</v>
      </c>
      <c r="U234" s="34" t="n">
        <v>68.79391473410456</v>
      </c>
      <c r="V234" s="20">
        <f>IFERROR(BDP(E234&amp;" Corp","LAST_PRICE"),"--")</f>
        <v/>
      </c>
      <c r="W234" s="21">
        <f>IFERROR(BDP(E234&amp;" Corp","YAS_BENCHMARK_BOND_ISIN"),"--")</f>
        <v/>
      </c>
      <c r="X234" s="22">
        <f>IFERROR(BDP(W234&amp;" CORP","LAST_PRICE"),"--")</f>
        <v/>
      </c>
      <c r="Y234" s="23">
        <f>IFERROR(BDP(E234&amp;" Corp","YAS_YLD_SPREAD","YAS_BOND_PX="&amp;V234,"YAS_BNCHMRK_BOND_PX="&amp;X234),"--")</f>
        <v/>
      </c>
      <c r="Z234" s="23">
        <f>IFERROR(BDP(E234&amp;" Corp","BLOOMBERG_MID_G_SPREAD","YAS_BOND_PX="&amp;V234,"YAS_BNCHMRK_BOND_PX="&amp;X234),"--")</f>
        <v/>
      </c>
      <c r="AA234" s="23">
        <f>IFERROR(BDP(D234,"LAST_PRICE"),"--")</f>
        <v/>
      </c>
      <c r="AB234" s="24" t="n"/>
      <c r="AC234" s="23">
        <f>IFERROR(IF(ISBLANK(AB234),AA234,AB234),"--")</f>
        <v/>
      </c>
      <c r="AD234" s="23">
        <f>IFERROR(MAX(-500,MIN(500,AC234-Z234)),"--")</f>
        <v/>
      </c>
      <c r="AE234" s="25">
        <f>IFERROR((AD234-S234)/(T234-S234)*100,"--")</f>
        <v/>
      </c>
    </row>
    <row r="235">
      <c r="A235" s="11" t="inlineStr">
        <is>
          <t>SBC</t>
        </is>
      </c>
      <c r="B235" s="12" t="inlineStr">
        <is>
          <t>IG</t>
        </is>
      </c>
      <c r="C235" s="11" t="inlineStr">
        <is>
          <t>T 4.55 11/01/32</t>
        </is>
      </c>
      <c r="D235" s="12" t="inlineStr">
        <is>
          <t>SBC CDS USD SR 5Y D14 Corp</t>
        </is>
      </c>
      <c r="E235" s="12" t="inlineStr">
        <is>
          <t>US00206RNB41</t>
        </is>
      </c>
      <c r="F235" s="13" t="n">
        <v>45918</v>
      </c>
      <c r="G235" s="13" t="n">
        <v>46225</v>
      </c>
      <c r="H235" s="13" t="n">
        <v>48568</v>
      </c>
      <c r="I235" s="14" t="n">
        <v>82.09600067138672</v>
      </c>
      <c r="J235" s="14" t="n">
        <v>67.76069641113281</v>
      </c>
      <c r="K235" s="14" t="n">
        <v>74.285</v>
      </c>
      <c r="L235" s="14" t="n">
        <v>82.996</v>
      </c>
      <c r="M235" s="15" t="n">
        <v>211</v>
      </c>
      <c r="N235" s="16" t="n">
        <v>7.811000671386722</v>
      </c>
      <c r="O235" s="17" t="n">
        <v>-6.048096191406245</v>
      </c>
      <c r="P235" s="17" t="n">
        <v>12.43560357666016</v>
      </c>
      <c r="Q235" s="18" t="n">
        <v>74.98010158516431</v>
      </c>
      <c r="R235" s="17" t="n">
        <v>-6.524303588867184</v>
      </c>
      <c r="S235" s="17" t="n">
        <v>-17.27639819335937</v>
      </c>
      <c r="T235" s="17" t="n">
        <v>0.891398864746094</v>
      </c>
      <c r="U235" s="19" t="n">
        <v>59.18215934548431</v>
      </c>
      <c r="V235" s="20">
        <f>IFERROR(BDP(E235&amp;" Corp","LAST_PRICE"),"--")</f>
        <v/>
      </c>
      <c r="W235" s="21">
        <f>IFERROR(BDP(E235&amp;" Corp","YAS_BENCHMARK_BOND_ISIN"),"--")</f>
        <v/>
      </c>
      <c r="X235" s="22">
        <f>IFERROR(BDP(W235&amp;" CORP","LAST_PRICE"),"--")</f>
        <v/>
      </c>
      <c r="Y235" s="23">
        <f>IFERROR(BDP(E235&amp;" Corp","YAS_YLD_SPREAD","YAS_BOND_PX="&amp;V235,"YAS_BNCHMRK_BOND_PX="&amp;X235),"--")</f>
        <v/>
      </c>
      <c r="Z235" s="23">
        <f>IFERROR(BDP(E235&amp;" Corp","BLOOMBERG_MID_G_SPREAD","YAS_BOND_PX="&amp;V235,"YAS_BNCHMRK_BOND_PX="&amp;X235),"--")</f>
        <v/>
      </c>
      <c r="AA235" s="23">
        <f>IFERROR(BDP(D235,"LAST_PRICE"),"--")</f>
        <v/>
      </c>
      <c r="AB235" s="24" t="n"/>
      <c r="AC235" s="23">
        <f>IFERROR(IF(ISBLANK(AB235),AA235,AB235),"--")</f>
        <v/>
      </c>
      <c r="AD235" s="23">
        <f>IFERROR(MAX(-500,MIN(500,AC235-Z235)),"--")</f>
        <v/>
      </c>
      <c r="AE235" s="25">
        <f>IFERROR((AD235-S235)/(T235-S235)*100,"--")</f>
        <v/>
      </c>
    </row>
    <row r="236">
      <c r="A236" s="26" t="inlineStr">
        <is>
          <t>SHW</t>
        </is>
      </c>
      <c r="B236" s="27" t="inlineStr">
        <is>
          <t>IG</t>
        </is>
      </c>
      <c r="C236" s="26" t="inlineStr">
        <is>
          <t>SHW 5.15 08/15/35</t>
        </is>
      </c>
      <c r="D236" s="27" t="inlineStr">
        <is>
          <t>SHW CDS USD SR 5Y D14 Corp</t>
        </is>
      </c>
      <c r="E236" s="27" t="inlineStr">
        <is>
          <t>US824348BW54</t>
        </is>
      </c>
      <c r="F236" s="28" t="n">
        <v>45922</v>
      </c>
      <c r="G236" s="28" t="n">
        <v>46225</v>
      </c>
      <c r="H236" s="28" t="n">
        <v>49663</v>
      </c>
      <c r="I236" s="29" t="n">
        <v>76.71849822998047</v>
      </c>
      <c r="J236" s="29" t="n">
        <v>43.143798828125</v>
      </c>
      <c r="K236" s="29" t="n">
        <v>70.056</v>
      </c>
      <c r="L236" s="29" t="n">
        <v>67.51300000000001</v>
      </c>
      <c r="M236" s="30" t="n">
        <v>209</v>
      </c>
      <c r="N236" s="31" t="n">
        <v>6.662498229980471</v>
      </c>
      <c r="O236" s="32" t="n">
        <v>-7.866200866699216</v>
      </c>
      <c r="P236" s="32" t="n">
        <v>13.48970379638672</v>
      </c>
      <c r="Q236" s="33" t="n">
        <v>68.03129778806704</v>
      </c>
      <c r="R236" s="32" t="n">
        <v>-26.912201171875</v>
      </c>
      <c r="S236" s="32" t="n">
        <v>-35.43380111694336</v>
      </c>
      <c r="T236" s="32" t="n">
        <v>-19.9520991821289</v>
      </c>
      <c r="U236" s="34" t="n">
        <v>55.04304359396963</v>
      </c>
      <c r="V236" s="20">
        <f>IFERROR(BDP(E236&amp;" Corp","LAST_PRICE"),"--")</f>
        <v/>
      </c>
      <c r="W236" s="21">
        <f>IFERROR(BDP(E236&amp;" Corp","YAS_BENCHMARK_BOND_ISIN"),"--")</f>
        <v/>
      </c>
      <c r="X236" s="22">
        <f>IFERROR(BDP(W236&amp;" CORP","LAST_PRICE"),"--")</f>
        <v/>
      </c>
      <c r="Y236" s="23">
        <f>IFERROR(BDP(E236&amp;" Corp","YAS_YLD_SPREAD","YAS_BOND_PX="&amp;V236,"YAS_BNCHMRK_BOND_PX="&amp;X236),"--")</f>
        <v/>
      </c>
      <c r="Z236" s="23">
        <f>IFERROR(BDP(E236&amp;" Corp","BLOOMBERG_MID_G_SPREAD","YAS_BOND_PX="&amp;V236,"YAS_BNCHMRK_BOND_PX="&amp;X236),"--")</f>
        <v/>
      </c>
      <c r="AA236" s="23">
        <f>IFERROR(BDP(D236,"LAST_PRICE"),"--")</f>
        <v/>
      </c>
      <c r="AB236" s="24" t="n"/>
      <c r="AC236" s="23">
        <f>IFERROR(IF(ISBLANK(AB236),AA236,AB236),"--")</f>
        <v/>
      </c>
      <c r="AD236" s="23">
        <f>IFERROR(MAX(-500,MIN(500,AC236-Z236)),"--")</f>
        <v/>
      </c>
      <c r="AE236" s="25">
        <f>IFERROR((AD236-S236)/(T236-S236)*100,"--")</f>
        <v/>
      </c>
    </row>
    <row r="237">
      <c r="A237" s="11" t="inlineStr">
        <is>
          <t>SO</t>
        </is>
      </c>
      <c r="B237" s="12" t="inlineStr">
        <is>
          <t>IG</t>
        </is>
      </c>
      <c r="C237" s="11" t="inlineStr">
        <is>
          <t>SO 5.7 03/15/34</t>
        </is>
      </c>
      <c r="D237" s="12" t="inlineStr">
        <is>
          <t>SOCO CDS USD SR 5Y D14 Corp</t>
        </is>
      </c>
      <c r="E237" s="12" t="inlineStr">
        <is>
          <t>US842587DT18</t>
        </is>
      </c>
      <c r="F237" s="13" t="n">
        <v>45659</v>
      </c>
      <c r="G237" s="13" t="n">
        <v>46225</v>
      </c>
      <c r="H237" s="13" t="n">
        <v>49115</v>
      </c>
      <c r="I237" s="14" t="n">
        <v>56.81589889526367</v>
      </c>
      <c r="J237" s="14" t="n">
        <v>38.56679916381836</v>
      </c>
      <c r="K237" s="14" t="n">
        <v>77.23399999999999</v>
      </c>
      <c r="L237" s="14" t="n">
        <v>66.057</v>
      </c>
      <c r="M237" s="15" t="n">
        <v>387</v>
      </c>
      <c r="N237" s="16" t="n">
        <v>-20.41810110473632</v>
      </c>
      <c r="O237" s="17" t="n">
        <v>-53.45470355224609</v>
      </c>
      <c r="P237" s="17" t="n">
        <v>-14.83760018920898</v>
      </c>
      <c r="Q237" s="18" t="n">
        <v>85.54914680403297</v>
      </c>
      <c r="R237" s="17" t="n">
        <v>-38.66720083618164</v>
      </c>
      <c r="S237" s="17" t="n">
        <v>-69.35599826049804</v>
      </c>
      <c r="T237" s="17" t="n">
        <v>-32.10530038452148</v>
      </c>
      <c r="U237" s="19" t="n">
        <v>82.38448988658544</v>
      </c>
      <c r="V237" s="20">
        <f>IFERROR(BDP(E237&amp;" Corp","LAST_PRICE"),"--")</f>
        <v/>
      </c>
      <c r="W237" s="21">
        <f>IFERROR(BDP(E237&amp;" Corp","YAS_BENCHMARK_BOND_ISIN"),"--")</f>
        <v/>
      </c>
      <c r="X237" s="22">
        <f>IFERROR(BDP(W237&amp;" CORP","LAST_PRICE"),"--")</f>
        <v/>
      </c>
      <c r="Y237" s="23">
        <f>IFERROR(BDP(E237&amp;" Corp","YAS_YLD_SPREAD","YAS_BOND_PX="&amp;V237,"YAS_BNCHMRK_BOND_PX="&amp;X237),"--")</f>
        <v/>
      </c>
      <c r="Z237" s="23">
        <f>IFERROR(BDP(E237&amp;" Corp","BLOOMBERG_MID_G_SPREAD","YAS_BOND_PX="&amp;V237,"YAS_BNCHMRK_BOND_PX="&amp;X237),"--")</f>
        <v/>
      </c>
      <c r="AA237" s="23">
        <f>IFERROR(BDP(D237,"LAST_PRICE"),"--")</f>
        <v/>
      </c>
      <c r="AB237" s="24" t="n"/>
      <c r="AC237" s="23">
        <f>IFERROR(IF(ISBLANK(AB237),AA237,AB237),"--")</f>
        <v/>
      </c>
      <c r="AD237" s="23">
        <f>IFERROR(MAX(-500,MIN(500,AC237-Z237)),"--")</f>
        <v/>
      </c>
      <c r="AE237" s="25">
        <f>IFERROR((AD237-S237)/(T237-S237)*100,"--")</f>
        <v/>
      </c>
    </row>
    <row r="238">
      <c r="A238" s="26" t="inlineStr">
        <is>
          <t>SPG</t>
        </is>
      </c>
      <c r="B238" s="27" t="inlineStr">
        <is>
          <t>IG</t>
        </is>
      </c>
      <c r="C238" s="26" t="inlineStr">
        <is>
          <t>SPG 5 1/2 03/08/33</t>
        </is>
      </c>
      <c r="D238" s="27" t="inlineStr">
        <is>
          <t>SPG CDS USD SR 5Y D14 Corp</t>
        </is>
      </c>
      <c r="E238" s="27" t="inlineStr">
        <is>
          <t>US828807DU83</t>
        </is>
      </c>
      <c r="F238" s="28" t="n">
        <v>45659</v>
      </c>
      <c r="G238" s="28" t="n">
        <v>46225</v>
      </c>
      <c r="H238" s="28" t="n">
        <v>48750</v>
      </c>
      <c r="I238" s="29" t="n">
        <v>65.77839660644531</v>
      </c>
      <c r="J238" s="29" t="n">
        <v>43.93259811401367</v>
      </c>
      <c r="K238" s="29" t="n">
        <v>63.576</v>
      </c>
      <c r="L238" s="29" t="n">
        <v>48.476</v>
      </c>
      <c r="M238" s="30" t="n">
        <v>389</v>
      </c>
      <c r="N238" s="31" t="n">
        <v>2.202396606445312</v>
      </c>
      <c r="O238" s="32" t="n">
        <v>-13.97350378417968</v>
      </c>
      <c r="P238" s="32" t="n">
        <v>19.59560321044922</v>
      </c>
      <c r="Q238" s="33" t="n">
        <v>48.18686536169449</v>
      </c>
      <c r="R238" s="32" t="n">
        <v>-19.64340188598633</v>
      </c>
      <c r="S238" s="32" t="n">
        <v>-28.87829846191406</v>
      </c>
      <c r="T238" s="32" t="n">
        <v>4.859197082519529</v>
      </c>
      <c r="U238" s="34" t="n">
        <v>27.37279820834659</v>
      </c>
      <c r="V238" s="20">
        <f>IFERROR(BDP(E238&amp;" Corp","LAST_PRICE"),"--")</f>
        <v/>
      </c>
      <c r="W238" s="21">
        <f>IFERROR(BDP(E238&amp;" Corp","YAS_BENCHMARK_BOND_ISIN"),"--")</f>
        <v/>
      </c>
      <c r="X238" s="22">
        <f>IFERROR(BDP(W238&amp;" CORP","LAST_PRICE"),"--")</f>
        <v/>
      </c>
      <c r="Y238" s="23">
        <f>IFERROR(BDP(E238&amp;" Corp","YAS_YLD_SPREAD","YAS_BOND_PX="&amp;V238,"YAS_BNCHMRK_BOND_PX="&amp;X238),"--")</f>
        <v/>
      </c>
      <c r="Z238" s="23">
        <f>IFERROR(BDP(E238&amp;" Corp","BLOOMBERG_MID_G_SPREAD","YAS_BOND_PX="&amp;V238,"YAS_BNCHMRK_BOND_PX="&amp;X238),"--")</f>
        <v/>
      </c>
      <c r="AA238" s="23">
        <f>IFERROR(BDP(D238,"LAST_PRICE"),"--")</f>
        <v/>
      </c>
      <c r="AB238" s="24" t="n"/>
      <c r="AC238" s="23">
        <f>IFERROR(IF(ISBLANK(AB238),AA238,AB238),"--")</f>
        <v/>
      </c>
      <c r="AD238" s="23">
        <f>IFERROR(MAX(-500,MIN(500,AC238-Z238)),"--")</f>
        <v/>
      </c>
      <c r="AE238" s="25">
        <f>IFERROR((AD238-S238)/(T238-S238)*100,"--")</f>
        <v/>
      </c>
    </row>
    <row r="239">
      <c r="A239" s="11" t="inlineStr">
        <is>
          <t>SRE</t>
        </is>
      </c>
      <c r="B239" s="12" t="inlineStr">
        <is>
          <t>IG</t>
        </is>
      </c>
      <c r="C239" s="11" t="inlineStr">
        <is>
          <t>SRE 5 1/2 08/01/33</t>
        </is>
      </c>
      <c r="D239" s="12" t="inlineStr">
        <is>
          <t>SRE CDS USD SR 5Y D14 Corp</t>
        </is>
      </c>
      <c r="E239" s="12" t="inlineStr">
        <is>
          <t>US816851BR98</t>
        </is>
      </c>
      <c r="F239" s="13" t="n">
        <v>45659</v>
      </c>
      <c r="G239" s="13" t="n">
        <v>46225</v>
      </c>
      <c r="H239" s="13" t="n">
        <v>48933</v>
      </c>
      <c r="I239" s="14" t="n">
        <v>51.79809951782227</v>
      </c>
      <c r="J239" s="14" t="n">
        <v>36.09980010986328</v>
      </c>
      <c r="K239" s="14" t="n">
        <v>76.137</v>
      </c>
      <c r="L239" s="14" t="n">
        <v>62.483</v>
      </c>
      <c r="M239" s="15" t="n">
        <v>389</v>
      </c>
      <c r="N239" s="16" t="n">
        <v>-24.33890048217773</v>
      </c>
      <c r="O239" s="17" t="n">
        <v>-75.11610140991212</v>
      </c>
      <c r="P239" s="17" t="n">
        <v>-15.68379861450195</v>
      </c>
      <c r="Q239" s="18" t="n">
        <v>85.43704103562987</v>
      </c>
      <c r="R239" s="17" t="n">
        <v>-40.03719989013672</v>
      </c>
      <c r="S239" s="17" t="n">
        <v>-88.99060168457032</v>
      </c>
      <c r="T239" s="17" t="n">
        <v>-31.73639947509766</v>
      </c>
      <c r="U239" s="19" t="n">
        <v>85.50184948055096</v>
      </c>
      <c r="V239" s="20">
        <f>IFERROR(BDP(E239&amp;" Corp","LAST_PRICE"),"--")</f>
        <v/>
      </c>
      <c r="W239" s="21">
        <f>IFERROR(BDP(E239&amp;" Corp","YAS_BENCHMARK_BOND_ISIN"),"--")</f>
        <v/>
      </c>
      <c r="X239" s="22">
        <f>IFERROR(BDP(W239&amp;" CORP","LAST_PRICE"),"--")</f>
        <v/>
      </c>
      <c r="Y239" s="23">
        <f>IFERROR(BDP(E239&amp;" Corp","YAS_YLD_SPREAD","YAS_BOND_PX="&amp;V239,"YAS_BNCHMRK_BOND_PX="&amp;X239),"--")</f>
        <v/>
      </c>
      <c r="Z239" s="23">
        <f>IFERROR(BDP(E239&amp;" Corp","BLOOMBERG_MID_G_SPREAD","YAS_BOND_PX="&amp;V239,"YAS_BNCHMRK_BOND_PX="&amp;X239),"--")</f>
        <v/>
      </c>
      <c r="AA239" s="23">
        <f>IFERROR(BDP(D239,"LAST_PRICE"),"--")</f>
        <v/>
      </c>
      <c r="AB239" s="24" t="n"/>
      <c r="AC239" s="23">
        <f>IFERROR(IF(ISBLANK(AB239),AA239,AB239),"--")</f>
        <v/>
      </c>
      <c r="AD239" s="23">
        <f>IFERROR(MAX(-500,MIN(500,AC239-Z239)),"--")</f>
        <v/>
      </c>
      <c r="AE239" s="25">
        <f>IFERROR((AD239-S239)/(T239-S239)*100,"--")</f>
        <v/>
      </c>
    </row>
    <row r="240">
      <c r="A240" s="26" t="inlineStr">
        <is>
          <t>TGT</t>
        </is>
      </c>
      <c r="B240" s="27" t="inlineStr">
        <is>
          <t>IG</t>
        </is>
      </c>
      <c r="C240" s="26" t="inlineStr">
        <is>
          <t>TGT 4 1/2 09/15/32</t>
        </is>
      </c>
      <c r="D240" s="27" t="inlineStr">
        <is>
          <t>TGT CDS USD SR 5Y D14 Corp</t>
        </is>
      </c>
      <c r="E240" s="27" t="inlineStr">
        <is>
          <t>US87612EBP07</t>
        </is>
      </c>
      <c r="F240" s="28" t="n">
        <v>45659</v>
      </c>
      <c r="G240" s="28" t="n">
        <v>46225</v>
      </c>
      <c r="H240" s="28" t="n">
        <v>48568</v>
      </c>
      <c r="I240" s="29" t="n">
        <v>46.7692985534668</v>
      </c>
      <c r="J240" s="29" t="n">
        <v>35</v>
      </c>
      <c r="K240" s="29" t="n">
        <v>28.088</v>
      </c>
      <c r="L240" s="29" t="n">
        <v>36.8</v>
      </c>
      <c r="M240" s="30" t="n">
        <v>389</v>
      </c>
      <c r="N240" s="31" t="n">
        <v>18.6812985534668</v>
      </c>
      <c r="O240" s="32" t="n">
        <v>-10.26079888916016</v>
      </c>
      <c r="P240" s="32" t="n">
        <v>33.83589923095703</v>
      </c>
      <c r="Q240" s="33" t="n">
        <v>65.6332530018237</v>
      </c>
      <c r="R240" s="32" t="n">
        <v>6.911999999999999</v>
      </c>
      <c r="S240" s="32" t="n">
        <v>-19.36879742431641</v>
      </c>
      <c r="T240" s="32" t="n">
        <v>23.24610125732422</v>
      </c>
      <c r="U240" s="34" t="n">
        <v>61.67044446274541</v>
      </c>
      <c r="V240" s="20">
        <f>IFERROR(BDP(E240&amp;" Corp","LAST_PRICE"),"--")</f>
        <v/>
      </c>
      <c r="W240" s="21">
        <f>IFERROR(BDP(E240&amp;" Corp","YAS_BENCHMARK_BOND_ISIN"),"--")</f>
        <v/>
      </c>
      <c r="X240" s="22">
        <f>IFERROR(BDP(W240&amp;" CORP","LAST_PRICE"),"--")</f>
        <v/>
      </c>
      <c r="Y240" s="23">
        <f>IFERROR(BDP(E240&amp;" Corp","YAS_YLD_SPREAD","YAS_BOND_PX="&amp;V240,"YAS_BNCHMRK_BOND_PX="&amp;X240),"--")</f>
        <v/>
      </c>
      <c r="Z240" s="23">
        <f>IFERROR(BDP(E240&amp;" Corp","BLOOMBERG_MID_G_SPREAD","YAS_BOND_PX="&amp;V240,"YAS_BNCHMRK_BOND_PX="&amp;X240),"--")</f>
        <v/>
      </c>
      <c r="AA240" s="23">
        <f>IFERROR(BDP(D240,"LAST_PRICE"),"--")</f>
        <v/>
      </c>
      <c r="AB240" s="24" t="n"/>
      <c r="AC240" s="23">
        <f>IFERROR(IF(ISBLANK(AB240),AA240,AB240),"--")</f>
        <v/>
      </c>
      <c r="AD240" s="23">
        <f>IFERROR(MAX(-500,MIN(500,AC240-Z240)),"--")</f>
        <v/>
      </c>
      <c r="AE240" s="25">
        <f>IFERROR((AD240-S240)/(T240-S240)*100,"--")</f>
        <v/>
      </c>
    </row>
    <row r="241">
      <c r="A241" s="11" t="inlineStr">
        <is>
          <t>TMUS</t>
        </is>
      </c>
      <c r="B241" s="12" t="inlineStr">
        <is>
          <t>IG</t>
        </is>
      </c>
      <c r="C241" s="11" t="inlineStr">
        <is>
          <t>TMUS 5 1/8 05/15/32</t>
        </is>
      </c>
      <c r="D241" s="12" t="inlineStr">
        <is>
          <t>TMUS A CDS USD SR 5Y D14 Corp</t>
        </is>
      </c>
      <c r="E241" s="12" t="inlineStr">
        <is>
          <t>US87264ADS15</t>
        </is>
      </c>
      <c r="F241" s="13" t="n">
        <v>45741</v>
      </c>
      <c r="G241" s="13" t="n">
        <v>46225</v>
      </c>
      <c r="H241" s="13" t="n">
        <v>48385</v>
      </c>
      <c r="I241" s="14" t="n">
        <v>63.9463005065918</v>
      </c>
      <c r="J241" s="14" t="n">
        <v>55.18830108642578</v>
      </c>
      <c r="K241" s="14" t="n">
        <v>67.773</v>
      </c>
      <c r="L241" s="14" t="n">
        <v>76.01600000000001</v>
      </c>
      <c r="M241" s="15" t="n">
        <v>333</v>
      </c>
      <c r="N241" s="16" t="n">
        <v>-3.826699493408199</v>
      </c>
      <c r="O241" s="17" t="n">
        <v>-46.32039837646484</v>
      </c>
      <c r="P241" s="17" t="n">
        <v>-2.120699676513667</v>
      </c>
      <c r="Q241" s="18" t="n">
        <v>96.1402455965239</v>
      </c>
      <c r="R241" s="17" t="n">
        <v>-12.58469891357421</v>
      </c>
      <c r="S241" s="17" t="n">
        <v>-52.11900143432617</v>
      </c>
      <c r="T241" s="17" t="n">
        <v>-10.83190039062499</v>
      </c>
      <c r="U241" s="19" t="n">
        <v>95.75460984510893</v>
      </c>
      <c r="V241" s="20">
        <f>IFERROR(BDP(E241&amp;" Corp","LAST_PRICE"),"--")</f>
        <v/>
      </c>
      <c r="W241" s="21">
        <f>IFERROR(BDP(E241&amp;" Corp","YAS_BENCHMARK_BOND_ISIN"),"--")</f>
        <v/>
      </c>
      <c r="X241" s="22">
        <f>IFERROR(BDP(W241&amp;" CORP","LAST_PRICE"),"--")</f>
        <v/>
      </c>
      <c r="Y241" s="23">
        <f>IFERROR(BDP(E241&amp;" Corp","YAS_YLD_SPREAD","YAS_BOND_PX="&amp;V241,"YAS_BNCHMRK_BOND_PX="&amp;X241),"--")</f>
        <v/>
      </c>
      <c r="Z241" s="23">
        <f>IFERROR(BDP(E241&amp;" Corp","BLOOMBERG_MID_G_SPREAD","YAS_BOND_PX="&amp;V241,"YAS_BNCHMRK_BOND_PX="&amp;X241),"--")</f>
        <v/>
      </c>
      <c r="AA241" s="23">
        <f>IFERROR(BDP(D241,"LAST_PRICE"),"--")</f>
        <v/>
      </c>
      <c r="AB241" s="24" t="n"/>
      <c r="AC241" s="23">
        <f>IFERROR(IF(ISBLANK(AB241),AA241,AB241),"--")</f>
        <v/>
      </c>
      <c r="AD241" s="23">
        <f>IFERROR(MAX(-500,MIN(500,AC241-Z241)),"--")</f>
        <v/>
      </c>
      <c r="AE241" s="25">
        <f>IFERROR((AD241-S241)/(T241-S241)*100,"--")</f>
        <v/>
      </c>
    </row>
    <row r="242">
      <c r="A242" s="26" t="inlineStr">
        <is>
          <t>TOL</t>
        </is>
      </c>
      <c r="B242" s="27" t="inlineStr">
        <is>
          <t>IG</t>
        </is>
      </c>
      <c r="C242" s="26" t="inlineStr">
        <is>
          <t>TOL 5.6 06/15/35</t>
        </is>
      </c>
      <c r="D242" s="27" t="inlineStr">
        <is>
          <t>TOL CDS USD SR 5Y D14 Corp</t>
        </is>
      </c>
      <c r="E242" s="27" t="inlineStr">
        <is>
          <t>US88947EAX85</t>
        </is>
      </c>
      <c r="F242" s="28" t="n">
        <v>45814</v>
      </c>
      <c r="G242" s="28" t="n">
        <v>46225</v>
      </c>
      <c r="H242" s="28" t="n">
        <v>49480</v>
      </c>
      <c r="I242" s="29" t="n">
        <v>120.3268966674805</v>
      </c>
      <c r="J242" s="29" t="n">
        <v>74.87129974365234</v>
      </c>
      <c r="K242" s="29" t="n">
        <v>98.108</v>
      </c>
      <c r="L242" s="29" t="n">
        <v>95.675</v>
      </c>
      <c r="M242" s="30" t="n">
        <v>282</v>
      </c>
      <c r="N242" s="31" t="n">
        <v>22.21889666748046</v>
      </c>
      <c r="O242" s="32" t="n">
        <v>0.6565990600585963</v>
      </c>
      <c r="P242" s="32" t="n">
        <v>44.55089770507813</v>
      </c>
      <c r="Q242" s="33" t="n">
        <v>49.12323074529506</v>
      </c>
      <c r="R242" s="32" t="n">
        <v>-23.23670025634766</v>
      </c>
      <c r="S242" s="32" t="n">
        <v>-32.69030236816407</v>
      </c>
      <c r="T242" s="32" t="n">
        <v>2.216203796386722</v>
      </c>
      <c r="U242" s="34" t="n">
        <v>27.08263630640007</v>
      </c>
      <c r="V242" s="20">
        <f>IFERROR(BDP(E242&amp;" Corp","LAST_PRICE"),"--")</f>
        <v/>
      </c>
      <c r="W242" s="21">
        <f>IFERROR(BDP(E242&amp;" Corp","YAS_BENCHMARK_BOND_ISIN"),"--")</f>
        <v/>
      </c>
      <c r="X242" s="22">
        <f>IFERROR(BDP(W242&amp;" CORP","LAST_PRICE"),"--")</f>
        <v/>
      </c>
      <c r="Y242" s="23">
        <f>IFERROR(BDP(E242&amp;" Corp","YAS_YLD_SPREAD","YAS_BOND_PX="&amp;V242,"YAS_BNCHMRK_BOND_PX="&amp;X242),"--")</f>
        <v/>
      </c>
      <c r="Z242" s="23">
        <f>IFERROR(BDP(E242&amp;" Corp","BLOOMBERG_MID_G_SPREAD","YAS_BOND_PX="&amp;V242,"YAS_BNCHMRK_BOND_PX="&amp;X242),"--")</f>
        <v/>
      </c>
      <c r="AA242" s="23">
        <f>IFERROR(BDP(D242,"LAST_PRICE"),"--")</f>
        <v/>
      </c>
      <c r="AB242" s="24" t="n"/>
      <c r="AC242" s="23">
        <f>IFERROR(IF(ISBLANK(AB242),AA242,AB242),"--")</f>
        <v/>
      </c>
      <c r="AD242" s="23">
        <f>IFERROR(MAX(-500,MIN(500,AC242-Z242)),"--")</f>
        <v/>
      </c>
      <c r="AE242" s="25">
        <f>IFERROR((AD242-S242)/(T242-S242)*100,"--")</f>
        <v/>
      </c>
    </row>
    <row r="243">
      <c r="A243" s="11" t="inlineStr">
        <is>
          <t>TRP</t>
        </is>
      </c>
      <c r="B243" s="12" t="inlineStr">
        <is>
          <t>IG</t>
        </is>
      </c>
      <c r="C243" s="11" t="inlineStr">
        <is>
          <t>TRPCN 4 5/8 03/01/34</t>
        </is>
      </c>
      <c r="D243" s="12" t="inlineStr">
        <is>
          <t>TRPCN CDS USD SR 5Y D14 Corp</t>
        </is>
      </c>
      <c r="E243" s="12" t="inlineStr">
        <is>
          <t>US89352HAM16</t>
        </is>
      </c>
      <c r="F243" s="13" t="n">
        <v>45659</v>
      </c>
      <c r="G243" s="13" t="n">
        <v>46225</v>
      </c>
      <c r="H243" s="13" t="n">
        <v>49115</v>
      </c>
      <c r="I243" s="14" t="n">
        <v>67.94609832763672</v>
      </c>
      <c r="J243" s="14" t="n">
        <v>42.5</v>
      </c>
      <c r="K243" s="14" t="n">
        <v>79.97799999999999</v>
      </c>
      <c r="L243" s="14" t="n">
        <v>71.336</v>
      </c>
      <c r="M243" s="15" t="n">
        <v>389</v>
      </c>
      <c r="N243" s="16" t="n">
        <v>-12.03190167236328</v>
      </c>
      <c r="O243" s="17" t="n">
        <v>-65.24740039062499</v>
      </c>
      <c r="P243" s="17" t="n">
        <v>-5.075799804687506</v>
      </c>
      <c r="Q243" s="18" t="n">
        <v>88.4395598589055</v>
      </c>
      <c r="R243" s="17" t="n">
        <v>-37.47799999999999</v>
      </c>
      <c r="S243" s="17" t="n">
        <v>-86.20029650878905</v>
      </c>
      <c r="T243" s="17" t="n">
        <v>-28.69830181884765</v>
      </c>
      <c r="U243" s="19" t="n">
        <v>84.7314893535543</v>
      </c>
      <c r="V243" s="20">
        <f>IFERROR(BDP(E243&amp;" Corp","LAST_PRICE"),"--")</f>
        <v/>
      </c>
      <c r="W243" s="21">
        <f>IFERROR(BDP(E243&amp;" Corp","YAS_BENCHMARK_BOND_ISIN"),"--")</f>
        <v/>
      </c>
      <c r="X243" s="22">
        <f>IFERROR(BDP(W243&amp;" CORP","LAST_PRICE"),"--")</f>
        <v/>
      </c>
      <c r="Y243" s="23">
        <f>IFERROR(BDP(E243&amp;" Corp","YAS_YLD_SPREAD","YAS_BOND_PX="&amp;V243,"YAS_BNCHMRK_BOND_PX="&amp;X243),"--")</f>
        <v/>
      </c>
      <c r="Z243" s="23">
        <f>IFERROR(BDP(E243&amp;" Corp","BLOOMBERG_MID_G_SPREAD","YAS_BOND_PX="&amp;V243,"YAS_BNCHMRK_BOND_PX="&amp;X243),"--")</f>
        <v/>
      </c>
      <c r="AA243" s="23">
        <f>IFERROR(BDP(D243,"LAST_PRICE"),"--")</f>
        <v/>
      </c>
      <c r="AB243" s="24" t="n"/>
      <c r="AC243" s="23">
        <f>IFERROR(IF(ISBLANK(AB243),AA243,AB243),"--")</f>
        <v/>
      </c>
      <c r="AD243" s="23">
        <f>IFERROR(MAX(-500,MIN(500,AC243-Z243)),"--")</f>
        <v/>
      </c>
      <c r="AE243" s="25">
        <f>IFERROR((AD243-S243)/(T243-S243)*100,"--")</f>
        <v/>
      </c>
    </row>
    <row r="244">
      <c r="A244" s="26" t="inlineStr">
        <is>
          <t>TSN</t>
        </is>
      </c>
      <c r="B244" s="27" t="inlineStr">
        <is>
          <t>IG</t>
        </is>
      </c>
      <c r="C244" s="26" t="inlineStr">
        <is>
          <t>TSN 5.7 03/15/34</t>
        </is>
      </c>
      <c r="D244" s="27" t="inlineStr">
        <is>
          <t>TSN CDS USD SR 5Y D14 Corp</t>
        </is>
      </c>
      <c r="E244" s="27" t="inlineStr">
        <is>
          <t>US902494BM45</t>
        </is>
      </c>
      <c r="F244" s="28" t="n">
        <v>45659</v>
      </c>
      <c r="G244" s="28" t="n">
        <v>46225</v>
      </c>
      <c r="H244" s="28" t="n">
        <v>49115</v>
      </c>
      <c r="I244" s="29" t="n">
        <v>65.19930267333984</v>
      </c>
      <c r="J244" s="29" t="n">
        <v>42.55429840087891</v>
      </c>
      <c r="K244" s="29" t="n">
        <v>85.77800000000001</v>
      </c>
      <c r="L244" s="29" t="n">
        <v>75.652</v>
      </c>
      <c r="M244" s="30" t="n">
        <v>389</v>
      </c>
      <c r="N244" s="31" t="n">
        <v>-20.57869732666016</v>
      </c>
      <c r="O244" s="32" t="n">
        <v>-53.95289660644531</v>
      </c>
      <c r="P244" s="32" t="n">
        <v>-12.37399810791015</v>
      </c>
      <c r="Q244" s="33" t="n">
        <v>80.26715590111397</v>
      </c>
      <c r="R244" s="32" t="n">
        <v>-43.2237015991211</v>
      </c>
      <c r="S244" s="32" t="n">
        <v>-74.23999835205078</v>
      </c>
      <c r="T244" s="32" t="n">
        <v>-33.05750180053711</v>
      </c>
      <c r="U244" s="34" t="n">
        <v>75.31427026074667</v>
      </c>
      <c r="V244" s="20">
        <f>IFERROR(BDP(E244&amp;" Corp","LAST_PRICE"),"--")</f>
        <v/>
      </c>
      <c r="W244" s="21">
        <f>IFERROR(BDP(E244&amp;" Corp","YAS_BENCHMARK_BOND_ISIN"),"--")</f>
        <v/>
      </c>
      <c r="X244" s="22">
        <f>IFERROR(BDP(W244&amp;" CORP","LAST_PRICE"),"--")</f>
        <v/>
      </c>
      <c r="Y244" s="23">
        <f>IFERROR(BDP(E244&amp;" Corp","YAS_YLD_SPREAD","YAS_BOND_PX="&amp;V244,"YAS_BNCHMRK_BOND_PX="&amp;X244),"--")</f>
        <v/>
      </c>
      <c r="Z244" s="23">
        <f>IFERROR(BDP(E244&amp;" Corp","BLOOMBERG_MID_G_SPREAD","YAS_BOND_PX="&amp;V244,"YAS_BNCHMRK_BOND_PX="&amp;X244),"--")</f>
        <v/>
      </c>
      <c r="AA244" s="23">
        <f>IFERROR(BDP(D244,"LAST_PRICE"),"--")</f>
        <v/>
      </c>
      <c r="AB244" s="24" t="n"/>
      <c r="AC244" s="23">
        <f>IFERROR(IF(ISBLANK(AB244),AA244,AB244),"--")</f>
        <v/>
      </c>
      <c r="AD244" s="23">
        <f>IFERROR(MAX(-500,MIN(500,AC244-Z244)),"--")</f>
        <v/>
      </c>
      <c r="AE244" s="25">
        <f>IFERROR((AD244-S244)/(T244-S244)*100,"--")</f>
        <v/>
      </c>
    </row>
    <row r="245">
      <c r="A245" s="11" t="inlineStr">
        <is>
          <t>UNH</t>
        </is>
      </c>
      <c r="B245" s="12" t="inlineStr">
        <is>
          <t>IG</t>
        </is>
      </c>
      <c r="C245" s="11" t="inlineStr">
        <is>
          <t>UNH 5.15 07/15/34</t>
        </is>
      </c>
      <c r="D245" s="12" t="inlineStr">
        <is>
          <t>UNH CDS USD SR 5Y D14 Corp</t>
        </is>
      </c>
      <c r="E245" s="12" t="inlineStr">
        <is>
          <t>US91324PFJ66</t>
        </is>
      </c>
      <c r="F245" s="13" t="n">
        <v>45659</v>
      </c>
      <c r="G245" s="13" t="n">
        <v>46225</v>
      </c>
      <c r="H245" s="13" t="n">
        <v>49298</v>
      </c>
      <c r="I245" s="14" t="n">
        <v>67.83149719238281</v>
      </c>
      <c r="J245" s="14" t="n">
        <v>48.33290100097656</v>
      </c>
      <c r="K245" s="14" t="n">
        <v>67.55200000000001</v>
      </c>
      <c r="L245" s="14" t="n">
        <v>59.357</v>
      </c>
      <c r="M245" s="15" t="n">
        <v>389</v>
      </c>
      <c r="N245" s="16" t="n">
        <v>0.2794971923828058</v>
      </c>
      <c r="O245" s="17" t="n">
        <v>-26.64170153808594</v>
      </c>
      <c r="P245" s="17" t="n">
        <v>10.55959924316407</v>
      </c>
      <c r="Q245" s="18" t="n">
        <v>72.36628334253683</v>
      </c>
      <c r="R245" s="17" t="n">
        <v>-19.21909899902344</v>
      </c>
      <c r="S245" s="17" t="n">
        <v>-40.50950134277343</v>
      </c>
      <c r="T245" s="17" t="n">
        <v>-10.07109991455078</v>
      </c>
      <c r="U245" s="19" t="n">
        <v>69.9458622817472</v>
      </c>
      <c r="V245" s="20">
        <f>IFERROR(BDP(E245&amp;" Corp","LAST_PRICE"),"--")</f>
        <v/>
      </c>
      <c r="W245" s="21">
        <f>IFERROR(BDP(E245&amp;" Corp","YAS_BENCHMARK_BOND_ISIN"),"--")</f>
        <v/>
      </c>
      <c r="X245" s="22">
        <f>IFERROR(BDP(W245&amp;" CORP","LAST_PRICE"),"--")</f>
        <v/>
      </c>
      <c r="Y245" s="23">
        <f>IFERROR(BDP(E245&amp;" Corp","YAS_YLD_SPREAD","YAS_BOND_PX="&amp;V245,"YAS_BNCHMRK_BOND_PX="&amp;X245),"--")</f>
        <v/>
      </c>
      <c r="Z245" s="23">
        <f>IFERROR(BDP(E245&amp;" Corp","BLOOMBERG_MID_G_SPREAD","YAS_BOND_PX="&amp;V245,"YAS_BNCHMRK_BOND_PX="&amp;X245),"--")</f>
        <v/>
      </c>
      <c r="AA245" s="23">
        <f>IFERROR(BDP(D245,"LAST_PRICE"),"--")</f>
        <v/>
      </c>
      <c r="AB245" s="24" t="n"/>
      <c r="AC245" s="23">
        <f>IFERROR(IF(ISBLANK(AB245),AA245,AB245),"--")</f>
        <v/>
      </c>
      <c r="AD245" s="23">
        <f>IFERROR(MAX(-500,MIN(500,AC245-Z245)),"--")</f>
        <v/>
      </c>
      <c r="AE245" s="25">
        <f>IFERROR((AD245-S245)/(T245-S245)*100,"--")</f>
        <v/>
      </c>
    </row>
    <row r="246">
      <c r="A246" s="26" t="inlineStr">
        <is>
          <t>UNP</t>
        </is>
      </c>
      <c r="B246" s="27" t="inlineStr">
        <is>
          <t>IG</t>
        </is>
      </c>
      <c r="C246" s="26" t="inlineStr">
        <is>
          <t>UNP 5.1 02/20/35</t>
        </is>
      </c>
      <c r="D246" s="27" t="inlineStr">
        <is>
          <t>UNP CDS USD SR 5Y D14 Corp</t>
        </is>
      </c>
      <c r="E246" s="27" t="inlineStr">
        <is>
          <t>US907818GG79</t>
        </is>
      </c>
      <c r="F246" s="28" t="n">
        <v>45736</v>
      </c>
      <c r="G246" s="28" t="n">
        <v>46225</v>
      </c>
      <c r="H246" s="28" t="n">
        <v>49480</v>
      </c>
      <c r="I246" s="29" t="n">
        <v>34.79740142822266</v>
      </c>
      <c r="J246" s="29" t="n">
        <v>18.84259986877441</v>
      </c>
      <c r="K246" s="29" t="n">
        <v>49.746</v>
      </c>
      <c r="L246" s="29" t="n">
        <v>45.754</v>
      </c>
      <c r="M246" s="30" t="n">
        <v>333</v>
      </c>
      <c r="N246" s="31" t="n">
        <v>-14.94859857177735</v>
      </c>
      <c r="O246" s="32" t="n">
        <v>-46.32330154418945</v>
      </c>
      <c r="P246" s="32" t="n">
        <v>-9.372001342773437</v>
      </c>
      <c r="Q246" s="33" t="n">
        <v>84.90825167556565</v>
      </c>
      <c r="R246" s="32" t="n">
        <v>-30.90340013122559</v>
      </c>
      <c r="S246" s="32" t="n">
        <v>-61.53999923706054</v>
      </c>
      <c r="T246" s="32" t="n">
        <v>-26.33139936828614</v>
      </c>
      <c r="U246" s="34" t="n">
        <v>87.01453400595392</v>
      </c>
      <c r="V246" s="20">
        <f>IFERROR(BDP(E246&amp;" Corp","LAST_PRICE"),"--")</f>
        <v/>
      </c>
      <c r="W246" s="21">
        <f>IFERROR(BDP(E246&amp;" Corp","YAS_BENCHMARK_BOND_ISIN"),"--")</f>
        <v/>
      </c>
      <c r="X246" s="22">
        <f>IFERROR(BDP(W246&amp;" CORP","LAST_PRICE"),"--")</f>
        <v/>
      </c>
      <c r="Y246" s="23">
        <f>IFERROR(BDP(E246&amp;" Corp","YAS_YLD_SPREAD","YAS_BOND_PX="&amp;V246,"YAS_BNCHMRK_BOND_PX="&amp;X246),"--")</f>
        <v/>
      </c>
      <c r="Z246" s="23">
        <f>IFERROR(BDP(E246&amp;" Corp","BLOOMBERG_MID_G_SPREAD","YAS_BOND_PX="&amp;V246,"YAS_BNCHMRK_BOND_PX="&amp;X246),"--")</f>
        <v/>
      </c>
      <c r="AA246" s="23">
        <f>IFERROR(BDP(D246,"LAST_PRICE"),"--")</f>
        <v/>
      </c>
      <c r="AB246" s="24" t="n"/>
      <c r="AC246" s="23">
        <f>IFERROR(IF(ISBLANK(AB246),AA246,AB246),"--")</f>
        <v/>
      </c>
      <c r="AD246" s="23">
        <f>IFERROR(MAX(-500,MIN(500,AC246-Z246)),"--")</f>
        <v/>
      </c>
      <c r="AE246" s="25">
        <f>IFERROR((AD246-S246)/(T246-S246)*100,"--")</f>
        <v/>
      </c>
    </row>
    <row r="247">
      <c r="A247" s="11" t="inlineStr">
        <is>
          <t>UPS</t>
        </is>
      </c>
      <c r="B247" s="12" t="inlineStr">
        <is>
          <t>IG</t>
        </is>
      </c>
      <c r="C247" s="11" t="inlineStr">
        <is>
          <t>UPS 5.15 05/22/34</t>
        </is>
      </c>
      <c r="D247" s="12" t="inlineStr">
        <is>
          <t>UPS CDS USD SR 5Y D14 Corp</t>
        </is>
      </c>
      <c r="E247" s="12" t="inlineStr">
        <is>
          <t>US911312CD61</t>
        </is>
      </c>
      <c r="F247" s="13" t="n">
        <v>45659</v>
      </c>
      <c r="G247" s="13" t="n">
        <v>46225</v>
      </c>
      <c r="H247" s="13" t="n">
        <v>49115</v>
      </c>
      <c r="I247" s="14" t="n">
        <v>39.97079849243164</v>
      </c>
      <c r="J247" s="14" t="n">
        <v>24.08090019226074</v>
      </c>
      <c r="K247" s="14" t="n">
        <v>47.53</v>
      </c>
      <c r="L247" s="14" t="n">
        <v>38.674</v>
      </c>
      <c r="M247" s="15" t="n">
        <v>389</v>
      </c>
      <c r="N247" s="16" t="n">
        <v>-7.559201507568361</v>
      </c>
      <c r="O247" s="17" t="n">
        <v>-25.16510375976563</v>
      </c>
      <c r="P247" s="17" t="n">
        <v>7.309601348876953</v>
      </c>
      <c r="Q247" s="18" t="n">
        <v>54.21420207911838</v>
      </c>
      <c r="R247" s="17" t="n">
        <v>-23.44909980773926</v>
      </c>
      <c r="S247" s="17" t="n">
        <v>-39.21160110473633</v>
      </c>
      <c r="T247" s="17" t="n">
        <v>-7.844600158691406</v>
      </c>
      <c r="U247" s="19" t="n">
        <v>50.25185966650271</v>
      </c>
      <c r="V247" s="20">
        <f>IFERROR(BDP(E247&amp;" Corp","LAST_PRICE"),"--")</f>
        <v/>
      </c>
      <c r="W247" s="21">
        <f>IFERROR(BDP(E247&amp;" Corp","YAS_BENCHMARK_BOND_ISIN"),"--")</f>
        <v/>
      </c>
      <c r="X247" s="22">
        <f>IFERROR(BDP(W247&amp;" CORP","LAST_PRICE"),"--")</f>
        <v/>
      </c>
      <c r="Y247" s="23">
        <f>IFERROR(BDP(E247&amp;" Corp","YAS_YLD_SPREAD","YAS_BOND_PX="&amp;V247,"YAS_BNCHMRK_BOND_PX="&amp;X247),"--")</f>
        <v/>
      </c>
      <c r="Z247" s="23">
        <f>IFERROR(BDP(E247&amp;" Corp","BLOOMBERG_MID_G_SPREAD","YAS_BOND_PX="&amp;V247,"YAS_BNCHMRK_BOND_PX="&amp;X247),"--")</f>
        <v/>
      </c>
      <c r="AA247" s="23">
        <f>IFERROR(BDP(D247,"LAST_PRICE"),"--")</f>
        <v/>
      </c>
      <c r="AB247" s="24" t="n"/>
      <c r="AC247" s="23">
        <f>IFERROR(IF(ISBLANK(AB247),AA247,AB247),"--")</f>
        <v/>
      </c>
      <c r="AD247" s="23">
        <f>IFERROR(MAX(-500,MIN(500,AC247-Z247)),"--")</f>
        <v/>
      </c>
      <c r="AE247" s="25">
        <f>IFERROR((AD247-S247)/(T247-S247)*100,"--")</f>
        <v/>
      </c>
    </row>
    <row r="248">
      <c r="A248" s="26" t="inlineStr">
        <is>
          <t>VLO</t>
        </is>
      </c>
      <c r="B248" s="27" t="inlineStr">
        <is>
          <t>IG</t>
        </is>
      </c>
      <c r="C248" s="26" t="inlineStr">
        <is>
          <t>VLO 5.15 02/15/30</t>
        </is>
      </c>
      <c r="D248" s="27" t="inlineStr">
        <is>
          <t>VLO CDS USD SR 5Y D14 Corp</t>
        </is>
      </c>
      <c r="E248" s="27" t="inlineStr">
        <is>
          <t>US91913YBF60</t>
        </is>
      </c>
      <c r="F248" s="28" t="n">
        <v>45693</v>
      </c>
      <c r="G248" s="28" t="n">
        <v>46225</v>
      </c>
      <c r="H248" s="28" t="n">
        <v>47654</v>
      </c>
      <c r="I248" s="29" t="n">
        <v>34.16669845581055</v>
      </c>
      <c r="J248" s="29" t="n">
        <v>43.33330154418945</v>
      </c>
      <c r="K248" s="29" t="n">
        <v>52.729</v>
      </c>
      <c r="L248" s="29" t="n">
        <v>48.407</v>
      </c>
      <c r="M248" s="30" t="n">
        <v>366</v>
      </c>
      <c r="N248" s="31" t="n">
        <v>-18.56230154418945</v>
      </c>
      <c r="O248" s="32" t="n">
        <v>-54.3333985595703</v>
      </c>
      <c r="P248" s="32" t="n">
        <v>-12.47749972534179</v>
      </c>
      <c r="Q248" s="33" t="n">
        <v>85.46249874373338</v>
      </c>
      <c r="R248" s="32" t="n">
        <v>-9.395698455810546</v>
      </c>
      <c r="S248" s="32" t="n">
        <v>-40.43770001220702</v>
      </c>
      <c r="T248" s="32" t="n">
        <v>1.707899291992192</v>
      </c>
      <c r="U248" s="34" t="n">
        <v>73.65419419555764</v>
      </c>
      <c r="V248" s="20">
        <f>IFERROR(BDP(E248&amp;" Corp","LAST_PRICE"),"--")</f>
        <v/>
      </c>
      <c r="W248" s="21">
        <f>IFERROR(BDP(E248&amp;" Corp","YAS_BENCHMARK_BOND_ISIN"),"--")</f>
        <v/>
      </c>
      <c r="X248" s="22">
        <f>IFERROR(BDP(W248&amp;" CORP","LAST_PRICE"),"--")</f>
        <v/>
      </c>
      <c r="Y248" s="23">
        <f>IFERROR(BDP(E248&amp;" Corp","YAS_YLD_SPREAD","YAS_BOND_PX="&amp;V248,"YAS_BNCHMRK_BOND_PX="&amp;X248),"--")</f>
        <v/>
      </c>
      <c r="Z248" s="23">
        <f>IFERROR(BDP(E248&amp;" Corp","BLOOMBERG_MID_G_SPREAD","YAS_BOND_PX="&amp;V248,"YAS_BNCHMRK_BOND_PX="&amp;X248),"--")</f>
        <v/>
      </c>
      <c r="AA248" s="23">
        <f>IFERROR(BDP(D248,"LAST_PRICE"),"--")</f>
        <v/>
      </c>
      <c r="AB248" s="24" t="n"/>
      <c r="AC248" s="23">
        <f>IFERROR(IF(ISBLANK(AB248),AA248,AB248),"--")</f>
        <v/>
      </c>
      <c r="AD248" s="23">
        <f>IFERROR(MAX(-500,MIN(500,AC248-Z248)),"--")</f>
        <v/>
      </c>
      <c r="AE248" s="25">
        <f>IFERROR((AD248-S248)/(T248-S248)*100,"--")</f>
        <v/>
      </c>
    </row>
    <row r="249">
      <c r="A249" s="11" t="inlineStr">
        <is>
          <t>VZ</t>
        </is>
      </c>
      <c r="B249" s="12" t="inlineStr">
        <is>
          <t>IG</t>
        </is>
      </c>
      <c r="C249" s="11" t="inlineStr">
        <is>
          <t>VZ 5.05 05/09/33</t>
        </is>
      </c>
      <c r="D249" s="12" t="inlineStr">
        <is>
          <t>VZNEW CDS USD SR 5Y D14 Corp</t>
        </is>
      </c>
      <c r="E249" s="12" t="inlineStr">
        <is>
          <t>US92343VGT52</t>
        </is>
      </c>
      <c r="F249" s="13" t="n">
        <v>45659</v>
      </c>
      <c r="G249" s="13" t="n">
        <v>46225</v>
      </c>
      <c r="H249" s="13" t="n">
        <v>48750</v>
      </c>
      <c r="I249" s="14" t="n">
        <v>85.93440246582031</v>
      </c>
      <c r="J249" s="14" t="n">
        <v>67.89869689941406</v>
      </c>
      <c r="K249" s="14" t="n">
        <v>67.515</v>
      </c>
      <c r="L249" s="14" t="n">
        <v>54.767</v>
      </c>
      <c r="M249" s="15" t="n">
        <v>389</v>
      </c>
      <c r="N249" s="16" t="n">
        <v>18.41940246582031</v>
      </c>
      <c r="O249" s="17" t="n">
        <v>-2.09409765625</v>
      </c>
      <c r="P249" s="17" t="n">
        <v>23.73690319824219</v>
      </c>
      <c r="Q249" s="18" t="n">
        <v>79.41426752151136</v>
      </c>
      <c r="R249" s="17" t="n">
        <v>0.3836968994140619</v>
      </c>
      <c r="S249" s="17" t="n">
        <v>-17.06740240478516</v>
      </c>
      <c r="T249" s="17" t="n">
        <v>9.299403198242189</v>
      </c>
      <c r="U249" s="19" t="n">
        <v>66.18586857634186</v>
      </c>
      <c r="V249" s="20">
        <f>IFERROR(BDP(E249&amp;" Corp","LAST_PRICE"),"--")</f>
        <v/>
      </c>
      <c r="W249" s="21">
        <f>IFERROR(BDP(E249&amp;" Corp","YAS_BENCHMARK_BOND_ISIN"),"--")</f>
        <v/>
      </c>
      <c r="X249" s="22">
        <f>IFERROR(BDP(W249&amp;" CORP","LAST_PRICE"),"--")</f>
        <v/>
      </c>
      <c r="Y249" s="23">
        <f>IFERROR(BDP(E249&amp;" Corp","YAS_YLD_SPREAD","YAS_BOND_PX="&amp;V249,"YAS_BNCHMRK_BOND_PX="&amp;X249),"--")</f>
        <v/>
      </c>
      <c r="Z249" s="23">
        <f>IFERROR(BDP(E249&amp;" Corp","BLOOMBERG_MID_G_SPREAD","YAS_BOND_PX="&amp;V249,"YAS_BNCHMRK_BOND_PX="&amp;X249),"--")</f>
        <v/>
      </c>
      <c r="AA249" s="23">
        <f>IFERROR(BDP(D249,"LAST_PRICE"),"--")</f>
        <v/>
      </c>
      <c r="AB249" s="24" t="n"/>
      <c r="AC249" s="23">
        <f>IFERROR(IF(ISBLANK(AB249),AA249,AB249),"--")</f>
        <v/>
      </c>
      <c r="AD249" s="23">
        <f>IFERROR(MAX(-500,MIN(500,AC249-Z249)),"--")</f>
        <v/>
      </c>
      <c r="AE249" s="25">
        <f>IFERROR((AD249-S249)/(T249-S249)*100,"--")</f>
        <v/>
      </c>
    </row>
    <row r="250">
      <c r="A250" s="26" t="inlineStr">
        <is>
          <t>WMB</t>
        </is>
      </c>
      <c r="B250" s="27" t="inlineStr">
        <is>
          <t>IG</t>
        </is>
      </c>
      <c r="C250" s="26" t="inlineStr">
        <is>
          <t>WMB 4.65 08/15/32</t>
        </is>
      </c>
      <c r="D250" s="27" t="inlineStr">
        <is>
          <t>WMB CDS USD SR 5Y D14 Corp</t>
        </is>
      </c>
      <c r="E250" s="27" t="inlineStr">
        <is>
          <t>US969457BZ28</t>
        </is>
      </c>
      <c r="F250" s="28" t="n">
        <v>45659</v>
      </c>
      <c r="G250" s="28" t="n">
        <v>46225</v>
      </c>
      <c r="H250" s="28" t="n">
        <v>48568</v>
      </c>
      <c r="I250" s="29" t="n">
        <v>68.69830322265625</v>
      </c>
      <c r="J250" s="29" t="n">
        <v>51.03960037231445</v>
      </c>
      <c r="K250" s="29" t="n">
        <v>66.491</v>
      </c>
      <c r="L250" s="29" t="n">
        <v>73.995</v>
      </c>
      <c r="M250" s="30" t="n">
        <v>389</v>
      </c>
      <c r="N250" s="31" t="n">
        <v>2.20730322265625</v>
      </c>
      <c r="O250" s="32" t="n">
        <v>-31.70599664306641</v>
      </c>
      <c r="P250" s="32" t="n">
        <v>9.080103027343753</v>
      </c>
      <c r="Q250" s="33" t="n">
        <v>83.14916145396066</v>
      </c>
      <c r="R250" s="32" t="n">
        <v>-15.45139962768555</v>
      </c>
      <c r="S250" s="32" t="n">
        <v>-46.15220178222657</v>
      </c>
      <c r="T250" s="32" t="n">
        <v>-8.381399047851559</v>
      </c>
      <c r="U250" s="34" t="n">
        <v>81.28183658273268</v>
      </c>
      <c r="V250" s="20">
        <f>IFERROR(BDP(E250&amp;" Corp","LAST_PRICE"),"--")</f>
        <v/>
      </c>
      <c r="W250" s="21">
        <f>IFERROR(BDP(E250&amp;" Corp","YAS_BENCHMARK_BOND_ISIN"),"--")</f>
        <v/>
      </c>
      <c r="X250" s="22">
        <f>IFERROR(BDP(W250&amp;" CORP","LAST_PRICE"),"--")</f>
        <v/>
      </c>
      <c r="Y250" s="23">
        <f>IFERROR(BDP(E250&amp;" Corp","YAS_YLD_SPREAD","YAS_BOND_PX="&amp;V250,"YAS_BNCHMRK_BOND_PX="&amp;X250),"--")</f>
        <v/>
      </c>
      <c r="Z250" s="23">
        <f>IFERROR(BDP(E250&amp;" Corp","BLOOMBERG_MID_G_SPREAD","YAS_BOND_PX="&amp;V250,"YAS_BNCHMRK_BOND_PX="&amp;X250),"--")</f>
        <v/>
      </c>
      <c r="AA250" s="23">
        <f>IFERROR(BDP(D250,"LAST_PRICE"),"--")</f>
        <v/>
      </c>
      <c r="AB250" s="24" t="n"/>
      <c r="AC250" s="23">
        <f>IFERROR(IF(ISBLANK(AB250),AA250,AB250),"--")</f>
        <v/>
      </c>
      <c r="AD250" s="23">
        <f>IFERROR(MAX(-500,MIN(500,AC250-Z250)),"--")</f>
        <v/>
      </c>
      <c r="AE250" s="25">
        <f>IFERROR((AD250-S250)/(T250-S250)*100,"--")</f>
        <v/>
      </c>
    </row>
    <row r="251">
      <c r="A251" s="11" t="inlineStr">
        <is>
          <t>WMT</t>
        </is>
      </c>
      <c r="B251" s="12" t="inlineStr">
        <is>
          <t>IG</t>
        </is>
      </c>
      <c r="C251" s="11" t="inlineStr">
        <is>
          <t>WMT 4.1 04/15/33</t>
        </is>
      </c>
      <c r="D251" s="12" t="inlineStr">
        <is>
          <t>WMT CDS USD SR 5Y D14 Corp</t>
        </is>
      </c>
      <c r="E251" s="12" t="inlineStr">
        <is>
          <t>US931142FD05</t>
        </is>
      </c>
      <c r="F251" s="13" t="n">
        <v>45659</v>
      </c>
      <c r="G251" s="13" t="n">
        <v>46225</v>
      </c>
      <c r="H251" s="13" t="n">
        <v>48750</v>
      </c>
      <c r="I251" s="14" t="n">
        <v>30.73159980773926</v>
      </c>
      <c r="J251" s="14" t="n">
        <v>22.00020027160645</v>
      </c>
      <c r="K251" s="14" t="n">
        <v>24.604</v>
      </c>
      <c r="L251" s="14" t="n">
        <v>11.519</v>
      </c>
      <c r="M251" s="15" t="n">
        <v>387</v>
      </c>
      <c r="N251" s="16" t="n">
        <v>6.127599807739259</v>
      </c>
      <c r="O251" s="17" t="n">
        <v>-11.12769921875</v>
      </c>
      <c r="P251" s="17" t="n">
        <v>23.10560098266602</v>
      </c>
      <c r="Q251" s="18" t="n">
        <v>50.40501185969654</v>
      </c>
      <c r="R251" s="17" t="n">
        <v>-2.603799728393554</v>
      </c>
      <c r="S251" s="17" t="n">
        <v>-19.62230142211914</v>
      </c>
      <c r="T251" s="17" t="n">
        <v>14.88280055236816</v>
      </c>
      <c r="U251" s="19" t="n">
        <v>49.32169656043585</v>
      </c>
      <c r="V251" s="20">
        <f>IFERROR(BDP(E251&amp;" Corp","LAST_PRICE"),"--")</f>
        <v/>
      </c>
      <c r="W251" s="21">
        <f>IFERROR(BDP(E251&amp;" Corp","YAS_BENCHMARK_BOND_ISIN"),"--")</f>
        <v/>
      </c>
      <c r="X251" s="22">
        <f>IFERROR(BDP(W251&amp;" CORP","LAST_PRICE"),"--")</f>
        <v/>
      </c>
      <c r="Y251" s="23">
        <f>IFERROR(BDP(E251&amp;" Corp","YAS_YLD_SPREAD","YAS_BOND_PX="&amp;V251,"YAS_BNCHMRK_BOND_PX="&amp;X251),"--")</f>
        <v/>
      </c>
      <c r="Z251" s="23">
        <f>IFERROR(BDP(E251&amp;" Corp","BLOOMBERG_MID_G_SPREAD","YAS_BOND_PX="&amp;V251,"YAS_BNCHMRK_BOND_PX="&amp;X251),"--")</f>
        <v/>
      </c>
      <c r="AA251" s="23">
        <f>IFERROR(BDP(D251,"LAST_PRICE"),"--")</f>
        <v/>
      </c>
      <c r="AB251" s="24" t="n"/>
      <c r="AC251" s="23">
        <f>IFERROR(IF(ISBLANK(AB251),AA251,AB251),"--")</f>
        <v/>
      </c>
      <c r="AD251" s="23">
        <f>IFERROR(MAX(-500,MIN(500,AC251-Z251)),"--")</f>
        <v/>
      </c>
      <c r="AE251" s="25">
        <f>IFERROR((AD251-S251)/(T251-S251)*100,"--")</f>
        <v/>
      </c>
    </row>
    <row r="252">
      <c r="A252" s="26" t="inlineStr">
        <is>
          <t>WY</t>
        </is>
      </c>
      <c r="B252" s="27" t="inlineStr">
        <is>
          <t>IG</t>
        </is>
      </c>
      <c r="C252" s="26" t="inlineStr">
        <is>
          <t>WY 3 3/8 03/09/33</t>
        </is>
      </c>
      <c r="D252" s="27" t="inlineStr">
        <is>
          <t>WY CDS USD SR 5Y D14 Corp</t>
        </is>
      </c>
      <c r="E252" s="27" t="inlineStr">
        <is>
          <t>US962166CA07</t>
        </is>
      </c>
      <c r="F252" s="28" t="n">
        <v>45659</v>
      </c>
      <c r="G252" s="28" t="n">
        <v>46225</v>
      </c>
      <c r="H252" s="28" t="n">
        <v>48750</v>
      </c>
      <c r="I252" s="29" t="n">
        <v>38.83309936523438</v>
      </c>
      <c r="J252" s="29" t="n">
        <v>26.16650009155273</v>
      </c>
      <c r="K252" s="29" t="n">
        <v>77.081</v>
      </c>
      <c r="L252" s="29" t="n">
        <v>63.61</v>
      </c>
      <c r="M252" s="30" t="n">
        <v>389</v>
      </c>
      <c r="N252" s="31" t="n">
        <v>-38.24790063476563</v>
      </c>
      <c r="O252" s="32" t="n">
        <v>-79.01899810791016</v>
      </c>
      <c r="P252" s="32" t="n">
        <v>13.39109994506836</v>
      </c>
      <c r="Q252" s="33" t="n">
        <v>44.11974268198541</v>
      </c>
      <c r="R252" s="32" t="n">
        <v>-50.91449990844727</v>
      </c>
      <c r="S252" s="32" t="n">
        <v>-89.98949905395509</v>
      </c>
      <c r="T252" s="32" t="n">
        <v>1.296100631713866</v>
      </c>
      <c r="U252" s="34" t="n">
        <v>42.80521712083603</v>
      </c>
      <c r="V252" s="20">
        <f>IFERROR(BDP(E252&amp;" Corp","LAST_PRICE"),"--")</f>
        <v/>
      </c>
      <c r="W252" s="21">
        <f>IFERROR(BDP(E252&amp;" Corp","YAS_BENCHMARK_BOND_ISIN"),"--")</f>
        <v/>
      </c>
      <c r="X252" s="22">
        <f>IFERROR(BDP(W252&amp;" CORP","LAST_PRICE"),"--")</f>
        <v/>
      </c>
      <c r="Y252" s="23">
        <f>IFERROR(BDP(E252&amp;" Corp","YAS_YLD_SPREAD","YAS_BOND_PX="&amp;V252,"YAS_BNCHMRK_BOND_PX="&amp;X252),"--")</f>
        <v/>
      </c>
      <c r="Z252" s="23">
        <f>IFERROR(BDP(E252&amp;" Corp","BLOOMBERG_MID_G_SPREAD","YAS_BOND_PX="&amp;V252,"YAS_BNCHMRK_BOND_PX="&amp;X252),"--")</f>
        <v/>
      </c>
      <c r="AA252" s="23">
        <f>IFERROR(BDP(D252,"LAST_PRICE"),"--")</f>
        <v/>
      </c>
      <c r="AB252" s="24" t="n"/>
      <c r="AC252" s="23">
        <f>IFERROR(IF(ISBLANK(AB252),AA252,AB252),"--")</f>
        <v/>
      </c>
      <c r="AD252" s="23">
        <f>IFERROR(MAX(-500,MIN(500,AC252-Z252)),"--")</f>
        <v/>
      </c>
      <c r="AE252" s="25">
        <f>IFERROR((AD252-S252)/(T252-S252)*100,"--")</f>
        <v/>
      </c>
    </row>
    <row r="253">
      <c r="A253" s="11" t="inlineStr">
        <is>
          <t>BRK</t>
        </is>
      </c>
      <c r="B253" s="12" t="inlineStr">
        <is>
          <t>IG_Legacy</t>
        </is>
      </c>
      <c r="C253" s="11" t="inlineStr">
        <is>
          <t>BRK 2 7/8 03/15/32</t>
        </is>
      </c>
      <c r="D253" s="12" t="inlineStr">
        <is>
          <t>BERKSHIRE CDS USD SR 5Y D14 Corp</t>
        </is>
      </c>
      <c r="E253" s="12" t="inlineStr">
        <is>
          <t>US084664DA63</t>
        </is>
      </c>
      <c r="F253" s="13" t="n">
        <v>45659</v>
      </c>
      <c r="G253" s="13" t="n">
        <v>46225</v>
      </c>
      <c r="H253" s="13" t="n">
        <v>48385</v>
      </c>
      <c r="I253" s="14" t="n">
        <v>21.77919960021973</v>
      </c>
      <c r="J253" s="14" t="n">
        <v>17.04509925842285</v>
      </c>
      <c r="K253" s="14" t="n">
        <v>15.089</v>
      </c>
      <c r="L253" s="14" t="n">
        <v>19.409</v>
      </c>
      <c r="M253" s="15" t="n">
        <v>388</v>
      </c>
      <c r="N253" s="16" t="n">
        <v>6.690199600219726</v>
      </c>
      <c r="O253" s="17" t="n">
        <v>-39.54840054321289</v>
      </c>
      <c r="P253" s="17" t="n">
        <v>13.91359931945801</v>
      </c>
      <c r="Q253" s="18" t="n">
        <v>86.48872145113688</v>
      </c>
      <c r="R253" s="17" t="n">
        <v>1.956099258422851</v>
      </c>
      <c r="S253" s="17" t="n">
        <v>-42.18160023498535</v>
      </c>
      <c r="T253" s="17" t="n">
        <v>9.07</v>
      </c>
      <c r="U253" s="19" t="n">
        <v>86.11965146656814</v>
      </c>
      <c r="V253" s="20">
        <f>IFERROR(BDP(E253&amp;" Corp","LAST_PRICE"),"--")</f>
        <v/>
      </c>
      <c r="W253" s="21">
        <f>IFERROR(BDP(E253&amp;" Corp","YAS_BENCHMARK_BOND_ISIN"),"--")</f>
        <v/>
      </c>
      <c r="X253" s="22">
        <f>IFERROR(BDP(W253&amp;" CORP","LAST_PRICE"),"--")</f>
        <v/>
      </c>
      <c r="Y253" s="23">
        <f>IFERROR(BDP(E253&amp;" Corp","YAS_YLD_SPREAD","YAS_BOND_PX="&amp;V253,"YAS_BNCHMRK_BOND_PX="&amp;X253),"--")</f>
        <v/>
      </c>
      <c r="Z253" s="23">
        <f>IFERROR(BDP(E253&amp;" Corp","BLOOMBERG_MID_G_SPREAD","YAS_BOND_PX="&amp;V253,"YAS_BNCHMRK_BOND_PX="&amp;X253),"--")</f>
        <v/>
      </c>
      <c r="AA253" s="23">
        <f>IFERROR(BDP(D253,"LAST_PRICE"),"--")</f>
        <v/>
      </c>
      <c r="AB253" s="24" t="n"/>
      <c r="AC253" s="23">
        <f>IFERROR(IF(ISBLANK(AB253),AA253,AB253),"--")</f>
        <v/>
      </c>
      <c r="AD253" s="23">
        <f>IFERROR(MAX(-500,MIN(500,AC253-Z253)),"--")</f>
        <v/>
      </c>
      <c r="AE253" s="25">
        <f>IFERROR((AD253-S253)/(T253-S253)*100,"--")</f>
        <v/>
      </c>
    </row>
    <row r="254">
      <c r="A254" s="26" t="inlineStr">
        <is>
          <t>HES</t>
        </is>
      </c>
      <c r="B254" s="27" t="inlineStr">
        <is>
          <t>IG_Legacy</t>
        </is>
      </c>
      <c r="C254" s="26" t="inlineStr">
        <is>
          <t>HES 7.3 08/15/31</t>
        </is>
      </c>
      <c r="D254" s="27" t="inlineStr">
        <is>
          <t>HES CDS USD SR 5Y D14 Corp</t>
        </is>
      </c>
      <c r="E254" s="27" t="inlineStr">
        <is>
          <t>US023551AJ38</t>
        </is>
      </c>
      <c r="F254" s="28" t="n">
        <v>45659</v>
      </c>
      <c r="G254" s="28" t="n">
        <v>46225</v>
      </c>
      <c r="H254" s="28" t="n">
        <v>48202</v>
      </c>
      <c r="I254" s="29" t="n">
        <v>35.97829818725586</v>
      </c>
      <c r="J254" s="29" t="n">
        <v>29.33340072631836</v>
      </c>
      <c r="K254" s="29" t="n">
        <v>55.415</v>
      </c>
      <c r="L254" s="29" t="n">
        <v>58.52</v>
      </c>
      <c r="M254" s="30" t="n">
        <v>386</v>
      </c>
      <c r="N254" s="31" t="n">
        <v>-19.43670181274414</v>
      </c>
      <c r="O254" s="32" t="n">
        <v>-50.36839636230469</v>
      </c>
      <c r="P254" s="32" t="n">
        <v>6.18470184326172</v>
      </c>
      <c r="Q254" s="33" t="n">
        <v>54.69496018967182</v>
      </c>
      <c r="R254" s="32" t="n">
        <v>-26.08159927368164</v>
      </c>
      <c r="S254" s="32" t="n">
        <v>-54.13119848632813</v>
      </c>
      <c r="T254" s="32" t="n">
        <v>1.906000061035158</v>
      </c>
      <c r="U254" s="34" t="n">
        <v>50.05532028682455</v>
      </c>
      <c r="V254" s="20">
        <f>IFERROR(BDP(E254&amp;" Corp","LAST_PRICE"),"--")</f>
        <v/>
      </c>
      <c r="W254" s="21">
        <f>IFERROR(BDP(E254&amp;" Corp","YAS_BENCHMARK_BOND_ISIN"),"--")</f>
        <v/>
      </c>
      <c r="X254" s="22">
        <f>IFERROR(BDP(W254&amp;" CORP","LAST_PRICE"),"--")</f>
        <v/>
      </c>
      <c r="Y254" s="23">
        <f>IFERROR(BDP(E254&amp;" Corp","YAS_YLD_SPREAD","YAS_BOND_PX="&amp;V254,"YAS_BNCHMRK_BOND_PX="&amp;X254),"--")</f>
        <v/>
      </c>
      <c r="Z254" s="23">
        <f>IFERROR(BDP(E254&amp;" Corp","BLOOMBERG_MID_G_SPREAD","YAS_BOND_PX="&amp;V254,"YAS_BNCHMRK_BOND_PX="&amp;X254),"--")</f>
        <v/>
      </c>
      <c r="AA254" s="23">
        <f>IFERROR(BDP(D254,"LAST_PRICE"),"--")</f>
        <v/>
      </c>
      <c r="AB254" s="24" t="n"/>
      <c r="AC254" s="23">
        <f>IFERROR(IF(ISBLANK(AB254),AA254,AB254),"--")</f>
        <v/>
      </c>
      <c r="AD254" s="23">
        <f>IFERROR(MAX(-500,MIN(500,AC254-Z254)),"--")</f>
        <v/>
      </c>
      <c r="AE254" s="25">
        <f>IFERROR((AD254-S254)/(T254-S254)*100,"--")</f>
        <v/>
      </c>
    </row>
    <row r="255">
      <c r="A255" s="11" t="inlineStr">
        <is>
          <t>LTR</t>
        </is>
      </c>
      <c r="B255" s="12" t="inlineStr">
        <is>
          <t>IG_Legacy</t>
        </is>
      </c>
      <c r="C255" s="11" t="inlineStr">
        <is>
          <t>L 3.2 05/15/30</t>
        </is>
      </c>
      <c r="D255" s="12" t="inlineStr">
        <is>
          <t>L CDS USD SR 5Y D14 Corp</t>
        </is>
      </c>
      <c r="E255" s="12" t="inlineStr">
        <is>
          <t>US540424AT59</t>
        </is>
      </c>
      <c r="F255" s="13" t="n">
        <v>45659</v>
      </c>
      <c r="G255" s="13" t="n">
        <v>46225</v>
      </c>
      <c r="H255" s="13" t="n">
        <v>47654</v>
      </c>
      <c r="I255" s="14" t="n">
        <v>23.35919952392578</v>
      </c>
      <c r="J255" s="14" t="n">
        <v>29.81180000305176</v>
      </c>
      <c r="K255" s="14" t="n">
        <v>49.821</v>
      </c>
      <c r="L255" s="14" t="n">
        <v>45.82</v>
      </c>
      <c r="M255" s="15" t="n">
        <v>389</v>
      </c>
      <c r="N255" s="16" t="n">
        <v>-26.46180047607422</v>
      </c>
      <c r="O255" s="17" t="n">
        <v>-65.63819914245606</v>
      </c>
      <c r="P255" s="17" t="n">
        <v>-18.71089981079101</v>
      </c>
      <c r="Q255" s="18" t="n">
        <v>83.48317338591625</v>
      </c>
      <c r="R255" s="17" t="n">
        <v>-20.00919999694824</v>
      </c>
      <c r="S255" s="17" t="n">
        <v>-56.79469900512696</v>
      </c>
      <c r="T255" s="17" t="n">
        <v>-10.97990081787109</v>
      </c>
      <c r="U255" s="19" t="n">
        <v>80.29174079917961</v>
      </c>
      <c r="V255" s="20">
        <f>IFERROR(BDP(E255&amp;" Corp","LAST_PRICE"),"--")</f>
        <v/>
      </c>
      <c r="W255" s="21">
        <f>IFERROR(BDP(E255&amp;" Corp","YAS_BENCHMARK_BOND_ISIN"),"--")</f>
        <v/>
      </c>
      <c r="X255" s="22">
        <f>IFERROR(BDP(W255&amp;" CORP","LAST_PRICE"),"--")</f>
        <v/>
      </c>
      <c r="Y255" s="23">
        <f>IFERROR(BDP(E255&amp;" Corp","YAS_YLD_SPREAD","YAS_BOND_PX="&amp;V255,"YAS_BNCHMRK_BOND_PX="&amp;X255),"--")</f>
        <v/>
      </c>
      <c r="Z255" s="23">
        <f>IFERROR(BDP(E255&amp;" Corp","BLOOMBERG_MID_G_SPREAD","YAS_BOND_PX="&amp;V255,"YAS_BNCHMRK_BOND_PX="&amp;X255),"--")</f>
        <v/>
      </c>
      <c r="AA255" s="23">
        <f>IFERROR(BDP(D255,"LAST_PRICE"),"--")</f>
        <v/>
      </c>
      <c r="AB255" s="24" t="n"/>
      <c r="AC255" s="23">
        <f>IFERROR(IF(ISBLANK(AB255),AA255,AB255),"--")</f>
        <v/>
      </c>
      <c r="AD255" s="23">
        <f>IFERROR(MAX(-500,MIN(500,AC255-Z255)),"--")</f>
        <v/>
      </c>
      <c r="AE255" s="25">
        <f>IFERROR((AD255-S255)/(T255-S255)*100,"--")</f>
        <v/>
      </c>
    </row>
    <row r="256">
      <c r="A256" s="26" t="inlineStr">
        <is>
          <t>MDC</t>
        </is>
      </c>
      <c r="B256" s="27" t="inlineStr">
        <is>
          <t>IG_Legacy</t>
        </is>
      </c>
      <c r="C256" s="26" t="inlineStr">
        <is>
          <t>MDC 2 1/2 01/15/31</t>
        </is>
      </c>
      <c r="D256" s="27" t="inlineStr">
        <is>
          <t>MDC CDS USD SR 5Y D14 Corp</t>
        </is>
      </c>
      <c r="E256" s="27" t="inlineStr">
        <is>
          <t>US552676AU23</t>
        </is>
      </c>
      <c r="F256" s="28" t="n">
        <v>45975</v>
      </c>
      <c r="G256" s="28" t="n">
        <v>46225</v>
      </c>
      <c r="H256" s="28" t="n">
        <v>48019</v>
      </c>
      <c r="I256" s="29" t="n">
        <v>90.05380249023438</v>
      </c>
      <c r="J256" s="29" t="n">
        <v>90.05380249023438</v>
      </c>
      <c r="K256" s="29" t="n">
        <v>127.781</v>
      </c>
      <c r="L256" s="29" t="n">
        <v>125.781</v>
      </c>
      <c r="M256" s="30" t="n">
        <v>172</v>
      </c>
      <c r="N256" s="31" t="n">
        <v>-37.72719750976563</v>
      </c>
      <c r="O256" s="32" t="n">
        <v>-62.829900390625</v>
      </c>
      <c r="P256" s="32" t="n">
        <v>-27.7906986694336</v>
      </c>
      <c r="Q256" s="33" t="n">
        <v>71.64176593006533</v>
      </c>
      <c r="R256" s="32" t="n">
        <v>-37.72719750976563</v>
      </c>
      <c r="S256" s="32" t="n">
        <v>-62.829900390625</v>
      </c>
      <c r="T256" s="32" t="n">
        <v>-27.7906986694336</v>
      </c>
      <c r="U256" s="34" t="n">
        <v>71.64176593006533</v>
      </c>
      <c r="V256" s="20">
        <f>IFERROR(BDP(E256&amp;" Corp","LAST_PRICE"),"--")</f>
        <v/>
      </c>
      <c r="W256" s="21">
        <f>IFERROR(BDP(E256&amp;" Corp","YAS_BENCHMARK_BOND_ISIN"),"--")</f>
        <v/>
      </c>
      <c r="X256" s="22">
        <f>IFERROR(BDP(W256&amp;" CORP","LAST_PRICE"),"--")</f>
        <v/>
      </c>
      <c r="Y256" s="23">
        <f>IFERROR(BDP(E256&amp;" Corp","YAS_YLD_SPREAD","YAS_BOND_PX="&amp;V256,"YAS_BNCHMRK_BOND_PX="&amp;X256),"--")</f>
        <v/>
      </c>
      <c r="Z256" s="23">
        <f>IFERROR(BDP(E256&amp;" Corp","BLOOMBERG_MID_G_SPREAD","YAS_BOND_PX="&amp;V256,"YAS_BNCHMRK_BOND_PX="&amp;X256),"--")</f>
        <v/>
      </c>
      <c r="AA256" s="23">
        <f>IFERROR(BDP(D256,"LAST_PRICE"),"--")</f>
        <v/>
      </c>
      <c r="AB256" s="24" t="n"/>
      <c r="AC256" s="23">
        <f>IFERROR(IF(ISBLANK(AB256),AA256,AB256),"--")</f>
        <v/>
      </c>
      <c r="AD256" s="23">
        <f>IFERROR(MAX(-500,MIN(500,AC256-Z256)),"--")</f>
        <v/>
      </c>
      <c r="AE256" s="25">
        <f>IFERROR((AD256-S256)/(T256-S256)*100,"--")</f>
        <v/>
      </c>
    </row>
    <row r="257">
      <c r="A257" s="11" t="inlineStr">
        <is>
          <t>NRUC</t>
        </is>
      </c>
      <c r="B257" s="12" t="inlineStr">
        <is>
          <t>IG_Legacy</t>
        </is>
      </c>
      <c r="C257" s="11" t="inlineStr">
        <is>
          <t>NRUC 4.95 02/07/30</t>
        </is>
      </c>
      <c r="D257" s="12" t="inlineStr">
        <is>
          <t>NRUC CDS USD SR 5Y D14 Corp</t>
        </is>
      </c>
      <c r="E257" s="12" t="inlineStr">
        <is>
          <t>US63743HFX52</t>
        </is>
      </c>
      <c r="F257" s="13" t="n">
        <v>45692</v>
      </c>
      <c r="G257" s="13" t="n">
        <v>46225</v>
      </c>
      <c r="H257" s="13" t="n">
        <v>47654</v>
      </c>
      <c r="I257" s="14" t="n">
        <v>16.2544994354248</v>
      </c>
      <c r="J257" s="14" t="n">
        <v>21.33629989624023</v>
      </c>
      <c r="K257" s="14" t="n">
        <v>46.682</v>
      </c>
      <c r="L257" s="14" t="n">
        <v>41.912</v>
      </c>
      <c r="M257" s="15" t="n">
        <v>367</v>
      </c>
      <c r="N257" s="16" t="n">
        <v>-30.4275005645752</v>
      </c>
      <c r="O257" s="17" t="n">
        <v>-60.62600050354004</v>
      </c>
      <c r="P257" s="17" t="n">
        <v>-21.70619949340821</v>
      </c>
      <c r="Q257" s="18" t="n">
        <v>77.59160929703467</v>
      </c>
      <c r="R257" s="17" t="n">
        <v>-25.34570010375977</v>
      </c>
      <c r="S257" s="17" t="n">
        <v>-52.26729879760742</v>
      </c>
      <c r="T257" s="17" t="n">
        <v>-13.34490020751953</v>
      </c>
      <c r="U257" s="19" t="n">
        <v>69.16736806837901</v>
      </c>
      <c r="V257" s="20">
        <f>IFERROR(BDP(E257&amp;" Corp","LAST_PRICE"),"--")</f>
        <v/>
      </c>
      <c r="W257" s="21">
        <f>IFERROR(BDP(E257&amp;" Corp","YAS_BENCHMARK_BOND_ISIN"),"--")</f>
        <v/>
      </c>
      <c r="X257" s="22">
        <f>IFERROR(BDP(W257&amp;" CORP","LAST_PRICE"),"--")</f>
        <v/>
      </c>
      <c r="Y257" s="23">
        <f>IFERROR(BDP(E257&amp;" Corp","YAS_YLD_SPREAD","YAS_BOND_PX="&amp;V257,"YAS_BNCHMRK_BOND_PX="&amp;X257),"--")</f>
        <v/>
      </c>
      <c r="Z257" s="23">
        <f>IFERROR(BDP(E257&amp;" Corp","BLOOMBERG_MID_G_SPREAD","YAS_BOND_PX="&amp;V257,"YAS_BNCHMRK_BOND_PX="&amp;X257),"--")</f>
        <v/>
      </c>
      <c r="AA257" s="23">
        <f>IFERROR(BDP(D257,"LAST_PRICE"),"--")</f>
        <v/>
      </c>
      <c r="AB257" s="24" t="n"/>
      <c r="AC257" s="23">
        <f>IFERROR(IF(ISBLANK(AB257),AA257,AB257),"--")</f>
        <v/>
      </c>
      <c r="AD257" s="23">
        <f>IFERROR(MAX(-500,MIN(500,AC257-Z257)),"--")</f>
        <v/>
      </c>
      <c r="AE257" s="25">
        <f>IFERROR((AD257-S257)/(T257-S257)*100,"--")</f>
        <v/>
      </c>
    </row>
    <row r="258">
      <c r="A258" s="26" t="inlineStr">
        <is>
          <t>NSC</t>
        </is>
      </c>
      <c r="B258" s="27" t="inlineStr">
        <is>
          <t>IG_Legacy</t>
        </is>
      </c>
      <c r="C258" s="26" t="inlineStr">
        <is>
          <t>NSC 4.45 03/01/33</t>
        </is>
      </c>
      <c r="D258" s="27" t="inlineStr">
        <is>
          <t>NSC CDS USD SR 5Y D14 Corp</t>
        </is>
      </c>
      <c r="E258" s="27" t="inlineStr">
        <is>
          <t>US655844CQ90</t>
        </is>
      </c>
      <c r="F258" s="28" t="n">
        <v>45659</v>
      </c>
      <c r="G258" s="28" t="n">
        <v>46225</v>
      </c>
      <c r="H258" s="28" t="n">
        <v>48750</v>
      </c>
      <c r="I258" s="29" t="n">
        <v>27.75399971008301</v>
      </c>
      <c r="J258" s="29" t="n">
        <v>17.34180068969727</v>
      </c>
      <c r="K258" s="29" t="n">
        <v>51.229</v>
      </c>
      <c r="L258" s="29" t="n">
        <v>36.652</v>
      </c>
      <c r="M258" s="30" t="n">
        <v>389</v>
      </c>
      <c r="N258" s="31" t="n">
        <v>-23.47500028991699</v>
      </c>
      <c r="O258" s="32" t="n">
        <v>-64.46020043945313</v>
      </c>
      <c r="P258" s="32" t="n">
        <v>-11.03610023498535</v>
      </c>
      <c r="Q258" s="33" t="n">
        <v>76.71668777326195</v>
      </c>
      <c r="R258" s="32" t="n">
        <v>-33.88719931030273</v>
      </c>
      <c r="S258" s="32" t="n">
        <v>-73.27720178222657</v>
      </c>
      <c r="T258" s="32" t="n">
        <v>-19.96409973144532</v>
      </c>
      <c r="U258" s="34" t="n">
        <v>73.88428164319622</v>
      </c>
      <c r="V258" s="20">
        <f>IFERROR(BDP(E258&amp;" Corp","LAST_PRICE"),"--")</f>
        <v/>
      </c>
      <c r="W258" s="21">
        <f>IFERROR(BDP(E258&amp;" Corp","YAS_BENCHMARK_BOND_ISIN"),"--")</f>
        <v/>
      </c>
      <c r="X258" s="22">
        <f>IFERROR(BDP(W258&amp;" CORP","LAST_PRICE"),"--")</f>
        <v/>
      </c>
      <c r="Y258" s="23">
        <f>IFERROR(BDP(E258&amp;" Corp","YAS_YLD_SPREAD","YAS_BOND_PX="&amp;V258,"YAS_BNCHMRK_BOND_PX="&amp;X258),"--")</f>
        <v/>
      </c>
      <c r="Z258" s="23">
        <f>IFERROR(BDP(E258&amp;" Corp","BLOOMBERG_MID_G_SPREAD","YAS_BOND_PX="&amp;V258,"YAS_BNCHMRK_BOND_PX="&amp;X258),"--")</f>
        <v/>
      </c>
      <c r="AA258" s="23">
        <f>IFERROR(BDP(D258,"LAST_PRICE"),"--")</f>
        <v/>
      </c>
      <c r="AB258" s="24" t="n"/>
      <c r="AC258" s="23">
        <f>IFERROR(IF(ISBLANK(AB258),AA258,AB258),"--")</f>
        <v/>
      </c>
      <c r="AD258" s="23">
        <f>IFERROR(MAX(-500,MIN(500,AC258-Z258)),"--")</f>
        <v/>
      </c>
      <c r="AE258" s="25">
        <f>IFERROR((AD258-S258)/(T258-S258)*100,"--")</f>
        <v/>
      </c>
    </row>
    <row r="259">
      <c r="A259" s="11" t="inlineStr">
        <is>
          <t>PKG</t>
        </is>
      </c>
      <c r="B259" s="12" t="inlineStr">
        <is>
          <t>IG_Legacy</t>
        </is>
      </c>
      <c r="C259" s="11" t="inlineStr">
        <is>
          <t>PKG 5.7 12/01/33</t>
        </is>
      </c>
      <c r="D259" s="12" t="inlineStr">
        <is>
          <t>PKG CDS USD SR 5Y D14 Corp</t>
        </is>
      </c>
      <c r="E259" s="12" t="inlineStr">
        <is>
          <t>US695156AX75</t>
        </is>
      </c>
      <c r="F259" s="13" t="n">
        <v>45659</v>
      </c>
      <c r="G259" s="13" t="n">
        <v>46225</v>
      </c>
      <c r="H259" s="13" t="n">
        <v>48933</v>
      </c>
      <c r="I259" s="14" t="n">
        <v>46.95529937744141</v>
      </c>
      <c r="J259" s="14" t="n">
        <v>32.24909973144531</v>
      </c>
      <c r="K259" s="14" t="n">
        <v>74.414</v>
      </c>
      <c r="L259" s="14" t="n">
        <v>63.132</v>
      </c>
      <c r="M259" s="15" t="n">
        <v>389</v>
      </c>
      <c r="N259" s="16" t="n">
        <v>-27.4587006225586</v>
      </c>
      <c r="O259" s="17" t="n">
        <v>-76.55470178222656</v>
      </c>
      <c r="P259" s="17" t="n">
        <v>-16.23789984130859</v>
      </c>
      <c r="Q259" s="18" t="n">
        <v>81.39689038513498</v>
      </c>
      <c r="R259" s="17" t="n">
        <v>-42.16490026855469</v>
      </c>
      <c r="S259" s="17" t="n">
        <v>-87.05329858398437</v>
      </c>
      <c r="T259" s="17" t="n">
        <v>-31.95740133666992</v>
      </c>
      <c r="U259" s="19" t="n">
        <v>81.4732140833185</v>
      </c>
      <c r="V259" s="20">
        <f>IFERROR(BDP(E259&amp;" Corp","LAST_PRICE"),"--")</f>
        <v/>
      </c>
      <c r="W259" s="21">
        <f>IFERROR(BDP(E259&amp;" Corp","YAS_BENCHMARK_BOND_ISIN"),"--")</f>
        <v/>
      </c>
      <c r="X259" s="22">
        <f>IFERROR(BDP(W259&amp;" CORP","LAST_PRICE"),"--")</f>
        <v/>
      </c>
      <c r="Y259" s="23">
        <f>IFERROR(BDP(E259&amp;" Corp","YAS_YLD_SPREAD","YAS_BOND_PX="&amp;V259,"YAS_BNCHMRK_BOND_PX="&amp;X259),"--")</f>
        <v/>
      </c>
      <c r="Z259" s="23">
        <f>IFERROR(BDP(E259&amp;" Corp","BLOOMBERG_MID_G_SPREAD","YAS_BOND_PX="&amp;V259,"YAS_BNCHMRK_BOND_PX="&amp;X259),"--")</f>
        <v/>
      </c>
      <c r="AA259" s="23">
        <f>IFERROR(BDP(D259,"LAST_PRICE"),"--")</f>
        <v/>
      </c>
      <c r="AB259" s="24" t="n"/>
      <c r="AC259" s="23">
        <f>IFERROR(IF(ISBLANK(AB259),AA259,AB259),"--")</f>
        <v/>
      </c>
      <c r="AD259" s="23">
        <f>IFERROR(MAX(-500,MIN(500,AC259-Z259)),"--")</f>
        <v/>
      </c>
      <c r="AE259" s="25">
        <f>IFERROR((AD259-S259)/(T259-S259)*100,"--")</f>
        <v/>
      </c>
    </row>
    <row r="260">
      <c r="A260" s="26" t="inlineStr">
        <is>
          <t>TECK</t>
        </is>
      </c>
      <c r="B260" s="27" t="inlineStr">
        <is>
          <t>IG_Legacy</t>
        </is>
      </c>
      <c r="C260" s="26" t="inlineStr">
        <is>
          <t>TCKBCN 6 1/8 10/01/35</t>
        </is>
      </c>
      <c r="D260" s="27" t="inlineStr">
        <is>
          <t>TCKBCN CDS USD SR 5Y D14 Corp</t>
        </is>
      </c>
      <c r="E260" s="27" t="inlineStr">
        <is>
          <t>US878742AE55</t>
        </is>
      </c>
      <c r="F260" s="28" t="n">
        <v>45922</v>
      </c>
      <c r="G260" s="28" t="n">
        <v>46225</v>
      </c>
      <c r="H260" s="28" t="n">
        <v>49663</v>
      </c>
      <c r="I260" s="29" t="n">
        <v>85.80329895019531</v>
      </c>
      <c r="J260" s="29" t="n">
        <v>42.93249893188477</v>
      </c>
      <c r="K260" s="29" t="n">
        <v>105.521</v>
      </c>
      <c r="L260" s="29" t="n">
        <v>98.86</v>
      </c>
      <c r="M260" s="30" t="n">
        <v>208</v>
      </c>
      <c r="N260" s="31" t="n">
        <v>-19.71770104980469</v>
      </c>
      <c r="O260" s="32" t="n">
        <v>-52.99209686279298</v>
      </c>
      <c r="P260" s="32" t="n">
        <v>-6.94890075683594</v>
      </c>
      <c r="Q260" s="33" t="n">
        <v>72.26778031745556</v>
      </c>
      <c r="R260" s="32" t="n">
        <v>-62.58850106811524</v>
      </c>
      <c r="S260" s="32" t="n">
        <v>-82.14689993286132</v>
      </c>
      <c r="T260" s="32" t="n">
        <v>-19.38110028076173</v>
      </c>
      <c r="U260" s="34" t="n">
        <v>31.16091720834442</v>
      </c>
      <c r="V260" s="20">
        <f>IFERROR(BDP(E260&amp;" Corp","LAST_PRICE"),"--")</f>
        <v/>
      </c>
      <c r="W260" s="21">
        <f>IFERROR(BDP(E260&amp;" Corp","YAS_BENCHMARK_BOND_ISIN"),"--")</f>
        <v/>
      </c>
      <c r="X260" s="22">
        <f>IFERROR(BDP(W260&amp;" CORP","LAST_PRICE"),"--")</f>
        <v/>
      </c>
      <c r="Y260" s="23">
        <f>IFERROR(BDP(E260&amp;" Corp","YAS_YLD_SPREAD","YAS_BOND_PX="&amp;V260,"YAS_BNCHMRK_BOND_PX="&amp;X260),"--")</f>
        <v/>
      </c>
      <c r="Z260" s="23">
        <f>IFERROR(BDP(E260&amp;" Corp","BLOOMBERG_MID_G_SPREAD","YAS_BOND_PX="&amp;V260,"YAS_BNCHMRK_BOND_PX="&amp;X260),"--")</f>
        <v/>
      </c>
      <c r="AA260" s="23">
        <f>IFERROR(BDP(D260,"LAST_PRICE"),"--")</f>
        <v/>
      </c>
      <c r="AB260" s="24" t="n"/>
      <c r="AC260" s="23">
        <f>IFERROR(IF(ISBLANK(AB260),AA260,AB260),"--")</f>
        <v/>
      </c>
      <c r="AD260" s="23">
        <f>IFERROR(MAX(-500,MIN(500,AC260-Z260)),"--")</f>
        <v/>
      </c>
      <c r="AE260" s="25">
        <f>IFERROR((AD260-S260)/(T260-S260)*100,"--")</f>
        <v/>
      </c>
    </row>
    <row r="261">
      <c r="A261" s="11" t="inlineStr">
        <is>
          <t>AALLN</t>
        </is>
      </c>
      <c r="B261" s="35" t="inlineStr">
        <is>
          <t>Main</t>
        </is>
      </c>
      <c r="C261" s="11" t="inlineStr">
        <is>
          <t>AALLN 4 1/8 03/15/32</t>
        </is>
      </c>
      <c r="D261" s="12" t="inlineStr">
        <is>
          <t>AALLN CDS EUR SR 5Y D14 Corp</t>
        </is>
      </c>
      <c r="E261" s="12" t="inlineStr">
        <is>
          <t>XS2779901482</t>
        </is>
      </c>
      <c r="F261" s="13" t="n">
        <v>45659</v>
      </c>
      <c r="G261" s="13" t="n">
        <v>46225</v>
      </c>
      <c r="H261" s="13" t="n">
        <v>48385</v>
      </c>
      <c r="I261" s="14" t="n">
        <v>88.12789916992188</v>
      </c>
      <c r="J261" s="14" t="n">
        <v>68.36389923095703</v>
      </c>
      <c r="K261" s="14" t="n">
        <v>95.151</v>
      </c>
      <c r="L261" s="14" t="n">
        <v>96.33</v>
      </c>
      <c r="M261" s="15" t="n">
        <v>396</v>
      </c>
      <c r="N261" s="16" t="n">
        <v>-7.023100830078121</v>
      </c>
      <c r="O261" s="17" t="n">
        <v>-13.07760321044921</v>
      </c>
      <c r="P261" s="17" t="n">
        <v>10.83720166015625</v>
      </c>
      <c r="Q261" s="18" t="n">
        <v>25.31696333350767</v>
      </c>
      <c r="R261" s="17" t="n">
        <v>-26.78710076904296</v>
      </c>
      <c r="S261" s="17" t="n">
        <v>-30.8799994506836</v>
      </c>
      <c r="T261" s="17" t="n">
        <v>-2.063596862792963</v>
      </c>
      <c r="U261" s="19" t="n">
        <v>14.20336445244061</v>
      </c>
      <c r="V261" s="20">
        <f>IFERROR(BDP(E261&amp;" Corp","LAST_PRICE"),"--")</f>
        <v/>
      </c>
      <c r="W261" s="21">
        <f>IFERROR(BDP(E261&amp;" Corp","YAS_BENCHMARK_BOND_ISIN"),"--")</f>
        <v/>
      </c>
      <c r="X261" s="22">
        <f>IFERROR(BDP(W261&amp;" CORP","LAST_PRICE"),"--")</f>
        <v/>
      </c>
      <c r="Y261" s="23">
        <f>IFERROR(BDP(E261&amp;" Corp","YAS_YLD_SPREAD","YAS_BOND_PX="&amp;V261,"YAS_BNCHMRK_BOND_PX="&amp;X261),"--")</f>
        <v/>
      </c>
      <c r="Z261" s="23">
        <f>IFERROR(BDP(E261&amp;" Corp","BLOOMBERG_MID_G_SPREAD","YAS_BOND_PX="&amp;V261,"YAS_BNCHMRK_BOND_PX="&amp;X261),"--")</f>
        <v/>
      </c>
      <c r="AA261" s="23">
        <f>IFERROR(BDP(D261,"LAST_PRICE"),"--")</f>
        <v/>
      </c>
      <c r="AB261" s="24" t="n"/>
      <c r="AC261" s="23">
        <f>IFERROR(IF(ISBLANK(AB261),AA261,AB261),"--")</f>
        <v/>
      </c>
      <c r="AD261" s="23">
        <f>IFERROR(MAX(-500,MIN(500,AC261-Z261)),"--")</f>
        <v/>
      </c>
      <c r="AE261" s="25">
        <f>IFERROR((AD261-S261)/(T261-S261)*100,"--")</f>
        <v/>
      </c>
    </row>
    <row r="262">
      <c r="A262" s="26" t="inlineStr">
        <is>
          <t>ABIBB</t>
        </is>
      </c>
      <c r="B262" s="35" t="inlineStr">
        <is>
          <t>Main</t>
        </is>
      </c>
      <c r="C262" s="26" t="inlineStr">
        <is>
          <t>ABIBB 3 3/8 05/19/33</t>
        </is>
      </c>
      <c r="D262" s="27" t="inlineStr">
        <is>
          <t>ABIB CDS EUR SR 5Y D14 Corp</t>
        </is>
      </c>
      <c r="E262" s="27" t="inlineStr">
        <is>
          <t>BE6364524635</t>
        </is>
      </c>
      <c r="F262" s="28" t="n">
        <v>45790</v>
      </c>
      <c r="G262" s="28" t="n">
        <v>46225</v>
      </c>
      <c r="H262" s="28" t="n">
        <v>48750</v>
      </c>
      <c r="I262" s="29" t="n">
        <v>45.9630012512207</v>
      </c>
      <c r="J262" s="29" t="n">
        <v>30.47859954833984</v>
      </c>
      <c r="K262" s="29" t="n">
        <v>65.55200000000001</v>
      </c>
      <c r="L262" s="29" t="n">
        <v>66.593</v>
      </c>
      <c r="M262" s="30" t="n">
        <v>306</v>
      </c>
      <c r="N262" s="31" t="n">
        <v>-19.5889987487793</v>
      </c>
      <c r="O262" s="32" t="n">
        <v>-37.48939974975586</v>
      </c>
      <c r="P262" s="32" t="n">
        <v>-15.68499920654297</v>
      </c>
      <c r="Q262" s="33" t="n">
        <v>82.09535944590991</v>
      </c>
      <c r="R262" s="32" t="n">
        <v>-35.07340045166016</v>
      </c>
      <c r="S262" s="32" t="n">
        <v>-50.62210162353516</v>
      </c>
      <c r="T262" s="32" t="n">
        <v>-28.99500057983398</v>
      </c>
      <c r="U262" s="34" t="n">
        <v>71.89452317467905</v>
      </c>
      <c r="V262" s="20">
        <f>IFERROR(BDP(E262&amp;" Corp","LAST_PRICE"),"--")</f>
        <v/>
      </c>
      <c r="W262" s="21">
        <f>IFERROR(BDP(E262&amp;" Corp","YAS_BENCHMARK_BOND_ISIN"),"--")</f>
        <v/>
      </c>
      <c r="X262" s="22">
        <f>IFERROR(BDP(W262&amp;" CORP","LAST_PRICE"),"--")</f>
        <v/>
      </c>
      <c r="Y262" s="23">
        <f>IFERROR(BDP(E262&amp;" Corp","YAS_YLD_SPREAD","YAS_BOND_PX="&amp;V262,"YAS_BNCHMRK_BOND_PX="&amp;X262),"--")</f>
        <v/>
      </c>
      <c r="Z262" s="23">
        <f>IFERROR(BDP(E262&amp;" Corp","BLOOMBERG_MID_G_SPREAD","YAS_BOND_PX="&amp;V262,"YAS_BNCHMRK_BOND_PX="&amp;X262),"--")</f>
        <v/>
      </c>
      <c r="AA262" s="23">
        <f>IFERROR(BDP(D262,"LAST_PRICE"),"--")</f>
        <v/>
      </c>
      <c r="AB262" s="24" t="n"/>
      <c r="AC262" s="23">
        <f>IFERROR(IF(ISBLANK(AB262),AA262,AB262),"--")</f>
        <v/>
      </c>
      <c r="AD262" s="23">
        <f>IFERROR(MAX(-500,MIN(500,AC262-Z262)),"--")</f>
        <v/>
      </c>
      <c r="AE262" s="25">
        <f>IFERROR((AD262-S262)/(T262-S262)*100,"--")</f>
        <v/>
      </c>
    </row>
    <row r="263">
      <c r="A263" s="11" t="inlineStr">
        <is>
          <t>ACAFP</t>
        </is>
      </c>
      <c r="B263" s="35" t="inlineStr">
        <is>
          <t>Main</t>
        </is>
      </c>
      <c r="C263" s="11" t="inlineStr">
        <is>
          <t>ACAFP 3 1/8 02/26/32</t>
        </is>
      </c>
      <c r="D263" s="12" t="inlineStr">
        <is>
          <t>LCL SA CDS EUR SLA 5Y D14 Corp</t>
        </is>
      </c>
      <c r="E263" s="12" t="inlineStr">
        <is>
          <t>FR001400XO25</t>
        </is>
      </c>
      <c r="F263" s="13" t="n">
        <v>45708</v>
      </c>
      <c r="G263" s="13" t="n">
        <v>46225</v>
      </c>
      <c r="H263" s="13" t="n">
        <v>48385</v>
      </c>
      <c r="I263" s="14" t="n">
        <v>72.54070281982422</v>
      </c>
      <c r="J263" s="14" t="n">
        <v>59</v>
      </c>
      <c r="K263" s="14" t="n">
        <v>69.041</v>
      </c>
      <c r="L263" s="14" t="n">
        <v>70.64400000000001</v>
      </c>
      <c r="M263" s="15" t="n">
        <v>361</v>
      </c>
      <c r="N263" s="16" t="n">
        <v>3.499702819824222</v>
      </c>
      <c r="O263" s="17" t="n">
        <v>-4.186398132324214</v>
      </c>
      <c r="P263" s="17" t="n">
        <v>15.67629766845702</v>
      </c>
      <c r="Q263" s="18" t="n">
        <v>38.69616203781426</v>
      </c>
      <c r="R263" s="17" t="n">
        <v>-10.041</v>
      </c>
      <c r="S263" s="17" t="n">
        <v>-13.71850231933594</v>
      </c>
      <c r="T263" s="17" t="n">
        <v>6.702999694824214</v>
      </c>
      <c r="U263" s="19" t="n">
        <v>18.00799136511107</v>
      </c>
      <c r="V263" s="20">
        <f>IFERROR(BDP(E263&amp;" Corp","LAST_PRICE"),"--")</f>
        <v/>
      </c>
      <c r="W263" s="21">
        <f>IFERROR(BDP(E263&amp;" Corp","YAS_BENCHMARK_BOND_ISIN"),"--")</f>
        <v/>
      </c>
      <c r="X263" s="22">
        <f>IFERROR(BDP(W263&amp;" CORP","LAST_PRICE"),"--")</f>
        <v/>
      </c>
      <c r="Y263" s="23">
        <f>IFERROR(BDP(E263&amp;" Corp","YAS_YLD_SPREAD","YAS_BOND_PX="&amp;V263,"YAS_BNCHMRK_BOND_PX="&amp;X263),"--")</f>
        <v/>
      </c>
      <c r="Z263" s="23">
        <f>IFERROR(BDP(E263&amp;" Corp","BLOOMBERG_MID_G_SPREAD","YAS_BOND_PX="&amp;V263,"YAS_BNCHMRK_BOND_PX="&amp;X263),"--")</f>
        <v/>
      </c>
      <c r="AA263" s="23">
        <f>IFERROR(BDP(D263,"LAST_PRICE"),"--")</f>
        <v/>
      </c>
      <c r="AB263" s="24" t="n"/>
      <c r="AC263" s="23">
        <f>IFERROR(IF(ISBLANK(AB263),AA263,AB263),"--")</f>
        <v/>
      </c>
      <c r="AD263" s="23">
        <f>IFERROR(MAX(-500,MIN(500,AC263-Z263)),"--")</f>
        <v/>
      </c>
      <c r="AE263" s="25">
        <f>IFERROR((AD263-S263)/(T263-S263)*100,"--")</f>
        <v/>
      </c>
    </row>
    <row r="264">
      <c r="A264" s="26" t="inlineStr">
        <is>
          <t>ACFP</t>
        </is>
      </c>
      <c r="B264" s="35" t="inlineStr">
        <is>
          <t>Main</t>
        </is>
      </c>
      <c r="C264" s="26" t="inlineStr">
        <is>
          <t>ACFP 3 5/8 09/03/32</t>
        </is>
      </c>
      <c r="D264" s="27" t="inlineStr">
        <is>
          <t>ACFP CDS EUR SR 5Y D14 Corp</t>
        </is>
      </c>
      <c r="E264" s="27" t="inlineStr">
        <is>
          <t>FR0014012B88</t>
        </is>
      </c>
      <c r="F264" s="28" t="n">
        <v>45897</v>
      </c>
      <c r="G264" s="28" t="n">
        <v>46225</v>
      </c>
      <c r="H264" s="28" t="n">
        <v>48568</v>
      </c>
      <c r="I264" s="29" t="n">
        <v>89.56210327148438</v>
      </c>
      <c r="J264" s="29" t="n">
        <v>66.68270111083984</v>
      </c>
      <c r="K264" s="29" t="n">
        <v>114.381</v>
      </c>
      <c r="L264" s="29" t="n">
        <v>115.39</v>
      </c>
      <c r="M264" s="30" t="n">
        <v>229</v>
      </c>
      <c r="N264" s="31" t="n">
        <v>-24.81889672851563</v>
      </c>
      <c r="O264" s="32" t="n">
        <v>-33.96080133056641</v>
      </c>
      <c r="P264" s="32" t="n">
        <v>-5.890699340820319</v>
      </c>
      <c r="Q264" s="33" t="n">
        <v>32.56812036304781</v>
      </c>
      <c r="R264" s="32" t="n">
        <v>-47.69829888916016</v>
      </c>
      <c r="S264" s="32" t="n">
        <v>-53.85199853515626</v>
      </c>
      <c r="T264" s="32" t="n">
        <v>-25.62080187988282</v>
      </c>
      <c r="U264" s="34" t="n">
        <v>21.7975161348558</v>
      </c>
      <c r="V264" s="20">
        <f>IFERROR(BDP(E264&amp;" Corp","LAST_PRICE"),"--")</f>
        <v/>
      </c>
      <c r="W264" s="21">
        <f>IFERROR(BDP(E264&amp;" Corp","YAS_BENCHMARK_BOND_ISIN"),"--")</f>
        <v/>
      </c>
      <c r="X264" s="22">
        <f>IFERROR(BDP(W264&amp;" CORP","LAST_PRICE"),"--")</f>
        <v/>
      </c>
      <c r="Y264" s="23">
        <f>IFERROR(BDP(E264&amp;" Corp","YAS_YLD_SPREAD","YAS_BOND_PX="&amp;V264,"YAS_BNCHMRK_BOND_PX="&amp;X264),"--")</f>
        <v/>
      </c>
      <c r="Z264" s="23">
        <f>IFERROR(BDP(E264&amp;" Corp","BLOOMBERG_MID_G_SPREAD","YAS_BOND_PX="&amp;V264,"YAS_BNCHMRK_BOND_PX="&amp;X264),"--")</f>
        <v/>
      </c>
      <c r="AA264" s="23">
        <f>IFERROR(BDP(D264,"LAST_PRICE"),"--")</f>
        <v/>
      </c>
      <c r="AB264" s="24" t="n"/>
      <c r="AC264" s="23">
        <f>IFERROR(IF(ISBLANK(AB264),AA264,AB264),"--")</f>
        <v/>
      </c>
      <c r="AD264" s="23">
        <f>IFERROR(MAX(-500,MIN(500,AC264-Z264)),"--")</f>
        <v/>
      </c>
      <c r="AE264" s="25">
        <f>IFERROR((AD264-S264)/(T264-S264)*100,"--")</f>
        <v/>
      </c>
    </row>
    <row r="265">
      <c r="A265" s="11" t="inlineStr">
        <is>
          <t>ADENVX</t>
        </is>
      </c>
      <c r="B265" s="35" t="inlineStr">
        <is>
          <t>Main</t>
        </is>
      </c>
      <c r="C265" s="11" t="inlineStr">
        <is>
          <t>ADENVX 3.4 10/08/32</t>
        </is>
      </c>
      <c r="D265" s="12" t="inlineStr">
        <is>
          <t>CADO1E5 Curncy</t>
        </is>
      </c>
      <c r="E265" s="12" t="inlineStr">
        <is>
          <t>XS2911666795</t>
        </is>
      </c>
      <c r="F265" s="13" t="n">
        <v>46099</v>
      </c>
      <c r="G265" s="13" t="n">
        <v>46225</v>
      </c>
      <c r="H265" s="13" t="n">
        <v>48568</v>
      </c>
      <c r="I265" s="14" t="n">
        <v>103.8627014160156</v>
      </c>
      <c r="J265" s="14" t="n">
        <v>80.5718994140625</v>
      </c>
      <c r="K265" s="14" t="n">
        <v>105.397</v>
      </c>
      <c r="L265" s="14" t="n">
        <v>106.858</v>
      </c>
      <c r="M265" s="15" t="n">
        <v>88</v>
      </c>
      <c r="N265" s="16" t="n">
        <v>-1.534298583984381</v>
      </c>
      <c r="O265" s="17" t="n">
        <v>-1.620296813964842</v>
      </c>
      <c r="P265" s="17" t="n">
        <v>19.93049847412109</v>
      </c>
      <c r="Q265" s="18" t="n">
        <v>0.3990489855750443</v>
      </c>
      <c r="R265" s="17" t="n">
        <v>-24.82510058593751</v>
      </c>
      <c r="S265" s="17" t="n">
        <v>-24.82510058593751</v>
      </c>
      <c r="T265" s="17" t="n">
        <v>-4.701500915527348</v>
      </c>
      <c r="U265" s="19" t="n">
        <v>0</v>
      </c>
      <c r="V265" s="20">
        <f>IFERROR(BDP(E265&amp;" Corp","LAST_PRICE"),"--")</f>
        <v/>
      </c>
      <c r="W265" s="21">
        <f>IFERROR(BDP(E265&amp;" Corp","YAS_BENCHMARK_BOND_ISIN"),"--")</f>
        <v/>
      </c>
      <c r="X265" s="22">
        <f>IFERROR(BDP(W265&amp;" CORP","LAST_PRICE"),"--")</f>
        <v/>
      </c>
      <c r="Y265" s="23">
        <f>IFERROR(BDP(E265&amp;" Corp","YAS_YLD_SPREAD","YAS_BOND_PX="&amp;V265,"YAS_BNCHMRK_BOND_PX="&amp;X265),"--")</f>
        <v/>
      </c>
      <c r="Z265" s="23">
        <f>IFERROR(BDP(E265&amp;" Corp","BLOOMBERG_MID_G_SPREAD","YAS_BOND_PX="&amp;V265,"YAS_BNCHMRK_BOND_PX="&amp;X265),"--")</f>
        <v/>
      </c>
      <c r="AA265" s="23">
        <f>IFERROR(BDP(D265,"LAST_PRICE"),"--")</f>
        <v/>
      </c>
      <c r="AB265" s="24" t="n"/>
      <c r="AC265" s="23">
        <f>IFERROR(IF(ISBLANK(AB265),AA265,AB265),"--")</f>
        <v/>
      </c>
      <c r="AD265" s="23">
        <f>IFERROR(MAX(-500,MIN(500,AC265-Z265)),"--")</f>
        <v/>
      </c>
      <c r="AE265" s="25">
        <f>IFERROR((AD265-S265)/(T265-S265)*100,"--")</f>
        <v/>
      </c>
    </row>
    <row r="266">
      <c r="A266" s="26" t="inlineStr">
        <is>
          <t>ADNA</t>
        </is>
      </c>
      <c r="B266" s="35" t="inlineStr">
        <is>
          <t>Main</t>
        </is>
      </c>
      <c r="C266" s="26" t="inlineStr">
        <is>
          <t>ADNA 3 1/4 03/10/33</t>
        </is>
      </c>
      <c r="D266" s="27" t="inlineStr">
        <is>
          <t>KONINKLIJKE AHOLD CDS EUR SR 5 Corp</t>
        </is>
      </c>
      <c r="E266" s="27" t="inlineStr">
        <is>
          <t>XS3016387287</t>
        </is>
      </c>
      <c r="F266" s="28" t="n">
        <v>45720</v>
      </c>
      <c r="G266" s="28" t="n">
        <v>46225</v>
      </c>
      <c r="H266" s="28" t="n">
        <v>48750</v>
      </c>
      <c r="I266" s="29" t="n">
        <v>40.10649871826172</v>
      </c>
      <c r="J266" s="29" t="n">
        <v>27.88579940795898</v>
      </c>
      <c r="K266" s="29" t="n">
        <v>76.12</v>
      </c>
      <c r="L266" s="29" t="n">
        <v>76.256</v>
      </c>
      <c r="M266" s="30" t="n">
        <v>353</v>
      </c>
      <c r="N266" s="31" t="n">
        <v>-36.01350128173829</v>
      </c>
      <c r="O266" s="32" t="n">
        <v>-63.64990182495117</v>
      </c>
      <c r="P266" s="32" t="n">
        <v>-30.08789874267578</v>
      </c>
      <c r="Q266" s="33" t="n">
        <v>82.34431203484421</v>
      </c>
      <c r="R266" s="32" t="n">
        <v>-48.23420059204102</v>
      </c>
      <c r="S266" s="32" t="n">
        <v>-72.91630120849609</v>
      </c>
      <c r="T266" s="32" t="n">
        <v>-40.70779969787597</v>
      </c>
      <c r="U266" s="34" t="n">
        <v>76.63225378031522</v>
      </c>
      <c r="V266" s="20">
        <f>IFERROR(BDP(E266&amp;" Corp","LAST_PRICE"),"--")</f>
        <v/>
      </c>
      <c r="W266" s="21">
        <f>IFERROR(BDP(E266&amp;" Corp","YAS_BENCHMARK_BOND_ISIN"),"--")</f>
        <v/>
      </c>
      <c r="X266" s="22">
        <f>IFERROR(BDP(W266&amp;" CORP","LAST_PRICE"),"--")</f>
        <v/>
      </c>
      <c r="Y266" s="23">
        <f>IFERROR(BDP(E266&amp;" Corp","YAS_YLD_SPREAD","YAS_BOND_PX="&amp;V266,"YAS_BNCHMRK_BOND_PX="&amp;X266),"--")</f>
        <v/>
      </c>
      <c r="Z266" s="23">
        <f>IFERROR(BDP(E266&amp;" Corp","BLOOMBERG_MID_G_SPREAD","YAS_BOND_PX="&amp;V266,"YAS_BNCHMRK_BOND_PX="&amp;X266),"--")</f>
        <v/>
      </c>
      <c r="AA266" s="23">
        <f>IFERROR(BDP(D266,"LAST_PRICE"),"--")</f>
        <v/>
      </c>
      <c r="AB266" s="24" t="n"/>
      <c r="AC266" s="23">
        <f>IFERROR(IF(ISBLANK(AB266),AA266,AB266),"--")</f>
        <v/>
      </c>
      <c r="AD266" s="23">
        <f>IFERROR(MAX(-500,MIN(500,AC266-Z266)),"--")</f>
        <v/>
      </c>
      <c r="AE266" s="25">
        <f>IFERROR((AD266-S266)/(T266-S266)*100,"--")</f>
        <v/>
      </c>
    </row>
    <row r="267">
      <c r="A267" s="11" t="inlineStr">
        <is>
          <t>AIFP</t>
        </is>
      </c>
      <c r="B267" s="35" t="inlineStr">
        <is>
          <t>Main</t>
        </is>
      </c>
      <c r="C267" s="11" t="inlineStr">
        <is>
          <t>AIFP 3 05/05/33</t>
        </is>
      </c>
      <c r="D267" s="12" t="inlineStr">
        <is>
          <t>AIFP CDS EUR SR 5Y D14 Corp</t>
        </is>
      </c>
      <c r="E267" s="12" t="inlineStr">
        <is>
          <t>FR0014013VX5</t>
        </is>
      </c>
      <c r="F267" s="13" t="n">
        <v>45960</v>
      </c>
      <c r="G267" s="13" t="n">
        <v>46225</v>
      </c>
      <c r="H267" s="13" t="n">
        <v>48750</v>
      </c>
      <c r="I267" s="14" t="n">
        <v>35.82979965209961</v>
      </c>
      <c r="J267" s="14" t="n">
        <v>25.86450004577637</v>
      </c>
      <c r="K267" s="14" t="n">
        <v>66.251</v>
      </c>
      <c r="L267" s="14" t="n">
        <v>66.212</v>
      </c>
      <c r="M267" s="15" t="n">
        <v>183</v>
      </c>
      <c r="N267" s="16" t="n">
        <v>-30.4212003479004</v>
      </c>
      <c r="O267" s="17" t="n">
        <v>-42.28489987182617</v>
      </c>
      <c r="P267" s="17" t="n">
        <v>-25.01629846191406</v>
      </c>
      <c r="Q267" s="18" t="n">
        <v>68.70098650326169</v>
      </c>
      <c r="R267" s="17" t="n">
        <v>-40.38649995422364</v>
      </c>
      <c r="S267" s="17" t="n">
        <v>-53.01889912414551</v>
      </c>
      <c r="T267" s="17" t="n">
        <v>-34.87429919433594</v>
      </c>
      <c r="U267" s="19" t="n">
        <v>69.62070929526661</v>
      </c>
      <c r="V267" s="20">
        <f>IFERROR(BDP(E267&amp;" Corp","LAST_PRICE"),"--")</f>
        <v/>
      </c>
      <c r="W267" s="21">
        <f>IFERROR(BDP(E267&amp;" Corp","YAS_BENCHMARK_BOND_ISIN"),"--")</f>
        <v/>
      </c>
      <c r="X267" s="22">
        <f>IFERROR(BDP(W267&amp;" CORP","LAST_PRICE"),"--")</f>
        <v/>
      </c>
      <c r="Y267" s="23">
        <f>IFERROR(BDP(E267&amp;" Corp","YAS_YLD_SPREAD","YAS_BOND_PX="&amp;V267,"YAS_BNCHMRK_BOND_PX="&amp;X267),"--")</f>
        <v/>
      </c>
      <c r="Z267" s="23">
        <f>IFERROR(BDP(E267&amp;" Corp","BLOOMBERG_MID_G_SPREAD","YAS_BOND_PX="&amp;V267,"YAS_BNCHMRK_BOND_PX="&amp;X267),"--")</f>
        <v/>
      </c>
      <c r="AA267" s="23">
        <f>IFERROR(BDP(D267,"LAST_PRICE"),"--")</f>
        <v/>
      </c>
      <c r="AB267" s="24" t="n"/>
      <c r="AC267" s="23">
        <f>IFERROR(IF(ISBLANK(AB267),AA267,AB267),"--")</f>
        <v/>
      </c>
      <c r="AD267" s="23">
        <f>IFERROR(MAX(-500,MIN(500,AC267-Z267)),"--")</f>
        <v/>
      </c>
      <c r="AE267" s="25">
        <f>IFERROR((AD267-S267)/(T267-S267)*100,"--")</f>
        <v/>
      </c>
    </row>
    <row r="268">
      <c r="A268" s="26" t="inlineStr">
        <is>
          <t>AIRFP</t>
        </is>
      </c>
      <c r="B268" s="35" t="inlineStr">
        <is>
          <t>Main</t>
        </is>
      </c>
      <c r="C268" s="26" t="inlineStr">
        <is>
          <t>AIRFP 2 3/8 04/07/32</t>
        </is>
      </c>
      <c r="D268" s="27" t="inlineStr">
        <is>
          <t>AIRFP CDS EUR SR 5Y D14 Corp</t>
        </is>
      </c>
      <c r="E268" s="27" t="inlineStr">
        <is>
          <t>XS2152796426</t>
        </is>
      </c>
      <c r="F268" s="28" t="n">
        <v>45659</v>
      </c>
      <c r="G268" s="28" t="n">
        <v>46225</v>
      </c>
      <c r="H268" s="28" t="n">
        <v>48385</v>
      </c>
      <c r="I268" s="29" t="n">
        <v>39.44189834594727</v>
      </c>
      <c r="J268" s="29" t="n">
        <v>32.19609832763672</v>
      </c>
      <c r="K268" s="29" t="n">
        <v>51.859</v>
      </c>
      <c r="L268" s="29" t="n">
        <v>62.042</v>
      </c>
      <c r="M268" s="30" t="n">
        <v>396</v>
      </c>
      <c r="N268" s="31" t="n">
        <v>-12.41710165405274</v>
      </c>
      <c r="O268" s="32" t="n">
        <v>-27.78120089721679</v>
      </c>
      <c r="P268" s="32" t="n">
        <v>9.736498504638675</v>
      </c>
      <c r="Q268" s="33" t="n">
        <v>40.95160281177638</v>
      </c>
      <c r="R268" s="32" t="n">
        <v>-19.66290167236328</v>
      </c>
      <c r="S268" s="32" t="n">
        <v>-34.1485982055664</v>
      </c>
      <c r="T268" s="32" t="n">
        <v>2.742399841308597</v>
      </c>
      <c r="U268" s="34" t="n">
        <v>39.26620937388867</v>
      </c>
      <c r="V268" s="20">
        <f>IFERROR(BDP(E268&amp;" Corp","LAST_PRICE"),"--")</f>
        <v/>
      </c>
      <c r="W268" s="21">
        <f>IFERROR(BDP(E268&amp;" Corp","YAS_BENCHMARK_BOND_ISIN"),"--")</f>
        <v/>
      </c>
      <c r="X268" s="22">
        <f>IFERROR(BDP(W268&amp;" CORP","LAST_PRICE"),"--")</f>
        <v/>
      </c>
      <c r="Y268" s="23">
        <f>IFERROR(BDP(E268&amp;" Corp","YAS_YLD_SPREAD","YAS_BOND_PX="&amp;V268,"YAS_BNCHMRK_BOND_PX="&amp;X268),"--")</f>
        <v/>
      </c>
      <c r="Z268" s="23">
        <f>IFERROR(BDP(E268&amp;" Corp","BLOOMBERG_MID_G_SPREAD","YAS_BOND_PX="&amp;V268,"YAS_BNCHMRK_BOND_PX="&amp;X268),"--")</f>
        <v/>
      </c>
      <c r="AA268" s="23">
        <f>IFERROR(BDP(D268,"LAST_PRICE"),"--")</f>
        <v/>
      </c>
      <c r="AB268" s="24" t="n"/>
      <c r="AC268" s="23">
        <f>IFERROR(IF(ISBLANK(AB268),AA268,AB268),"--")</f>
        <v/>
      </c>
      <c r="AD268" s="23">
        <f>IFERROR(MAX(-500,MIN(500,AC268-Z268)),"--")</f>
        <v/>
      </c>
      <c r="AE268" s="25">
        <f>IFERROR((AD268-S268)/(T268-S268)*100,"--")</f>
        <v/>
      </c>
    </row>
    <row r="269">
      <c r="A269" s="11" t="inlineStr">
        <is>
          <t>AKZANA</t>
        </is>
      </c>
      <c r="B269" s="35" t="inlineStr">
        <is>
          <t>Main</t>
        </is>
      </c>
      <c r="C269" s="11" t="inlineStr">
        <is>
          <t>AKZANA 4 05/24/33</t>
        </is>
      </c>
      <c r="D269" s="12" t="inlineStr">
        <is>
          <t>AKZANANV CDS EUR SR 5Y D14 Corp</t>
        </is>
      </c>
      <c r="E269" s="12" t="inlineStr">
        <is>
          <t>XS2625136531</t>
        </is>
      </c>
      <c r="F269" s="13" t="n">
        <v>45659</v>
      </c>
      <c r="G269" s="13" t="n">
        <v>46225</v>
      </c>
      <c r="H269" s="13" t="n">
        <v>48750</v>
      </c>
      <c r="I269" s="14" t="n">
        <v>93.76499938964844</v>
      </c>
      <c r="J269" s="14" t="n">
        <v>69.95010375976562</v>
      </c>
      <c r="K269" s="14" t="n">
        <v>116.642</v>
      </c>
      <c r="L269" s="14" t="n">
        <v>118.156</v>
      </c>
      <c r="M269" s="15" t="n">
        <v>396</v>
      </c>
      <c r="N269" s="16" t="n">
        <v>-22.87700061035156</v>
      </c>
      <c r="O269" s="17" t="n">
        <v>-33.21289880371094</v>
      </c>
      <c r="P269" s="17" t="n">
        <v>-5.216698547363279</v>
      </c>
      <c r="Q269" s="18" t="n">
        <v>36.91893220765162</v>
      </c>
      <c r="R269" s="17" t="n">
        <v>-46.69189624023437</v>
      </c>
      <c r="S269" s="17" t="n">
        <v>-46.69189624023437</v>
      </c>
      <c r="T269" s="17" t="n">
        <v>-22.56670111083984</v>
      </c>
      <c r="U269" s="19" t="n">
        <v>0</v>
      </c>
      <c r="V269" s="20">
        <f>IFERROR(BDP(E269&amp;" Corp","LAST_PRICE"),"--")</f>
        <v/>
      </c>
      <c r="W269" s="21">
        <f>IFERROR(BDP(E269&amp;" Corp","YAS_BENCHMARK_BOND_ISIN"),"--")</f>
        <v/>
      </c>
      <c r="X269" s="22">
        <f>IFERROR(BDP(W269&amp;" CORP","LAST_PRICE"),"--")</f>
        <v/>
      </c>
      <c r="Y269" s="23">
        <f>IFERROR(BDP(E269&amp;" Corp","YAS_YLD_SPREAD","YAS_BOND_PX="&amp;V269,"YAS_BNCHMRK_BOND_PX="&amp;X269),"--")</f>
        <v/>
      </c>
      <c r="Z269" s="23">
        <f>IFERROR(BDP(E269&amp;" Corp","BLOOMBERG_MID_G_SPREAD","YAS_BOND_PX="&amp;V269,"YAS_BNCHMRK_BOND_PX="&amp;X269),"--")</f>
        <v/>
      </c>
      <c r="AA269" s="23">
        <f>IFERROR(BDP(D269,"LAST_PRICE"),"--")</f>
        <v/>
      </c>
      <c r="AB269" s="24" t="n"/>
      <c r="AC269" s="23">
        <f>IFERROR(IF(ISBLANK(AB269),AA269,AB269),"--")</f>
        <v/>
      </c>
      <c r="AD269" s="23">
        <f>IFERROR(MAX(-500,MIN(500,AC269-Z269)),"--")</f>
        <v/>
      </c>
      <c r="AE269" s="25">
        <f>IFERROR((AD269-S269)/(T269-S269)*100,"--")</f>
        <v/>
      </c>
    </row>
    <row r="270">
      <c r="A270" s="26" t="inlineStr">
        <is>
          <t>ALOFP</t>
        </is>
      </c>
      <c r="B270" s="35" t="inlineStr">
        <is>
          <t>Main</t>
        </is>
      </c>
      <c r="C270" s="26" t="inlineStr">
        <is>
          <t>ALOFP 0 1/2 07/27/30</t>
        </is>
      </c>
      <c r="D270" s="27" t="inlineStr">
        <is>
          <t>ALSTOM CDS EUR SR 5Y D14 Corp</t>
        </is>
      </c>
      <c r="E270" s="27" t="inlineStr">
        <is>
          <t>FR0014004R72</t>
        </is>
      </c>
      <c r="F270" s="28" t="n">
        <v>45659</v>
      </c>
      <c r="G270" s="28" t="n">
        <v>46225</v>
      </c>
      <c r="H270" s="28" t="n">
        <v>47837</v>
      </c>
      <c r="I270" s="29" t="n">
        <v>75.85189819335938</v>
      </c>
      <c r="J270" s="29" t="n">
        <v>84.31430053710938</v>
      </c>
      <c r="K270" s="29" t="n">
        <v>78.745</v>
      </c>
      <c r="L270" s="29" t="n">
        <v>82.045</v>
      </c>
      <c r="M270" s="30" t="n">
        <v>395</v>
      </c>
      <c r="N270" s="31" t="n">
        <v>-2.89310180664063</v>
      </c>
      <c r="O270" s="32" t="n">
        <v>-20.6794033203125</v>
      </c>
      <c r="P270" s="32" t="n">
        <v>48.328107421875</v>
      </c>
      <c r="Q270" s="33" t="n">
        <v>25.77444298798374</v>
      </c>
      <c r="R270" s="32" t="n">
        <v>5.56930053710937</v>
      </c>
      <c r="S270" s="32" t="n">
        <v>-11.31799890136719</v>
      </c>
      <c r="T270" s="32" t="n">
        <v>58.56959301757813</v>
      </c>
      <c r="U270" s="34" t="n">
        <v>24.16351597585766</v>
      </c>
      <c r="V270" s="20">
        <f>IFERROR(BDP(E270&amp;" Corp","LAST_PRICE"),"--")</f>
        <v/>
      </c>
      <c r="W270" s="21">
        <f>IFERROR(BDP(E270&amp;" Corp","YAS_BENCHMARK_BOND_ISIN"),"--")</f>
        <v/>
      </c>
      <c r="X270" s="22">
        <f>IFERROR(BDP(W270&amp;" CORP","LAST_PRICE"),"--")</f>
        <v/>
      </c>
      <c r="Y270" s="23">
        <f>IFERROR(BDP(E270&amp;" Corp","YAS_YLD_SPREAD","YAS_BOND_PX="&amp;V270,"YAS_BNCHMRK_BOND_PX="&amp;X270),"--")</f>
        <v/>
      </c>
      <c r="Z270" s="23">
        <f>IFERROR(BDP(E270&amp;" Corp","BLOOMBERG_MID_G_SPREAD","YAS_BOND_PX="&amp;V270,"YAS_BNCHMRK_BOND_PX="&amp;X270),"--")</f>
        <v/>
      </c>
      <c r="AA270" s="23">
        <f>IFERROR(BDP(D270,"LAST_PRICE"),"--")</f>
        <v/>
      </c>
      <c r="AB270" s="24" t="n"/>
      <c r="AC270" s="23">
        <f>IFERROR(IF(ISBLANK(AB270),AA270,AB270),"--")</f>
        <v/>
      </c>
      <c r="AD270" s="23">
        <f>IFERROR(MAX(-500,MIN(500,AC270-Z270)),"--")</f>
        <v/>
      </c>
      <c r="AE270" s="25">
        <f>IFERROR((AD270-S270)/(T270-S270)*100,"--")</f>
        <v/>
      </c>
    </row>
    <row r="271">
      <c r="A271" s="11" t="inlineStr">
        <is>
          <t>ALVGR</t>
        </is>
      </c>
      <c r="B271" s="35" t="inlineStr">
        <is>
          <t>Main</t>
        </is>
      </c>
      <c r="C271" s="11" t="inlineStr">
        <is>
          <t>ALVGR 1.729 12/17/31</t>
        </is>
      </c>
      <c r="D271" s="12" t="inlineStr">
        <is>
          <t>ALVGR CDS EUR SR 5Y D14 Corp</t>
        </is>
      </c>
      <c r="E271" s="12" t="inlineStr">
        <is>
          <t>XS1921452790</t>
        </is>
      </c>
      <c r="F271" s="13" t="n">
        <v>45659</v>
      </c>
      <c r="G271" s="13" t="n">
        <v>46225</v>
      </c>
      <c r="H271" s="13" t="n">
        <v>48202</v>
      </c>
      <c r="I271" s="14" t="n">
        <v>44.18899917602539</v>
      </c>
      <c r="J271" s="14" t="n">
        <v>39.40950012207031</v>
      </c>
      <c r="K271" s="14" t="n">
        <v>36.612</v>
      </c>
      <c r="L271" s="14" t="n">
        <v>37.298</v>
      </c>
      <c r="M271" s="15" t="n">
        <v>396</v>
      </c>
      <c r="N271" s="16" t="n">
        <v>7.576999176025389</v>
      </c>
      <c r="O271" s="17" t="n">
        <v>-29.23539938354492</v>
      </c>
      <c r="P271" s="17" t="n">
        <v>13.95499981689453</v>
      </c>
      <c r="Q271" s="18" t="n">
        <v>85.23282776047078</v>
      </c>
      <c r="R271" s="17" t="n">
        <v>2.797500122070311</v>
      </c>
      <c r="S271" s="17" t="n">
        <v>-31.82119955444335</v>
      </c>
      <c r="T271" s="17" t="n">
        <v>10.31239880371093</v>
      </c>
      <c r="U271" s="19" t="n">
        <v>82.16411848387443</v>
      </c>
      <c r="V271" s="20">
        <f>IFERROR(BDP(E271&amp;" Corp","LAST_PRICE"),"--")</f>
        <v/>
      </c>
      <c r="W271" s="21">
        <f>IFERROR(BDP(E271&amp;" Corp","YAS_BENCHMARK_BOND_ISIN"),"--")</f>
        <v/>
      </c>
      <c r="X271" s="22">
        <f>IFERROR(BDP(W271&amp;" CORP","LAST_PRICE"),"--")</f>
        <v/>
      </c>
      <c r="Y271" s="23">
        <f>IFERROR(BDP(E271&amp;" Corp","YAS_YLD_SPREAD","YAS_BOND_PX="&amp;V271,"YAS_BNCHMRK_BOND_PX="&amp;X271),"--")</f>
        <v/>
      </c>
      <c r="Z271" s="23">
        <f>IFERROR(BDP(E271&amp;" Corp","BLOOMBERG_MID_G_SPREAD","YAS_BOND_PX="&amp;V271,"YAS_BNCHMRK_BOND_PX="&amp;X271),"--")</f>
        <v/>
      </c>
      <c r="AA271" s="23">
        <f>IFERROR(BDP(D271,"LAST_PRICE"),"--")</f>
        <v/>
      </c>
      <c r="AB271" s="24" t="n"/>
      <c r="AC271" s="23">
        <f>IFERROR(IF(ISBLANK(AB271),AA271,AB271),"--")</f>
        <v/>
      </c>
      <c r="AD271" s="23">
        <f>IFERROR(MAX(-500,MIN(500,AC271-Z271)),"--")</f>
        <v/>
      </c>
      <c r="AE271" s="25">
        <f>IFERROR((AD271-S271)/(T271-S271)*100,"--")</f>
        <v/>
      </c>
    </row>
    <row r="272">
      <c r="A272" s="26" t="inlineStr">
        <is>
          <t>ASSGEN</t>
        </is>
      </c>
      <c r="B272" s="35" t="inlineStr">
        <is>
          <t>Main</t>
        </is>
      </c>
      <c r="C272" s="26" t="inlineStr">
        <is>
          <t>GIM 3.547 01/15/34</t>
        </is>
      </c>
      <c r="D272" s="27" t="inlineStr">
        <is>
          <t>ASSGEN CDS EUR SR 5Y D14 Corp</t>
        </is>
      </c>
      <c r="E272" s="27" t="inlineStr">
        <is>
          <t>XS2747596315</t>
        </is>
      </c>
      <c r="F272" s="28" t="n">
        <v>45659</v>
      </c>
      <c r="G272" s="28" t="n">
        <v>46225</v>
      </c>
      <c r="H272" s="28" t="n">
        <v>49115</v>
      </c>
      <c r="I272" s="29" t="n">
        <v>76.87950134277344</v>
      </c>
      <c r="J272" s="29" t="n">
        <v>53.31050109863281</v>
      </c>
      <c r="K272" s="29" t="n">
        <v>76.325</v>
      </c>
      <c r="L272" s="29" t="n">
        <v>79.05</v>
      </c>
      <c r="M272" s="30" t="n">
        <v>396</v>
      </c>
      <c r="N272" s="31" t="n">
        <v>0.5545013427734347</v>
      </c>
      <c r="O272" s="32" t="n">
        <v>-23.11140014648437</v>
      </c>
      <c r="P272" s="32" t="n">
        <v>15.35110028076171</v>
      </c>
      <c r="Q272" s="33" t="n">
        <v>61.52980494344914</v>
      </c>
      <c r="R272" s="32" t="n">
        <v>-23.01449890136719</v>
      </c>
      <c r="S272" s="32" t="n">
        <v>-41.96000244140625</v>
      </c>
      <c r="T272" s="32" t="n">
        <v>-7.872700378417974</v>
      </c>
      <c r="U272" s="34" t="n">
        <v>55.57935768876803</v>
      </c>
      <c r="V272" s="20">
        <f>IFERROR(BDP(E272&amp;" Corp","LAST_PRICE"),"--")</f>
        <v/>
      </c>
      <c r="W272" s="21">
        <f>IFERROR(BDP(E272&amp;" Corp","YAS_BENCHMARK_BOND_ISIN"),"--")</f>
        <v/>
      </c>
      <c r="X272" s="22">
        <f>IFERROR(BDP(W272&amp;" CORP","LAST_PRICE"),"--")</f>
        <v/>
      </c>
      <c r="Y272" s="23">
        <f>IFERROR(BDP(E272&amp;" Corp","YAS_YLD_SPREAD","YAS_BOND_PX="&amp;V272,"YAS_BNCHMRK_BOND_PX="&amp;X272),"--")</f>
        <v/>
      </c>
      <c r="Z272" s="23">
        <f>IFERROR(BDP(E272&amp;" Corp","BLOOMBERG_MID_G_SPREAD","YAS_BOND_PX="&amp;V272,"YAS_BNCHMRK_BOND_PX="&amp;X272),"--")</f>
        <v/>
      </c>
      <c r="AA272" s="23">
        <f>IFERROR(BDP(D272,"LAST_PRICE"),"--")</f>
        <v/>
      </c>
      <c r="AB272" s="24" t="n"/>
      <c r="AC272" s="23">
        <f>IFERROR(IF(ISBLANK(AB272),AA272,AB272),"--")</f>
        <v/>
      </c>
      <c r="AD272" s="23">
        <f>IFERROR(MAX(-500,MIN(500,AC272-Z272)),"--")</f>
        <v/>
      </c>
      <c r="AE272" s="25">
        <f>IFERROR((AD272-S272)/(T272-S272)*100,"--")</f>
        <v/>
      </c>
    </row>
    <row r="273">
      <c r="A273" s="11" t="inlineStr">
        <is>
          <t>GSK</t>
        </is>
      </c>
      <c r="B273" s="35" t="inlineStr">
        <is>
          <t>Main</t>
        </is>
      </c>
      <c r="C273" s="11" t="inlineStr">
        <is>
          <t>GSK 4 7/8 04/15/35</t>
        </is>
      </c>
      <c r="D273" s="12" t="inlineStr">
        <is>
          <t>CGSK1E5 Curncy</t>
        </is>
      </c>
      <c r="E273" s="12" t="inlineStr">
        <is>
          <t>US377372AQ02</t>
        </is>
      </c>
      <c r="F273" s="13" t="n">
        <v>45736</v>
      </c>
      <c r="G273" s="13" t="n">
        <v>46225</v>
      </c>
      <c r="H273" s="13" t="n">
        <v>49480</v>
      </c>
      <c r="I273" s="14" t="n">
        <v>50.36249923706055</v>
      </c>
      <c r="J273" s="14" t="n">
        <v>31.36109924316406</v>
      </c>
      <c r="K273" s="14" t="n">
        <v>61.999</v>
      </c>
      <c r="L273" s="14" t="n">
        <v>57.5</v>
      </c>
      <c r="M273" s="15" t="n">
        <v>336</v>
      </c>
      <c r="N273" s="16" t="n">
        <v>-11.63650076293946</v>
      </c>
      <c r="O273" s="17" t="n">
        <v>-37.06080187988282</v>
      </c>
      <c r="P273" s="17" t="n">
        <v>-4.991001892089841</v>
      </c>
      <c r="Q273" s="18" t="n">
        <v>79.27801584862034</v>
      </c>
      <c r="R273" s="17" t="n">
        <v>-30.63790075683594</v>
      </c>
      <c r="S273" s="17" t="n">
        <v>-49.24880160522461</v>
      </c>
      <c r="T273" s="17" t="n">
        <v>-20.9849016418457</v>
      </c>
      <c r="U273" s="19" t="n">
        <v>65.84689612014805</v>
      </c>
      <c r="V273" s="20">
        <f>IFERROR(BDP(E273&amp;" Corp","LAST_PRICE"),"--")</f>
        <v/>
      </c>
      <c r="W273" s="21">
        <f>IFERROR(BDP(E273&amp;" Corp","YAS_BENCHMARK_BOND_ISIN"),"--")</f>
        <v/>
      </c>
      <c r="X273" s="22">
        <f>IFERROR(BDP(W273&amp;" CORP","LAST_PRICE"),"--")</f>
        <v/>
      </c>
      <c r="Y273" s="23">
        <f>IFERROR(BDP(E273&amp;" Corp","YAS_YLD_SPREAD","YAS_BOND_PX="&amp;V273,"YAS_BNCHMRK_BOND_PX="&amp;X273),"--")</f>
        <v/>
      </c>
      <c r="Z273" s="23">
        <f>IFERROR(BDP(E273&amp;" Corp","BLOOMBERG_MID_G_SPREAD","YAS_BOND_PX="&amp;V273,"YAS_BNCHMRK_BOND_PX="&amp;X273),"--")</f>
        <v/>
      </c>
      <c r="AA273" s="23">
        <f>IFERROR(BDP(D273,"LAST_PRICE"),"--")</f>
        <v/>
      </c>
      <c r="AB273" s="24" t="n"/>
      <c r="AC273" s="23">
        <f>IFERROR(IF(ISBLANK(AB273),AA273,AB273),"--")</f>
        <v/>
      </c>
      <c r="AD273" s="23">
        <f>IFERROR(MAX(-500,MIN(500,AC273-Z273)),"--")</f>
        <v/>
      </c>
      <c r="AE273" s="25">
        <f>IFERROR((AD273-S273)/(T273-S273)*100,"--")</f>
        <v/>
      </c>
    </row>
    <row r="274">
      <c r="A274" s="26" t="inlineStr">
        <is>
          <t>IAGLN</t>
        </is>
      </c>
      <c r="B274" s="35" t="inlineStr">
        <is>
          <t>Main</t>
        </is>
      </c>
      <c r="C274" s="26" t="inlineStr">
        <is>
          <t>IAGLN 3.352 09/11/30</t>
        </is>
      </c>
      <c r="D274" s="27" t="inlineStr">
        <is>
          <t>BRIT AIR CDS EUR SR 5Y D14 Corp</t>
        </is>
      </c>
      <c r="E274" s="27" t="inlineStr">
        <is>
          <t>XS3170907060</t>
        </is>
      </c>
      <c r="F274" s="28" t="n">
        <v>46044</v>
      </c>
      <c r="G274" s="28" t="n">
        <v>46225</v>
      </c>
      <c r="H274" s="28" t="n">
        <v>47837</v>
      </c>
      <c r="I274" s="29" t="n">
        <v>81.83689880371094</v>
      </c>
      <c r="J274" s="29" t="n">
        <v>90.75659942626953</v>
      </c>
      <c r="K274" s="29" t="n">
        <v>91.67</v>
      </c>
      <c r="L274" s="29" t="n">
        <v>95.548</v>
      </c>
      <c r="M274" s="30" t="n">
        <v>127</v>
      </c>
      <c r="N274" s="31" t="n">
        <v>-9.833101196289064</v>
      </c>
      <c r="O274" s="32" t="n">
        <v>-27.81129986572266</v>
      </c>
      <c r="P274" s="32" t="n">
        <v>18.78150280761719</v>
      </c>
      <c r="Q274" s="33" t="n">
        <v>38.58578500949596</v>
      </c>
      <c r="R274" s="32" t="n">
        <v>-0.9134005737304705</v>
      </c>
      <c r="S274" s="32" t="n">
        <v>-20.30519635009766</v>
      </c>
      <c r="T274" s="32" t="n">
        <v>32.54059704589844</v>
      </c>
      <c r="U274" s="34" t="n">
        <v>36.69506034483423</v>
      </c>
      <c r="V274" s="20">
        <f>IFERROR(BDP(E274&amp;" Corp","LAST_PRICE"),"--")</f>
        <v/>
      </c>
      <c r="W274" s="21">
        <f>IFERROR(BDP(E274&amp;" Corp","YAS_BENCHMARK_BOND_ISIN"),"--")</f>
        <v/>
      </c>
      <c r="X274" s="22">
        <f>IFERROR(BDP(W274&amp;" CORP","LAST_PRICE"),"--")</f>
        <v/>
      </c>
      <c r="Y274" s="23">
        <f>IFERROR(BDP(E274&amp;" Corp","YAS_YLD_SPREAD","YAS_BOND_PX="&amp;V274,"YAS_BNCHMRK_BOND_PX="&amp;X274),"--")</f>
        <v/>
      </c>
      <c r="Z274" s="23">
        <f>IFERROR(BDP(E274&amp;" Corp","BLOOMBERG_MID_G_SPREAD","YAS_BOND_PX="&amp;V274,"YAS_BNCHMRK_BOND_PX="&amp;X274),"--")</f>
        <v/>
      </c>
      <c r="AA274" s="23">
        <f>IFERROR(BDP(D274,"LAST_PRICE"),"--")</f>
        <v/>
      </c>
      <c r="AB274" s="24" t="n"/>
      <c r="AC274" s="23">
        <f>IFERROR(IF(ISBLANK(AB274),AA274,AB274),"--")</f>
        <v/>
      </c>
      <c r="AD274" s="23">
        <f>IFERROR(MAX(-500,MIN(500,AC274-Z274)),"--")</f>
        <v/>
      </c>
      <c r="AE274" s="25">
        <f>IFERROR((AD274-S274)/(T274-S274)*100,"--")</f>
        <v/>
      </c>
    </row>
    <row r="275">
      <c r="A275" s="11" t="inlineStr">
        <is>
          <t>MARSPE</t>
        </is>
      </c>
      <c r="B275" s="35" t="inlineStr">
        <is>
          <t>Main</t>
        </is>
      </c>
      <c r="C275" s="11" t="inlineStr">
        <is>
          <t>MARSPE 7 1/8 12/01/37</t>
        </is>
      </c>
      <c r="D275" s="12" t="inlineStr">
        <is>
          <t>MARSPE CDS EUR SR 5Y D14 Corp</t>
        </is>
      </c>
      <c r="E275" s="12" t="inlineStr">
        <is>
          <t>US57069PAA03</t>
        </is>
      </c>
      <c r="F275" s="13" t="inlineStr"/>
      <c r="G275" s="13" t="inlineStr"/>
      <c r="H275" s="13" t="n">
        <v>50394</v>
      </c>
      <c r="I275" s="14" t="inlineStr"/>
      <c r="J275" s="14" t="n">
        <v>72.81069946289062</v>
      </c>
      <c r="K275" s="14" t="inlineStr"/>
      <c r="L275" s="14" t="n">
        <v>156.342</v>
      </c>
      <c r="M275" s="15" t="n">
        <v>0</v>
      </c>
      <c r="N275" s="16" t="inlineStr"/>
      <c r="O275" s="17" t="inlineStr"/>
      <c r="P275" s="17" t="inlineStr"/>
      <c r="Q275" s="18" t="inlineStr"/>
      <c r="R275" s="17" t="n">
        <v>-74.39230053710938</v>
      </c>
      <c r="S275" s="17" t="n">
        <v>-126.6440017700195</v>
      </c>
      <c r="T275" s="17" t="n">
        <v>-51.71090093994141</v>
      </c>
      <c r="U275" s="19" t="n">
        <v>69.73113437731425</v>
      </c>
      <c r="V275" s="20">
        <f>IFERROR(BDP(E275&amp;" Corp","LAST_PRICE"),"--")</f>
        <v/>
      </c>
      <c r="W275" s="21">
        <f>IFERROR(BDP(E275&amp;" Corp","YAS_BENCHMARK_BOND_ISIN"),"--")</f>
        <v/>
      </c>
      <c r="X275" s="22">
        <f>IFERROR(BDP(W275&amp;" CORP","LAST_PRICE"),"--")</f>
        <v/>
      </c>
      <c r="Y275" s="23">
        <f>IFERROR(BDP(E275&amp;" Corp","YAS_YLD_SPREAD","YAS_BOND_PX="&amp;V275,"YAS_BNCHMRK_BOND_PX="&amp;X275),"--")</f>
        <v/>
      </c>
      <c r="Z275" s="23">
        <f>IFERROR(BDP(E275&amp;" Corp","BLOOMBERG_MID_G_SPREAD","YAS_BOND_PX="&amp;V275,"YAS_BNCHMRK_BOND_PX="&amp;X275),"--")</f>
        <v/>
      </c>
      <c r="AA275" s="23">
        <f>IFERROR(BDP(D275,"LAST_PRICE"),"--")</f>
        <v/>
      </c>
      <c r="AB275" s="24" t="n"/>
      <c r="AC275" s="23">
        <f>IFERROR(IF(ISBLANK(AB275),AA275,AB275),"--")</f>
        <v/>
      </c>
      <c r="AD275" s="23">
        <f>IFERROR(MAX(-500,MIN(500,AC275-Z275)),"--")</f>
        <v/>
      </c>
      <c r="AE275" s="25">
        <f>IFERROR((AD275-S275)/(T275-S275)*100,"--")</f>
        <v/>
      </c>
    </row>
    <row r="276">
      <c r="A276" s="26" t="inlineStr">
        <is>
          <t>SMURFIT KAPPA</t>
        </is>
      </c>
      <c r="B276" s="35" t="inlineStr">
        <is>
          <t>Main</t>
        </is>
      </c>
      <c r="C276" s="26" t="inlineStr">
        <is>
          <t>SW 3.489 11/24/31</t>
        </is>
      </c>
      <c r="D276" s="27" t="inlineStr">
        <is>
          <t>CY101284 Curncy</t>
        </is>
      </c>
      <c r="E276" s="27" t="inlineStr">
        <is>
          <t>XS3237109965</t>
        </is>
      </c>
      <c r="F276" s="28" t="n">
        <v>45980</v>
      </c>
      <c r="G276" s="28" t="n">
        <v>46225</v>
      </c>
      <c r="H276" s="28" t="n">
        <v>48202</v>
      </c>
      <c r="I276" s="29" t="n">
        <v>64.25009918212891</v>
      </c>
      <c r="J276" s="29" t="n">
        <v>57.10369873046875</v>
      </c>
      <c r="K276" s="29" t="n">
        <v>86.693</v>
      </c>
      <c r="L276" s="29" t="n">
        <v>91.236</v>
      </c>
      <c r="M276" s="30" t="n">
        <v>170</v>
      </c>
      <c r="N276" s="31" t="n">
        <v>-22.44290081787109</v>
      </c>
      <c r="O276" s="32" t="n">
        <v>-29.12290307617188</v>
      </c>
      <c r="P276" s="32" t="n">
        <v>-9.376900817871089</v>
      </c>
      <c r="Q276" s="33" t="n">
        <v>33.8296439497907</v>
      </c>
      <c r="R276" s="32" t="n">
        <v>-29.58930126953125</v>
      </c>
      <c r="S276" s="32" t="n">
        <v>-36.54660150146485</v>
      </c>
      <c r="T276" s="32" t="n">
        <v>-14.87140002441406</v>
      </c>
      <c r="U276" s="34" t="n">
        <v>32.09797260385253</v>
      </c>
      <c r="V276" s="20">
        <f>IFERROR(BDP(E276&amp;" Corp","LAST_PRICE"),"--")</f>
        <v/>
      </c>
      <c r="W276" s="21">
        <f>IFERROR(BDP(E276&amp;" Corp","YAS_BENCHMARK_BOND_ISIN"),"--")</f>
        <v/>
      </c>
      <c r="X276" s="22">
        <f>IFERROR(BDP(W276&amp;" CORP","LAST_PRICE"),"--")</f>
        <v/>
      </c>
      <c r="Y276" s="23">
        <f>IFERROR(BDP(E276&amp;" Corp","YAS_YLD_SPREAD","YAS_BOND_PX="&amp;V276,"YAS_BNCHMRK_BOND_PX="&amp;X276),"--")</f>
        <v/>
      </c>
      <c r="Z276" s="23">
        <f>IFERROR(BDP(E276&amp;" Corp","BLOOMBERG_MID_G_SPREAD","YAS_BOND_PX="&amp;V276,"YAS_BNCHMRK_BOND_PX="&amp;X276),"--")</f>
        <v/>
      </c>
      <c r="AA276" s="23">
        <f>IFERROR(BDP(D276,"LAST_PRICE"),"--")</f>
        <v/>
      </c>
      <c r="AB276" s="24" t="n"/>
      <c r="AC276" s="23">
        <f>IFERROR(IF(ISBLANK(AB276),AA276,AB276),"--")</f>
        <v/>
      </c>
      <c r="AD276" s="23">
        <f>IFERROR(MAX(-500,MIN(500,AC276-Z276)),"--")</f>
        <v/>
      </c>
      <c r="AE276" s="25">
        <f>IFERROR((AD276-S276)/(T276-S276)*100,"--")</f>
        <v/>
      </c>
    </row>
    <row r="277">
      <c r="A277" s="11" t="inlineStr">
        <is>
          <t>SSELN</t>
        </is>
      </c>
      <c r="B277" s="35" t="inlineStr">
        <is>
          <t>Main</t>
        </is>
      </c>
      <c r="C277" s="11" t="inlineStr">
        <is>
          <t>SSELN 4 09/05/31</t>
        </is>
      </c>
      <c r="D277" s="12" t="inlineStr">
        <is>
          <t>CT373240 Curncy</t>
        </is>
      </c>
      <c r="E277" s="12" t="inlineStr">
        <is>
          <t>XS2675685700</t>
        </is>
      </c>
      <c r="F277" s="13" t="n">
        <v>45659</v>
      </c>
      <c r="G277" s="13" t="n">
        <v>46225</v>
      </c>
      <c r="H277" s="13" t="n">
        <v>48202</v>
      </c>
      <c r="I277" s="14" t="n">
        <v>38.92620086669922</v>
      </c>
      <c r="J277" s="14" t="n">
        <v>34.66669845581055</v>
      </c>
      <c r="K277" s="14" t="n">
        <v>71.526</v>
      </c>
      <c r="L277" s="14" t="n">
        <v>73.21299999999999</v>
      </c>
      <c r="M277" s="15" t="n">
        <v>396</v>
      </c>
      <c r="N277" s="16" t="n">
        <v>-32.59979913330078</v>
      </c>
      <c r="O277" s="17" t="n">
        <v>-55.69910241699219</v>
      </c>
      <c r="P277" s="17" t="n">
        <v>-24.39590014648438</v>
      </c>
      <c r="Q277" s="18" t="n">
        <v>73.79214140482468</v>
      </c>
      <c r="R277" s="17" t="n">
        <v>-36.85930154418945</v>
      </c>
      <c r="S277" s="17" t="n">
        <v>-60.55830194091797</v>
      </c>
      <c r="T277" s="17" t="n">
        <v>-29.16649951171875</v>
      </c>
      <c r="U277" s="19" t="n">
        <v>75.49423277041524</v>
      </c>
      <c r="V277" s="20">
        <f>IFERROR(BDP(E277&amp;" Corp","LAST_PRICE"),"--")</f>
        <v/>
      </c>
      <c r="W277" s="21">
        <f>IFERROR(BDP(E277&amp;" Corp","YAS_BENCHMARK_BOND_ISIN"),"--")</f>
        <v/>
      </c>
      <c r="X277" s="22">
        <f>IFERROR(BDP(W277&amp;" CORP","LAST_PRICE"),"--")</f>
        <v/>
      </c>
      <c r="Y277" s="23">
        <f>IFERROR(BDP(E277&amp;" Corp","YAS_YLD_SPREAD","YAS_BOND_PX="&amp;V277,"YAS_BNCHMRK_BOND_PX="&amp;X277),"--")</f>
        <v/>
      </c>
      <c r="Z277" s="23">
        <f>IFERROR(BDP(E277&amp;" Corp","BLOOMBERG_MID_G_SPREAD","YAS_BOND_PX="&amp;V277,"YAS_BNCHMRK_BOND_PX="&amp;X277),"--")</f>
        <v/>
      </c>
      <c r="AA277" s="23">
        <f>IFERROR(BDP(D277,"LAST_PRICE"),"--")</f>
        <v/>
      </c>
      <c r="AB277" s="24" t="n"/>
      <c r="AC277" s="23">
        <f>IFERROR(IF(ISBLANK(AB277),AA277,AB277),"--")</f>
        <v/>
      </c>
      <c r="AD277" s="23">
        <f>IFERROR(MAX(-500,MIN(500,AC277-Z277)),"--")</f>
        <v/>
      </c>
      <c r="AE277" s="25">
        <f>IFERROR((AD277-S277)/(T277-S277)*100,"--")</f>
        <v/>
      </c>
    </row>
    <row r="278">
      <c r="A278" s="26" t="inlineStr">
        <is>
          <t>UU PLC</t>
        </is>
      </c>
      <c r="B278" s="35" t="inlineStr">
        <is>
          <t>Main</t>
        </is>
      </c>
      <c r="C278" s="26" t="inlineStr">
        <is>
          <t>UU 4.95 10/03/35</t>
        </is>
      </c>
      <c r="D278" s="27" t="inlineStr">
        <is>
          <t>CUU1E5  Curncy</t>
        </is>
      </c>
      <c r="E278" s="27" t="inlineStr">
        <is>
          <t>XS2912502387</t>
        </is>
      </c>
      <c r="F278" s="28" t="n">
        <v>45922</v>
      </c>
      <c r="G278" s="28" t="n">
        <v>46225</v>
      </c>
      <c r="H278" s="28" t="n">
        <v>49663</v>
      </c>
      <c r="I278" s="29" t="n">
        <v>75.93620300292969</v>
      </c>
      <c r="J278" s="29" t="n">
        <v>43.94440078735352</v>
      </c>
      <c r="K278" s="29" t="n">
        <v>79.45</v>
      </c>
      <c r="L278" s="29" t="n">
        <v>79.437</v>
      </c>
      <c r="M278" s="30" t="n">
        <v>208</v>
      </c>
      <c r="N278" s="31" t="n">
        <v>-3.513796997070315</v>
      </c>
      <c r="O278" s="32" t="n">
        <v>-24.71960070800782</v>
      </c>
      <c r="P278" s="32" t="n">
        <v>-0.7826021728515684</v>
      </c>
      <c r="Q278" s="33" t="n">
        <v>88.59006980258012</v>
      </c>
      <c r="R278" s="32" t="n">
        <v>-35.50559921264649</v>
      </c>
      <c r="S278" s="32" t="n">
        <v>-70.1690991821289</v>
      </c>
      <c r="T278" s="32" t="n">
        <v>-25.66079919433594</v>
      </c>
      <c r="U278" s="34" t="n">
        <v>77.8809794554934</v>
      </c>
      <c r="V278" s="20">
        <f>IFERROR(BDP(E278&amp;" Corp","LAST_PRICE"),"--")</f>
        <v/>
      </c>
      <c r="W278" s="21">
        <f>IFERROR(BDP(E278&amp;" Corp","YAS_BENCHMARK_BOND_ISIN"),"--")</f>
        <v/>
      </c>
      <c r="X278" s="22">
        <f>IFERROR(BDP(W278&amp;" CORP","LAST_PRICE"),"--")</f>
        <v/>
      </c>
      <c r="Y278" s="23">
        <f>IFERROR(BDP(E278&amp;" Corp","YAS_YLD_SPREAD","YAS_BOND_PX="&amp;V278,"YAS_BNCHMRK_BOND_PX="&amp;X278),"--")</f>
        <v/>
      </c>
      <c r="Z278" s="23">
        <f>IFERROR(BDP(E278&amp;" Corp","BLOOMBERG_MID_G_SPREAD","YAS_BOND_PX="&amp;V278,"YAS_BNCHMRK_BOND_PX="&amp;X278),"--")</f>
        <v/>
      </c>
      <c r="AA278" s="23">
        <f>IFERROR(BDP(D278,"LAST_PRICE"),"--")</f>
        <v/>
      </c>
      <c r="AB278" s="24" t="n"/>
      <c r="AC278" s="23">
        <f>IFERROR(IF(ISBLANK(AB278),AA278,AB278),"--")</f>
        <v/>
      </c>
      <c r="AD278" s="23">
        <f>IFERROR(MAX(-500,MIN(500,AC278-Z278)),"--")</f>
        <v/>
      </c>
      <c r="AE278" s="25">
        <f>IFERROR((AD278-S278)/(T278-S278)*100,"--")</f>
        <v/>
      </c>
    </row>
    <row r="279">
      <c r="A279" s="11" t="inlineStr">
        <is>
          <t>ACCINV</t>
        </is>
      </c>
      <c r="B279" s="36" t="inlineStr">
        <is>
          <t>XO</t>
        </is>
      </c>
      <c r="C279" s="11" t="inlineStr">
        <is>
          <t>ACCINV 5 5/8 05/15/32</t>
        </is>
      </c>
      <c r="D279" s="12" t="inlineStr">
        <is>
          <t>ACCINV CDS EUR SR 5Y D14 Corp</t>
        </is>
      </c>
      <c r="E279" s="12" t="inlineStr">
        <is>
          <t>XS3049460242</t>
        </is>
      </c>
      <c r="F279" s="13" t="n">
        <v>46044</v>
      </c>
      <c r="G279" s="13" t="n">
        <v>46225</v>
      </c>
      <c r="H279" s="13" t="n">
        <v>48385</v>
      </c>
      <c r="I279" s="14" t="n">
        <v>291.6666870117188</v>
      </c>
      <c r="J279" s="14" t="n">
        <v>272.6629028320312</v>
      </c>
      <c r="K279" s="14" t="n">
        <v>237.772</v>
      </c>
      <c r="L279" s="14" t="n">
        <v>236.437</v>
      </c>
      <c r="M279" s="15" t="n">
        <v>127</v>
      </c>
      <c r="N279" s="16" t="n">
        <v>53.89468701171876</v>
      </c>
      <c r="O279" s="17" t="n">
        <v>31.28411425781252</v>
      </c>
      <c r="P279" s="17" t="n">
        <v>93.75571313476564</v>
      </c>
      <c r="Q279" s="18" t="n">
        <v>36.19336332089249</v>
      </c>
      <c r="R279" s="17" t="n">
        <v>34.89090283203126</v>
      </c>
      <c r="S279" s="17" t="n">
        <v>11.19869262695312</v>
      </c>
      <c r="T279" s="17" t="n">
        <v>66.01378588867186</v>
      </c>
      <c r="U279" s="19" t="n">
        <v>43.2220558158278</v>
      </c>
      <c r="V279" s="20">
        <f>IFERROR(BDP(E279&amp;" Corp","LAST_PRICE"),"--")</f>
        <v/>
      </c>
      <c r="W279" s="21">
        <f>IFERROR(BDP(E279&amp;" Corp","YAS_BENCHMARK_BOND_ISIN"),"--")</f>
        <v/>
      </c>
      <c r="X279" s="22">
        <f>IFERROR(BDP(W279&amp;" CORP","LAST_PRICE"),"--")</f>
        <v/>
      </c>
      <c r="Y279" s="23">
        <f>IFERROR(BDP(E279&amp;" Corp","YAS_YLD_SPREAD","YAS_BOND_PX="&amp;V279,"YAS_BNCHMRK_BOND_PX="&amp;X279),"--")</f>
        <v/>
      </c>
      <c r="Z279" s="23">
        <f>IFERROR(BDP(E279&amp;" Corp","BLOOMBERG_MID_G_SPREAD","YAS_BOND_PX="&amp;V279,"YAS_BNCHMRK_BOND_PX="&amp;X279),"--")</f>
        <v/>
      </c>
      <c r="AA279" s="23">
        <f>IFERROR(BDP(D279,"LAST_PRICE"),"--")</f>
        <v/>
      </c>
      <c r="AB279" s="24" t="n"/>
      <c r="AC279" s="23">
        <f>IFERROR(IF(ISBLANK(AB279),AA279,AB279),"--")</f>
        <v/>
      </c>
      <c r="AD279" s="23">
        <f>IFERROR(MAX(-500,MIN(500,AC279-Z279)),"--")</f>
        <v/>
      </c>
      <c r="AE279" s="25">
        <f>IFERROR((AD279-S279)/(T279-S279)*100,"--")</f>
        <v/>
      </c>
    </row>
    <row r="280">
      <c r="A280" s="26" t="inlineStr">
        <is>
          <t>ADRBID</t>
        </is>
      </c>
      <c r="B280" s="36" t="inlineStr">
        <is>
          <t>XO</t>
        </is>
      </c>
      <c r="C280" s="26" t="inlineStr">
        <is>
          <t>ADRBID 6 1/2 10/31/31</t>
        </is>
      </c>
      <c r="D280" s="27" t="inlineStr">
        <is>
          <t>ADRBID CDS EUR SR 5Y D14 Corp</t>
        </is>
      </c>
      <c r="E280" s="27" t="inlineStr">
        <is>
          <t>XS2919880679</t>
        </is>
      </c>
      <c r="F280" s="28" t="n">
        <v>45659</v>
      </c>
      <c r="G280" s="28" t="n">
        <v>46225</v>
      </c>
      <c r="H280" s="28" t="n">
        <v>48202</v>
      </c>
      <c r="I280" s="29" t="n">
        <v>308.9736022949219</v>
      </c>
      <c r="J280" s="29" t="n">
        <v>272.591796875</v>
      </c>
      <c r="K280" s="29" t="n">
        <v>262.076</v>
      </c>
      <c r="L280" s="29" t="n">
        <v>257.906</v>
      </c>
      <c r="M280" s="30" t="n">
        <v>396</v>
      </c>
      <c r="N280" s="31" t="n">
        <v>46.89760229492185</v>
      </c>
      <c r="O280" s="32" t="n">
        <v>-8.418804687500028</v>
      </c>
      <c r="P280" s="32" t="n">
        <v>68.3767102050781</v>
      </c>
      <c r="Q280" s="33" t="n">
        <v>72.03077817734368</v>
      </c>
      <c r="R280" s="32" t="n">
        <v>10.51579687499998</v>
      </c>
      <c r="S280" s="32" t="n">
        <v>-39.41538671875003</v>
      </c>
      <c r="T280" s="32" t="n">
        <v>52.09821142578124</v>
      </c>
      <c r="U280" s="34" t="n">
        <v>54.5614909763373</v>
      </c>
      <c r="V280" s="20">
        <f>IFERROR(BDP(E280&amp;" Corp","LAST_PRICE"),"--")</f>
        <v/>
      </c>
      <c r="W280" s="21">
        <f>IFERROR(BDP(E280&amp;" Corp","YAS_BENCHMARK_BOND_ISIN"),"--")</f>
        <v/>
      </c>
      <c r="X280" s="22">
        <f>IFERROR(BDP(W280&amp;" CORP","LAST_PRICE"),"--")</f>
        <v/>
      </c>
      <c r="Y280" s="23">
        <f>IFERROR(BDP(E280&amp;" Corp","YAS_YLD_SPREAD","YAS_BOND_PX="&amp;V280,"YAS_BNCHMRK_BOND_PX="&amp;X280),"--")</f>
        <v/>
      </c>
      <c r="Z280" s="23">
        <f>IFERROR(BDP(E280&amp;" Corp","BLOOMBERG_MID_G_SPREAD","YAS_BOND_PX="&amp;V280,"YAS_BNCHMRK_BOND_PX="&amp;X280),"--")</f>
        <v/>
      </c>
      <c r="AA280" s="23">
        <f>IFERROR(BDP(D280,"LAST_PRICE"),"--")</f>
        <v/>
      </c>
      <c r="AB280" s="24" t="n"/>
      <c r="AC280" s="23">
        <f>IFERROR(IF(ISBLANK(AB280),AA280,AB280),"--")</f>
        <v/>
      </c>
      <c r="AD280" s="23">
        <f>IFERROR(MAX(-500,MIN(500,AC280-Z280)),"--")</f>
        <v/>
      </c>
      <c r="AE280" s="25">
        <f>IFERROR((AD280-S280)/(T280-S280)*100,"--")</f>
        <v/>
      </c>
    </row>
    <row r="281">
      <c r="A281" s="11" t="inlineStr">
        <is>
          <t>AFFP</t>
        </is>
      </c>
      <c r="B281" s="36" t="inlineStr">
        <is>
          <t>XO</t>
        </is>
      </c>
      <c r="C281" s="11" t="inlineStr">
        <is>
          <t>AFFP 3 7/8 01/14/31</t>
        </is>
      </c>
      <c r="D281" s="12" t="inlineStr">
        <is>
          <t>AFKLM CDS EUR SR 5Y D14 Corp</t>
        </is>
      </c>
      <c r="E281" s="12" t="inlineStr">
        <is>
          <t>FR0014015H97</t>
        </is>
      </c>
      <c r="F281" s="13" t="n">
        <v>46034</v>
      </c>
      <c r="G281" s="13" t="n">
        <v>46225</v>
      </c>
      <c r="H281" s="13" t="n">
        <v>48019</v>
      </c>
      <c r="I281" s="14" t="n">
        <v>154.8674011230469</v>
      </c>
      <c r="J281" s="14" t="n">
        <v>154.8674011230469</v>
      </c>
      <c r="K281" s="14" t="n">
        <v>148.222</v>
      </c>
      <c r="L281" s="14" t="n">
        <v>158.445</v>
      </c>
      <c r="M281" s="15" t="n">
        <v>135</v>
      </c>
      <c r="N281" s="16" t="n">
        <v>6.645401123046867</v>
      </c>
      <c r="O281" s="17" t="n">
        <v>-19.52159741210937</v>
      </c>
      <c r="P281" s="17" t="n">
        <v>30.93119531249999</v>
      </c>
      <c r="Q281" s="18" t="n">
        <v>51.86432132307467</v>
      </c>
      <c r="R281" s="17" t="n">
        <v>6.645401123046867</v>
      </c>
      <c r="S281" s="17" t="n">
        <v>-19.52159741210937</v>
      </c>
      <c r="T281" s="17" t="n">
        <v>30.93119531249999</v>
      </c>
      <c r="U281" s="19" t="n">
        <v>51.86432132307467</v>
      </c>
      <c r="V281" s="20">
        <f>IFERROR(BDP(E281&amp;" Corp","LAST_PRICE"),"--")</f>
        <v/>
      </c>
      <c r="W281" s="21">
        <f>IFERROR(BDP(E281&amp;" Corp","YAS_BENCHMARK_BOND_ISIN"),"--")</f>
        <v/>
      </c>
      <c r="X281" s="22">
        <f>IFERROR(BDP(W281&amp;" CORP","LAST_PRICE"),"--")</f>
        <v/>
      </c>
      <c r="Y281" s="23">
        <f>IFERROR(BDP(E281&amp;" Corp","YAS_YLD_SPREAD","YAS_BOND_PX="&amp;V281,"YAS_BNCHMRK_BOND_PX="&amp;X281),"--")</f>
        <v/>
      </c>
      <c r="Z281" s="23">
        <f>IFERROR(BDP(E281&amp;" Corp","BLOOMBERG_MID_G_SPREAD","YAS_BOND_PX="&amp;V281,"YAS_BNCHMRK_BOND_PX="&amp;X281),"--")</f>
        <v/>
      </c>
      <c r="AA281" s="23">
        <f>IFERROR(BDP(D281,"LAST_PRICE"),"--")</f>
        <v/>
      </c>
      <c r="AB281" s="24" t="n"/>
      <c r="AC281" s="23">
        <f>IFERROR(IF(ISBLANK(AB281),AA281,AB281),"--")</f>
        <v/>
      </c>
      <c r="AD281" s="23">
        <f>IFERROR(MAX(-500,MIN(500,AC281-Z281)),"--")</f>
        <v/>
      </c>
      <c r="AE281" s="25">
        <f>IFERROR((AD281-S281)/(T281-S281)*100,"--")</f>
        <v/>
      </c>
    </row>
    <row r="282">
      <c r="A282" s="26" t="inlineStr">
        <is>
          <t>AGKLN</t>
        </is>
      </c>
      <c r="B282" s="36" t="inlineStr">
        <is>
          <t>XO</t>
        </is>
      </c>
      <c r="C282" s="26" t="inlineStr">
        <is>
          <t>AGKLN 7 05/21/30</t>
        </is>
      </c>
      <c r="D282" s="27" t="inlineStr">
        <is>
          <t>CZ037560 Curncy</t>
        </is>
      </c>
      <c r="E282" s="27" t="inlineStr">
        <is>
          <t>US01330AAA43</t>
        </is>
      </c>
      <c r="F282" s="28" t="n">
        <v>46044</v>
      </c>
      <c r="G282" s="28" t="n">
        <v>46225</v>
      </c>
      <c r="H282" s="28" t="n">
        <v>47654</v>
      </c>
      <c r="I282" s="29" t="n">
        <v>164.56640625</v>
      </c>
      <c r="J282" s="29" t="n">
        <v>205.3332061767578</v>
      </c>
      <c r="K282" s="29" t="n">
        <v>176.373</v>
      </c>
      <c r="L282" s="29" t="n">
        <v>177.088</v>
      </c>
      <c r="M282" s="30" t="n">
        <v>126</v>
      </c>
      <c r="N282" s="31" t="n">
        <v>-11.80659374999999</v>
      </c>
      <c r="O282" s="32" t="n">
        <v>-14.45479785156249</v>
      </c>
      <c r="P282" s="32" t="n">
        <v>61.07091162109376</v>
      </c>
      <c r="Q282" s="33" t="n">
        <v>3.506361105447502</v>
      </c>
      <c r="R282" s="32" t="n">
        <v>28.96020617675782</v>
      </c>
      <c r="S282" s="32" t="n">
        <v>25.74370373535157</v>
      </c>
      <c r="T282" s="32" t="n">
        <v>116.1222116699219</v>
      </c>
      <c r="U282" s="34" t="n">
        <v>3.558924035053601</v>
      </c>
      <c r="V282" s="20">
        <f>IFERROR(BDP(E282&amp;" Corp","LAST_PRICE"),"--")</f>
        <v/>
      </c>
      <c r="W282" s="21">
        <f>IFERROR(BDP(E282&amp;" Corp","YAS_BENCHMARK_BOND_ISIN"),"--")</f>
        <v/>
      </c>
      <c r="X282" s="22">
        <f>IFERROR(BDP(W282&amp;" CORP","LAST_PRICE"),"--")</f>
        <v/>
      </c>
      <c r="Y282" s="23">
        <f>IFERROR(BDP(E282&amp;" Corp","YAS_YLD_SPREAD","YAS_BOND_PX="&amp;V282,"YAS_BNCHMRK_BOND_PX="&amp;X282),"--")</f>
        <v/>
      </c>
      <c r="Z282" s="23">
        <f>IFERROR(BDP(E282&amp;" Corp","BLOOMBERG_MID_G_SPREAD","YAS_BOND_PX="&amp;V282,"YAS_BNCHMRK_BOND_PX="&amp;X282),"--")</f>
        <v/>
      </c>
      <c r="AA282" s="23">
        <f>IFERROR(BDP(D282,"LAST_PRICE"),"--")</f>
        <v/>
      </c>
      <c r="AB282" s="24" t="n"/>
      <c r="AC282" s="23">
        <f>IFERROR(IF(ISBLANK(AB282),AA282,AB282),"--")</f>
        <v/>
      </c>
      <c r="AD282" s="23">
        <f>IFERROR(MAX(-500,MIN(500,AC282-Z282)),"--")</f>
        <v/>
      </c>
      <c r="AE282" s="25">
        <f>IFERROR((AD282-S282)/(T282-S282)*100,"--")</f>
        <v/>
      </c>
    </row>
    <row r="283">
      <c r="A283" s="11" t="inlineStr">
        <is>
          <t>ARWLN</t>
        </is>
      </c>
      <c r="B283" s="36" t="inlineStr">
        <is>
          <t>XO</t>
        </is>
      </c>
      <c r="C283" s="11" t="inlineStr">
        <is>
          <t>ARWLN 7 5/8 12/15/29</t>
        </is>
      </c>
      <c r="D283" s="12" t="inlineStr">
        <is>
          <t>ARWLN CDS EUR SR 5Y D14 Corp</t>
        </is>
      </c>
      <c r="E283" s="12" t="inlineStr">
        <is>
          <t>XS2953568479</t>
        </is>
      </c>
      <c r="F283" s="13" t="n">
        <v>45735</v>
      </c>
      <c r="G283" s="13" t="n">
        <v>46225</v>
      </c>
      <c r="H283" s="13" t="n">
        <v>47472</v>
      </c>
      <c r="I283" s="14" t="n">
        <v>384.2726135253906</v>
      </c>
      <c r="J283" s="14" t="n">
        <v>471.9222106933594</v>
      </c>
      <c r="K283" s="14" t="n">
        <v>388.997</v>
      </c>
      <c r="L283" s="14" t="n">
        <v>387.084</v>
      </c>
      <c r="M283" s="15" t="n">
        <v>342</v>
      </c>
      <c r="N283" s="16" t="n">
        <v>-4.724386474609389</v>
      </c>
      <c r="O283" s="17" t="n">
        <v>-199.0562958984375</v>
      </c>
      <c r="P283" s="17" t="n">
        <v>9.506285400390652</v>
      </c>
      <c r="Q283" s="18" t="n">
        <v>93.17678569838452</v>
      </c>
      <c r="R283" s="17" t="n">
        <v>82.92521069335936</v>
      </c>
      <c r="S283" s="17" t="n">
        <v>-98.70162060546875</v>
      </c>
      <c r="T283" s="17" t="n">
        <v>121.9961938476562</v>
      </c>
      <c r="U283" s="19" t="n">
        <v>82.29661528315889</v>
      </c>
      <c r="V283" s="20">
        <f>IFERROR(BDP(E283&amp;" Corp","LAST_PRICE"),"--")</f>
        <v/>
      </c>
      <c r="W283" s="21">
        <f>IFERROR(BDP(E283&amp;" Corp","YAS_BENCHMARK_BOND_ISIN"),"--")</f>
        <v/>
      </c>
      <c r="X283" s="22">
        <f>IFERROR(BDP(W283&amp;" CORP","LAST_PRICE"),"--")</f>
        <v/>
      </c>
      <c r="Y283" s="23">
        <f>IFERROR(BDP(E283&amp;" Corp","YAS_YLD_SPREAD","YAS_BOND_PX="&amp;V283,"YAS_BNCHMRK_BOND_PX="&amp;X283),"--")</f>
        <v/>
      </c>
      <c r="Z283" s="23">
        <f>IFERROR(BDP(E283&amp;" Corp","BLOOMBERG_MID_G_SPREAD","YAS_BOND_PX="&amp;V283,"YAS_BNCHMRK_BOND_PX="&amp;X283),"--")</f>
        <v/>
      </c>
      <c r="AA283" s="23">
        <f>IFERROR(BDP(D283,"LAST_PRICE"),"--")</f>
        <v/>
      </c>
      <c r="AB283" s="24" t="n"/>
      <c r="AC283" s="23">
        <f>IFERROR(IF(ISBLANK(AB283),AA283,AB283),"--")</f>
        <v/>
      </c>
      <c r="AD283" s="23">
        <f>IFERROR(MAX(-500,MIN(500,AC283-Z283)),"--")</f>
        <v/>
      </c>
      <c r="AE283" s="25">
        <f>IFERROR((AD283-S283)/(T283-S283)*100,"--")</f>
        <v/>
      </c>
    </row>
    <row r="284">
      <c r="A284" s="26" t="inlineStr">
        <is>
          <t>ASSDLN</t>
        </is>
      </c>
      <c r="B284" s="36" t="inlineStr">
        <is>
          <t>XO</t>
        </is>
      </c>
      <c r="C284" s="26" t="inlineStr">
        <is>
          <t>ASSDLN 8 07/01/31</t>
        </is>
      </c>
      <c r="D284" s="27" t="inlineStr">
        <is>
          <t>ASSDLN CDS EUR SR 5Y D14 Corp</t>
        </is>
      </c>
      <c r="E284" s="27" t="inlineStr">
        <is>
          <t>XS3099155932</t>
        </is>
      </c>
      <c r="F284" s="28" t="n">
        <v>45828</v>
      </c>
      <c r="G284" s="28" t="n">
        <v>46225</v>
      </c>
      <c r="H284" s="28" t="n">
        <v>48202</v>
      </c>
      <c r="I284" s="29" t="n">
        <v>657.3952026367188</v>
      </c>
      <c r="J284" s="29" t="n">
        <v>630.6262817382812</v>
      </c>
      <c r="K284" s="29" t="n">
        <v>605.568</v>
      </c>
      <c r="L284" s="29" t="n">
        <v>608.202</v>
      </c>
      <c r="M284" s="30" t="n">
        <v>278</v>
      </c>
      <c r="N284" s="31" t="n">
        <v>51.82720263671877</v>
      </c>
      <c r="O284" s="32" t="n">
        <v>-73.29020556640626</v>
      </c>
      <c r="P284" s="32" t="n">
        <v>103.6969282226562</v>
      </c>
      <c r="Q284" s="33" t="n">
        <v>70.6929399468342</v>
      </c>
      <c r="R284" s="32" t="n">
        <v>25.05828173828127</v>
      </c>
      <c r="S284" s="32" t="n">
        <v>-89.09452685546876</v>
      </c>
      <c r="T284" s="32" t="n">
        <v>88.5702192382812</v>
      </c>
      <c r="U284" s="34" t="n">
        <v>64.25180633951656</v>
      </c>
      <c r="V284" s="20">
        <f>IFERROR(BDP(E284&amp;" Corp","LAST_PRICE"),"--")</f>
        <v/>
      </c>
      <c r="W284" s="21">
        <f>IFERROR(BDP(E284&amp;" Corp","YAS_BENCHMARK_BOND_ISIN"),"--")</f>
        <v/>
      </c>
      <c r="X284" s="22">
        <f>IFERROR(BDP(W284&amp;" CORP","LAST_PRICE"),"--")</f>
        <v/>
      </c>
      <c r="Y284" s="23">
        <f>IFERROR(BDP(E284&amp;" Corp","YAS_YLD_SPREAD","YAS_BOND_PX="&amp;V284,"YAS_BNCHMRK_BOND_PX="&amp;X284),"--")</f>
        <v/>
      </c>
      <c r="Z284" s="23">
        <f>IFERROR(BDP(E284&amp;" Corp","BLOOMBERG_MID_G_SPREAD","YAS_BOND_PX="&amp;V284,"YAS_BNCHMRK_BOND_PX="&amp;X284),"--")</f>
        <v/>
      </c>
      <c r="AA284" s="23">
        <f>IFERROR(BDP(D284,"LAST_PRICE"),"--")</f>
        <v/>
      </c>
      <c r="AB284" s="24" t="n"/>
      <c r="AC284" s="23">
        <f>IFERROR(IF(ISBLANK(AB284),AA284,AB284),"--")</f>
        <v/>
      </c>
      <c r="AD284" s="23">
        <f>IFERROR(MAX(-500,MIN(500,AC284-Z284)),"--")</f>
        <v/>
      </c>
      <c r="AE284" s="25">
        <f>IFERROR((AD284-S284)/(T284-S284)*100,"--")</f>
        <v/>
      </c>
    </row>
    <row r="285">
      <c r="A285" s="11" t="inlineStr">
        <is>
          <t>ATLIM</t>
        </is>
      </c>
      <c r="B285" s="36" t="inlineStr">
        <is>
          <t>XO</t>
        </is>
      </c>
      <c r="C285" s="11" t="inlineStr">
        <is>
          <t>MUNDYS 3.7 09/29/31</t>
        </is>
      </c>
      <c r="D285" s="12" t="inlineStr">
        <is>
          <t>MUNDYS CDS EUR SR 5Y D14 Corp</t>
        </is>
      </c>
      <c r="E285" s="12" t="inlineStr">
        <is>
          <t>XS3192254632</t>
        </is>
      </c>
      <c r="F285" s="13" t="n">
        <v>45924</v>
      </c>
      <c r="G285" s="13" t="n">
        <v>46225</v>
      </c>
      <c r="H285" s="13" t="n">
        <v>48202</v>
      </c>
      <c r="I285" s="14" t="n">
        <v>85.40509796142578</v>
      </c>
      <c r="J285" s="14" t="n">
        <v>78.55069732666016</v>
      </c>
      <c r="K285" s="14" t="n">
        <v>120.29</v>
      </c>
      <c r="L285" s="14" t="n">
        <v>123.75</v>
      </c>
      <c r="M285" s="15" t="n">
        <v>209</v>
      </c>
      <c r="N285" s="16" t="n">
        <v>-34.88490203857423</v>
      </c>
      <c r="O285" s="17" t="n">
        <v>-56.84270245361327</v>
      </c>
      <c r="P285" s="17" t="n">
        <v>-14.93089831542969</v>
      </c>
      <c r="Q285" s="18" t="n">
        <v>52.39049205002959</v>
      </c>
      <c r="R285" s="17" t="n">
        <v>-41.73930267333985</v>
      </c>
      <c r="S285" s="17" t="n">
        <v>-64.48920208740233</v>
      </c>
      <c r="T285" s="17" t="n">
        <v>-22.29569781494141</v>
      </c>
      <c r="U285" s="19" t="n">
        <v>53.91801369982679</v>
      </c>
      <c r="V285" s="20">
        <f>IFERROR(BDP(E285&amp;" Corp","LAST_PRICE"),"--")</f>
        <v/>
      </c>
      <c r="W285" s="21">
        <f>IFERROR(BDP(E285&amp;" Corp","YAS_BENCHMARK_BOND_ISIN"),"--")</f>
        <v/>
      </c>
      <c r="X285" s="22">
        <f>IFERROR(BDP(W285&amp;" CORP","LAST_PRICE"),"--")</f>
        <v/>
      </c>
      <c r="Y285" s="23">
        <f>IFERROR(BDP(E285&amp;" Corp","YAS_YLD_SPREAD","YAS_BOND_PX="&amp;V285,"YAS_BNCHMRK_BOND_PX="&amp;X285),"--")</f>
        <v/>
      </c>
      <c r="Z285" s="23">
        <f>IFERROR(BDP(E285&amp;" Corp","BLOOMBERG_MID_G_SPREAD","YAS_BOND_PX="&amp;V285,"YAS_BNCHMRK_BOND_PX="&amp;X285),"--")</f>
        <v/>
      </c>
      <c r="AA285" s="23">
        <f>IFERROR(BDP(D285,"LAST_PRICE"),"--")</f>
        <v/>
      </c>
      <c r="AB285" s="24" t="n"/>
      <c r="AC285" s="23">
        <f>IFERROR(IF(ISBLANK(AB285),AA285,AB285),"--")</f>
        <v/>
      </c>
      <c r="AD285" s="23">
        <f>IFERROR(MAX(-500,MIN(500,AC285-Z285)),"--")</f>
        <v/>
      </c>
      <c r="AE285" s="25">
        <f>IFERROR((AD285-S285)/(T285-S285)*100,"--")</f>
        <v/>
      </c>
    </row>
    <row r="286">
      <c r="A286" s="26" t="inlineStr">
        <is>
          <t>BOPRLN</t>
        </is>
      </c>
      <c r="B286" s="36" t="inlineStr">
        <is>
          <t>XO</t>
        </is>
      </c>
      <c r="C286" s="26" t="inlineStr">
        <is>
          <t>BOPRLN 9 3/8 11/07/29</t>
        </is>
      </c>
      <c r="D286" s="27" t="inlineStr">
        <is>
          <t>BOPRLN CDS EUR SR 5Y D14 Corp</t>
        </is>
      </c>
      <c r="E286" s="27" t="inlineStr">
        <is>
          <t>XS2928674840</t>
        </is>
      </c>
      <c r="F286" s="28" t="n">
        <v>45659</v>
      </c>
      <c r="G286" s="28" t="n">
        <v>46225</v>
      </c>
      <c r="H286" s="28" t="n">
        <v>47472</v>
      </c>
      <c r="I286" s="29" t="n">
        <v>126.396598815918</v>
      </c>
      <c r="J286" s="29" t="n">
        <v>175.3130950927734</v>
      </c>
      <c r="K286" s="29" t="n">
        <v>192.461</v>
      </c>
      <c r="L286" s="29" t="n">
        <v>287.66</v>
      </c>
      <c r="M286" s="30" t="n">
        <v>393</v>
      </c>
      <c r="N286" s="31" t="n">
        <v>-66.06440118408204</v>
      </c>
      <c r="O286" s="32" t="n">
        <v>-160.5825932617187</v>
      </c>
      <c r="P286" s="32" t="n">
        <v>62.94197216796874</v>
      </c>
      <c r="Q286" s="33" t="n">
        <v>42.2853711384884</v>
      </c>
      <c r="R286" s="32" t="n">
        <v>-17.14790490722658</v>
      </c>
      <c r="S286" s="32" t="n">
        <v>-107.172498046875</v>
      </c>
      <c r="T286" s="32" t="n">
        <v>103.627099609375</v>
      </c>
      <c r="U286" s="34" t="n">
        <v>42.70624523982779</v>
      </c>
      <c r="V286" s="20">
        <f>IFERROR(BDP(E286&amp;" Corp","LAST_PRICE"),"--")</f>
        <v/>
      </c>
      <c r="W286" s="21">
        <f>IFERROR(BDP(E286&amp;" Corp","YAS_BENCHMARK_BOND_ISIN"),"--")</f>
        <v/>
      </c>
      <c r="X286" s="22">
        <f>IFERROR(BDP(W286&amp;" CORP","LAST_PRICE"),"--")</f>
        <v/>
      </c>
      <c r="Y286" s="23">
        <f>IFERROR(BDP(E286&amp;" Corp","YAS_YLD_SPREAD","YAS_BOND_PX="&amp;V286,"YAS_BNCHMRK_BOND_PX="&amp;X286),"--")</f>
        <v/>
      </c>
      <c r="Z286" s="23">
        <f>IFERROR(BDP(E286&amp;" Corp","BLOOMBERG_MID_G_SPREAD","YAS_BOND_PX="&amp;V286,"YAS_BNCHMRK_BOND_PX="&amp;X286),"--")</f>
        <v/>
      </c>
      <c r="AA286" s="23">
        <f>IFERROR(BDP(D286,"LAST_PRICE"),"--")</f>
        <v/>
      </c>
      <c r="AB286" s="24" t="n"/>
      <c r="AC286" s="23">
        <f>IFERROR(IF(ISBLANK(AB286),AA286,AB286),"--")</f>
        <v/>
      </c>
      <c r="AD286" s="23">
        <f>IFERROR(MAX(-500,MIN(500,AC286-Z286)),"--")</f>
        <v/>
      </c>
      <c r="AE286" s="25">
        <f>IFERROR((AD286-S286)/(T286-S286)*100,"--")</f>
        <v/>
      </c>
    </row>
    <row r="287">
      <c r="A287" s="11" t="inlineStr">
        <is>
          <t>BRSL</t>
        </is>
      </c>
      <c r="B287" s="36" t="inlineStr">
        <is>
          <t>XO</t>
        </is>
      </c>
      <c r="C287" s="11" t="inlineStr">
        <is>
          <t>BRSL 5 3/4 01/15/33</t>
        </is>
      </c>
      <c r="D287" s="12" t="inlineStr">
        <is>
          <t>IGTPLC CDS EUR SR 5Y D14 Corp</t>
        </is>
      </c>
      <c r="E287" s="12" t="inlineStr">
        <is>
          <t>USG15914AA52</t>
        </is>
      </c>
      <c r="F287" s="13" t="n">
        <v>45994</v>
      </c>
      <c r="G287" s="13" t="n">
        <v>46225</v>
      </c>
      <c r="H287" s="13" t="n">
        <v>48750</v>
      </c>
      <c r="I287" s="14" t="n">
        <v>211.7966003417969</v>
      </c>
      <c r="J287" s="14" t="n">
        <v>169.0135040283203</v>
      </c>
      <c r="K287" s="14" t="n">
        <v>174.824</v>
      </c>
      <c r="L287" s="14" t="n">
        <v>175.691</v>
      </c>
      <c r="M287" s="15" t="n">
        <v>160</v>
      </c>
      <c r="N287" s="16" t="n">
        <v>36.97260034179686</v>
      </c>
      <c r="O287" s="17" t="n">
        <v>-11.5671944580078</v>
      </c>
      <c r="P287" s="17" t="n">
        <v>82.56419970703126</v>
      </c>
      <c r="Q287" s="18" t="n">
        <v>51.56600008993877</v>
      </c>
      <c r="R287" s="17" t="n">
        <v>-5.8104959716797</v>
      </c>
      <c r="S287" s="17" t="n">
        <v>-43.72669458007812</v>
      </c>
      <c r="T287" s="17" t="n">
        <v>37.56309936523436</v>
      </c>
      <c r="U287" s="19" t="n">
        <v>46.64324605608725</v>
      </c>
      <c r="V287" s="20">
        <f>IFERROR(BDP(E287&amp;" Corp","LAST_PRICE"),"--")</f>
        <v/>
      </c>
      <c r="W287" s="21">
        <f>IFERROR(BDP(E287&amp;" Corp","YAS_BENCHMARK_BOND_ISIN"),"--")</f>
        <v/>
      </c>
      <c r="X287" s="22">
        <f>IFERROR(BDP(W287&amp;" CORP","LAST_PRICE"),"--")</f>
        <v/>
      </c>
      <c r="Y287" s="23">
        <f>IFERROR(BDP(E287&amp;" Corp","YAS_YLD_SPREAD","YAS_BOND_PX="&amp;V287,"YAS_BNCHMRK_BOND_PX="&amp;X287),"--")</f>
        <v/>
      </c>
      <c r="Z287" s="23">
        <f>IFERROR(BDP(E287&amp;" Corp","BLOOMBERG_MID_G_SPREAD","YAS_BOND_PX="&amp;V287,"YAS_BNCHMRK_BOND_PX="&amp;X287),"--")</f>
        <v/>
      </c>
      <c r="AA287" s="23">
        <f>IFERROR(BDP(D287,"LAST_PRICE"),"--")</f>
        <v/>
      </c>
      <c r="AB287" s="24" t="n"/>
      <c r="AC287" s="23">
        <f>IFERROR(IF(ISBLANK(AB287),AA287,AB287),"--")</f>
        <v/>
      </c>
      <c r="AD287" s="23">
        <f>IFERROR(MAX(-500,MIN(500,AC287-Z287)),"--")</f>
        <v/>
      </c>
      <c r="AE287" s="25">
        <f>IFERROR((AD287-S287)/(T287-S287)*100,"--")</f>
        <v/>
      </c>
    </row>
    <row r="288">
      <c r="A288" s="26" t="inlineStr">
        <is>
          <t>CABBCO</t>
        </is>
      </c>
      <c r="B288" s="36" t="inlineStr">
        <is>
          <t>XO</t>
        </is>
      </c>
      <c r="C288" s="26" t="inlineStr">
        <is>
          <t>CABBCO 8 07/15/31</t>
        </is>
      </c>
      <c r="D288" s="27" t="inlineStr">
        <is>
          <t>CABBCO CDS EUR SR 5Y D14 Corp</t>
        </is>
      </c>
      <c r="E288" s="27" t="inlineStr">
        <is>
          <t>XS3420263629</t>
        </is>
      </c>
      <c r="F288" s="28" t="n">
        <v>46192</v>
      </c>
      <c r="G288" s="28" t="n">
        <v>46225</v>
      </c>
      <c r="H288" s="28" t="n">
        <v>48202</v>
      </c>
      <c r="I288" s="29" t="n">
        <v>543.3477172851562</v>
      </c>
      <c r="J288" s="29" t="n">
        <v>531.0521240234375</v>
      </c>
      <c r="K288" s="29" t="n">
        <v>553.058</v>
      </c>
      <c r="L288" s="29" t="n">
        <v>555.7430000000001</v>
      </c>
      <c r="M288" s="30" t="n">
        <v>24</v>
      </c>
      <c r="N288" s="31" t="n">
        <v>-9.710282714843743</v>
      </c>
      <c r="O288" s="32" t="n">
        <v>-100.3090051269531</v>
      </c>
      <c r="P288" s="32" t="n">
        <v>-9.710282714843743</v>
      </c>
      <c r="Q288" s="33" t="n">
        <v>100</v>
      </c>
      <c r="R288" s="32" t="n">
        <v>-22.00587597656249</v>
      </c>
      <c r="S288" s="32" t="n">
        <v>-111.2111962890625</v>
      </c>
      <c r="T288" s="32" t="n">
        <v>-22.00587597656249</v>
      </c>
      <c r="U288" s="34" t="n">
        <v>100</v>
      </c>
      <c r="V288" s="20">
        <f>IFERROR(BDP(E288&amp;" Corp","LAST_PRICE"),"--")</f>
        <v/>
      </c>
      <c r="W288" s="21">
        <f>IFERROR(BDP(E288&amp;" Corp","YAS_BENCHMARK_BOND_ISIN"),"--")</f>
        <v/>
      </c>
      <c r="X288" s="22">
        <f>IFERROR(BDP(W288&amp;" CORP","LAST_PRICE"),"--")</f>
        <v/>
      </c>
      <c r="Y288" s="23">
        <f>IFERROR(BDP(E288&amp;" Corp","YAS_YLD_SPREAD","YAS_BOND_PX="&amp;V288,"YAS_BNCHMRK_BOND_PX="&amp;X288),"--")</f>
        <v/>
      </c>
      <c r="Z288" s="23">
        <f>IFERROR(BDP(E288&amp;" Corp","BLOOMBERG_MID_G_SPREAD","YAS_BOND_PX="&amp;V288,"YAS_BNCHMRK_BOND_PX="&amp;X288),"--")</f>
        <v/>
      </c>
      <c r="AA288" s="23">
        <f>IFERROR(BDP(D288,"LAST_PRICE"),"--")</f>
        <v/>
      </c>
      <c r="AB288" s="24" t="n"/>
      <c r="AC288" s="23">
        <f>IFERROR(IF(ISBLANK(AB288),AA288,AB288),"--")</f>
        <v/>
      </c>
      <c r="AD288" s="23">
        <f>IFERROR(MAX(-500,MIN(500,AC288-Z288)),"--")</f>
        <v/>
      </c>
      <c r="AE288" s="25">
        <f>IFERROR((AD288-S288)/(T288-S288)*100,"--")</f>
        <v/>
      </c>
    </row>
    <row r="289">
      <c r="A289" s="11" t="inlineStr">
        <is>
          <t>CCK</t>
        </is>
      </c>
      <c r="B289" s="36" t="inlineStr">
        <is>
          <t>XO</t>
        </is>
      </c>
      <c r="C289" s="11" t="inlineStr">
        <is>
          <t>CCK 3 3/4 09/30/31</t>
        </is>
      </c>
      <c r="D289" s="12" t="inlineStr">
        <is>
          <t>CCK A CDS EUR SR 5Y D14 Corp</t>
        </is>
      </c>
      <c r="E289" s="12" t="inlineStr">
        <is>
          <t>XS3188831658</t>
        </is>
      </c>
      <c r="F289" s="13" t="n">
        <v>45924</v>
      </c>
      <c r="G289" s="13" t="n">
        <v>46225</v>
      </c>
      <c r="H289" s="13" t="n">
        <v>48202</v>
      </c>
      <c r="I289" s="14" t="n">
        <v>103.9878997802734</v>
      </c>
      <c r="J289" s="14" t="n">
        <v>98.05999755859375</v>
      </c>
      <c r="K289" s="14" t="n">
        <v>97.59</v>
      </c>
      <c r="L289" s="14" t="n">
        <v>98.68300000000001</v>
      </c>
      <c r="M289" s="15" t="n">
        <v>210</v>
      </c>
      <c r="N289" s="16" t="n">
        <v>6.397899780273434</v>
      </c>
      <c r="O289" s="17" t="n">
        <v>-28.70069750976563</v>
      </c>
      <c r="P289" s="17" t="n">
        <v>6.397899780273434</v>
      </c>
      <c r="Q289" s="18" t="n">
        <v>100</v>
      </c>
      <c r="R289" s="17" t="n">
        <v>0.4699975585937466</v>
      </c>
      <c r="S289" s="17" t="n">
        <v>-34.81700000000001</v>
      </c>
      <c r="T289" s="17" t="n">
        <v>0.4699975585937466</v>
      </c>
      <c r="U289" s="19" t="n">
        <v>100</v>
      </c>
      <c r="V289" s="20">
        <f>IFERROR(BDP(E289&amp;" Corp","LAST_PRICE"),"--")</f>
        <v/>
      </c>
      <c r="W289" s="21">
        <f>IFERROR(BDP(E289&amp;" Corp","YAS_BENCHMARK_BOND_ISIN"),"--")</f>
        <v/>
      </c>
      <c r="X289" s="22">
        <f>IFERROR(BDP(W289&amp;" CORP","LAST_PRICE"),"--")</f>
        <v/>
      </c>
      <c r="Y289" s="23">
        <f>IFERROR(BDP(E289&amp;" Corp","YAS_YLD_SPREAD","YAS_BOND_PX="&amp;V289,"YAS_BNCHMRK_BOND_PX="&amp;X289),"--")</f>
        <v/>
      </c>
      <c r="Z289" s="23">
        <f>IFERROR(BDP(E289&amp;" Corp","BLOOMBERG_MID_G_SPREAD","YAS_BOND_PX="&amp;V289,"YAS_BNCHMRK_BOND_PX="&amp;X289),"--")</f>
        <v/>
      </c>
      <c r="AA289" s="23">
        <f>IFERROR(BDP(D289,"LAST_PRICE"),"--")</f>
        <v/>
      </c>
      <c r="AB289" s="24" t="n"/>
      <c r="AC289" s="23">
        <f>IFERROR(IF(ISBLANK(AB289),AA289,AB289),"--")</f>
        <v/>
      </c>
      <c r="AD289" s="23">
        <f>IFERROR(MAX(-500,MIN(500,AC289-Z289)),"--")</f>
        <v/>
      </c>
      <c r="AE289" s="25">
        <f>IFERROR((AD289-S289)/(T289-S289)*100,"--")</f>
        <v/>
      </c>
    </row>
    <row r="290">
      <c r="A290" s="26" t="inlineStr">
        <is>
          <t>CECGR</t>
        </is>
      </c>
      <c r="B290" s="36" t="inlineStr">
        <is>
          <t>XO</t>
        </is>
      </c>
      <c r="C290" s="26" t="inlineStr">
        <is>
          <t>CECGR 6 1/4 07/15/29</t>
        </is>
      </c>
      <c r="D290" s="27" t="inlineStr">
        <is>
          <t>CECGR CDS EUR SR 5Y D14 Corp</t>
        </is>
      </c>
      <c r="E290" s="27" t="inlineStr">
        <is>
          <t>XS2854329104</t>
        </is>
      </c>
      <c r="F290" s="28" t="n">
        <v>45659</v>
      </c>
      <c r="G290" s="28" t="n">
        <v>46225</v>
      </c>
      <c r="H290" s="28" t="n">
        <v>47472</v>
      </c>
      <c r="I290" s="29" t="n">
        <v>97.71209716796875</v>
      </c>
      <c r="J290" s="29" t="n">
        <v>132.4183044433594</v>
      </c>
      <c r="K290" s="29" t="n">
        <v>-617.604</v>
      </c>
      <c r="L290" s="29" t="n">
        <v>-1407.54</v>
      </c>
      <c r="M290" s="30" t="n">
        <v>396</v>
      </c>
      <c r="N290" s="31" t="n">
        <v>715.3160971679688</v>
      </c>
      <c r="O290" s="32" t="n">
        <v>-200.5633994445801</v>
      </c>
      <c r="P290" s="32" t="n">
        <v>877.2270997314453</v>
      </c>
      <c r="Q290" s="33" t="n">
        <v>84.97750697494011</v>
      </c>
      <c r="R290" s="32" t="n">
        <v>750.0223044433594</v>
      </c>
      <c r="S290" s="32" t="n">
        <v>-182.6292983398437</v>
      </c>
      <c r="T290" s="32" t="n">
        <v>912.0464051513671</v>
      </c>
      <c r="U290" s="34" t="n">
        <v>85.19889496119535</v>
      </c>
      <c r="V290" s="20">
        <f>IFERROR(BDP(E290&amp;" Corp","LAST_PRICE"),"--")</f>
        <v/>
      </c>
      <c r="W290" s="21">
        <f>IFERROR(BDP(E290&amp;" Corp","YAS_BENCHMARK_BOND_ISIN"),"--")</f>
        <v/>
      </c>
      <c r="X290" s="22">
        <f>IFERROR(BDP(W290&amp;" CORP","LAST_PRICE"),"--")</f>
        <v/>
      </c>
      <c r="Y290" s="23">
        <f>IFERROR(BDP(E290&amp;" Corp","YAS_YLD_SPREAD","YAS_BOND_PX="&amp;V290,"YAS_BNCHMRK_BOND_PX="&amp;X290),"--")</f>
        <v/>
      </c>
      <c r="Z290" s="23">
        <f>IFERROR(BDP(E290&amp;" Corp","BLOOMBERG_MID_G_SPREAD","YAS_BOND_PX="&amp;V290,"YAS_BNCHMRK_BOND_PX="&amp;X290),"--")</f>
        <v/>
      </c>
      <c r="AA290" s="23">
        <f>IFERROR(BDP(D290,"LAST_PRICE"),"--")</f>
        <v/>
      </c>
      <c r="AB290" s="24" t="n"/>
      <c r="AC290" s="23">
        <f>IFERROR(IF(ISBLANK(AB290),AA290,AB290),"--")</f>
        <v/>
      </c>
      <c r="AD290" s="23">
        <f>IFERROR(MAX(-500,MIN(500,AC290-Z290)),"--")</f>
        <v/>
      </c>
      <c r="AE290" s="25">
        <f>IFERROR((AD290-S290)/(T290-S290)*100,"--")</f>
        <v/>
      </c>
    </row>
    <row r="291">
      <c r="A291" s="11" t="inlineStr">
        <is>
          <t>CEETRU</t>
        </is>
      </c>
      <c r="B291" s="36" t="inlineStr">
        <is>
          <t>XO</t>
        </is>
      </c>
      <c r="C291" s="11" t="inlineStr">
        <is>
          <t>NIMMOH 5 1/2 04/23/31</t>
        </is>
      </c>
      <c r="D291" s="12" t="inlineStr">
        <is>
          <t>CZ038306 Curncy</t>
        </is>
      </c>
      <c r="E291" s="12" t="inlineStr">
        <is>
          <t>FR0014016WB2</t>
        </is>
      </c>
      <c r="F291" s="13" t="n">
        <v>46128</v>
      </c>
      <c r="G291" s="13" t="n">
        <v>46225</v>
      </c>
      <c r="H291" s="13" t="n">
        <v>48019</v>
      </c>
      <c r="I291" s="14" t="n">
        <v>231.4635925292969</v>
      </c>
      <c r="J291" s="14" t="n">
        <v>231.4635925292969</v>
      </c>
      <c r="K291" s="14" t="n">
        <v>239.69</v>
      </c>
      <c r="L291" s="14" t="n">
        <v>236.927</v>
      </c>
      <c r="M291" s="15" t="n">
        <v>69</v>
      </c>
      <c r="N291" s="16" t="n">
        <v>-8.226407470703123</v>
      </c>
      <c r="O291" s="17" t="n">
        <v>-53.01519555664061</v>
      </c>
      <c r="P291" s="17" t="n">
        <v>-8.226407470703123</v>
      </c>
      <c r="Q291" s="18" t="n">
        <v>100</v>
      </c>
      <c r="R291" s="17" t="n">
        <v>-8.226407470703123</v>
      </c>
      <c r="S291" s="17" t="n">
        <v>-53.01519555664061</v>
      </c>
      <c r="T291" s="17" t="n">
        <v>-8.226407470703123</v>
      </c>
      <c r="U291" s="19" t="n">
        <v>100</v>
      </c>
      <c r="V291" s="20">
        <f>IFERROR(BDP(E291&amp;" Corp","LAST_PRICE"),"--")</f>
        <v/>
      </c>
      <c r="W291" s="21">
        <f>IFERROR(BDP(E291&amp;" Corp","YAS_BENCHMARK_BOND_ISIN"),"--")</f>
        <v/>
      </c>
      <c r="X291" s="22">
        <f>IFERROR(BDP(W291&amp;" CORP","LAST_PRICE"),"--")</f>
        <v/>
      </c>
      <c r="Y291" s="23">
        <f>IFERROR(BDP(E291&amp;" Corp","YAS_YLD_SPREAD","YAS_BOND_PX="&amp;V291,"YAS_BNCHMRK_BOND_PX="&amp;X291),"--")</f>
        <v/>
      </c>
      <c r="Z291" s="23">
        <f>IFERROR(BDP(E291&amp;" Corp","BLOOMBERG_MID_G_SPREAD","YAS_BOND_PX="&amp;V291,"YAS_BNCHMRK_BOND_PX="&amp;X291),"--")</f>
        <v/>
      </c>
      <c r="AA291" s="23">
        <f>IFERROR(BDP(D291,"LAST_PRICE"),"--")</f>
        <v/>
      </c>
      <c r="AB291" s="24" t="n"/>
      <c r="AC291" s="23">
        <f>IFERROR(IF(ISBLANK(AB291),AA291,AB291),"--")</f>
        <v/>
      </c>
      <c r="AD291" s="23">
        <f>IFERROR(MAX(-500,MIN(500,AC291-Z291)),"--")</f>
        <v/>
      </c>
      <c r="AE291" s="25">
        <f>IFERROR((AD291-S291)/(T291-S291)*100,"--")</f>
        <v/>
      </c>
    </row>
    <row r="292">
      <c r="A292" s="26" t="inlineStr">
        <is>
          <t>CHEPDE</t>
        </is>
      </c>
      <c r="B292" s="36" t="inlineStr">
        <is>
          <t>XO</t>
        </is>
      </c>
      <c r="C292" s="26" t="inlineStr">
        <is>
          <t>CHEPDE 6 3/4 02/15/32</t>
        </is>
      </c>
      <c r="D292" s="27" t="inlineStr">
        <is>
          <t>CHEPDE CDS EUR SR 5Y D14 Corp</t>
        </is>
      </c>
      <c r="E292" s="27" t="inlineStr">
        <is>
          <t>XS3261897238</t>
        </is>
      </c>
      <c r="F292" s="28" t="n">
        <v>46051</v>
      </c>
      <c r="G292" s="28" t="n">
        <v>46225</v>
      </c>
      <c r="H292" s="28" t="n">
        <v>48385</v>
      </c>
      <c r="I292" s="29" t="n">
        <v>451.2432861328125</v>
      </c>
      <c r="J292" s="29" t="n">
        <v>401.6675109863281</v>
      </c>
      <c r="K292" s="29" t="n">
        <v>365.494</v>
      </c>
      <c r="L292" s="29" t="n">
        <v>366.843</v>
      </c>
      <c r="M292" s="30" t="n">
        <v>122</v>
      </c>
      <c r="N292" s="31" t="n">
        <v>85.74928613281247</v>
      </c>
      <c r="O292" s="32" t="n">
        <v>-30.59699243164061</v>
      </c>
      <c r="P292" s="32" t="n">
        <v>94.03859057617188</v>
      </c>
      <c r="Q292" s="33" t="n">
        <v>93.34916703294932</v>
      </c>
      <c r="R292" s="32" t="n">
        <v>36.1735109863281</v>
      </c>
      <c r="S292" s="32" t="n">
        <v>-67.35239404296874</v>
      </c>
      <c r="T292" s="32" t="n">
        <v>45.54701171875001</v>
      </c>
      <c r="U292" s="34" t="n">
        <v>91.69747558086773</v>
      </c>
      <c r="V292" s="20">
        <f>IFERROR(BDP(E292&amp;" Corp","LAST_PRICE"),"--")</f>
        <v/>
      </c>
      <c r="W292" s="21">
        <f>IFERROR(BDP(E292&amp;" Corp","YAS_BENCHMARK_BOND_ISIN"),"--")</f>
        <v/>
      </c>
      <c r="X292" s="22">
        <f>IFERROR(BDP(W292&amp;" CORP","LAST_PRICE"),"--")</f>
        <v/>
      </c>
      <c r="Y292" s="23">
        <f>IFERROR(BDP(E292&amp;" Corp","YAS_YLD_SPREAD","YAS_BOND_PX="&amp;V292,"YAS_BNCHMRK_BOND_PX="&amp;X292),"--")</f>
        <v/>
      </c>
      <c r="Z292" s="23">
        <f>IFERROR(BDP(E292&amp;" Corp","BLOOMBERG_MID_G_SPREAD","YAS_BOND_PX="&amp;V292,"YAS_BNCHMRK_BOND_PX="&amp;X292),"--")</f>
        <v/>
      </c>
      <c r="AA292" s="23">
        <f>IFERROR(BDP(D292,"LAST_PRICE"),"--")</f>
        <v/>
      </c>
      <c r="AB292" s="24" t="n"/>
      <c r="AC292" s="23">
        <f>IFERROR(IF(ISBLANK(AB292),AA292,AB292),"--")</f>
        <v/>
      </c>
      <c r="AD292" s="23">
        <f>IFERROR(MAX(-500,MIN(500,AC292-Z292)),"--")</f>
        <v/>
      </c>
      <c r="AE292" s="25">
        <f>IFERROR((AD292-S292)/(T292-S292)*100,"--")</f>
        <v/>
      </c>
    </row>
    <row r="293">
      <c r="A293" s="11" t="inlineStr">
        <is>
          <t>CMACG</t>
        </is>
      </c>
      <c r="B293" s="36" t="inlineStr">
        <is>
          <t>XO</t>
        </is>
      </c>
      <c r="C293" s="11" t="inlineStr">
        <is>
          <t>CMACG 4 7/8 01/15/32</t>
        </is>
      </c>
      <c r="D293" s="12" t="inlineStr">
        <is>
          <t>CMACG CDS EUR SR 5Y D14 Corp</t>
        </is>
      </c>
      <c r="E293" s="12" t="inlineStr">
        <is>
          <t>XS3193815977</t>
        </is>
      </c>
      <c r="F293" s="13" t="n">
        <v>45932</v>
      </c>
      <c r="G293" s="13" t="n">
        <v>46225</v>
      </c>
      <c r="H293" s="13" t="n">
        <v>48385</v>
      </c>
      <c r="I293" s="14" t="n">
        <v>263.5798950195312</v>
      </c>
      <c r="J293" s="14" t="n">
        <v>228.49169921875</v>
      </c>
      <c r="K293" s="14" t="n">
        <v>230.649</v>
      </c>
      <c r="L293" s="14" t="n">
        <v>231.088</v>
      </c>
      <c r="M293" s="15" t="n">
        <v>204</v>
      </c>
      <c r="N293" s="16" t="n">
        <v>32.93089501953125</v>
      </c>
      <c r="O293" s="17" t="n">
        <v>0.7999003906249982</v>
      </c>
      <c r="P293" s="17" t="n">
        <v>95.440296875</v>
      </c>
      <c r="Q293" s="18" t="n">
        <v>33.95061286985525</v>
      </c>
      <c r="R293" s="17" t="n">
        <v>-2.157300781250001</v>
      </c>
      <c r="S293" s="17" t="n">
        <v>-35.90510144042969</v>
      </c>
      <c r="T293" s="17" t="n">
        <v>48.21071313476563</v>
      </c>
      <c r="U293" s="19" t="n">
        <v>40.12063704026886</v>
      </c>
      <c r="V293" s="20">
        <f>IFERROR(BDP(E293&amp;" Corp","LAST_PRICE"),"--")</f>
        <v/>
      </c>
      <c r="W293" s="21">
        <f>IFERROR(BDP(E293&amp;" Corp","YAS_BENCHMARK_BOND_ISIN"),"--")</f>
        <v/>
      </c>
      <c r="X293" s="22">
        <f>IFERROR(BDP(W293&amp;" CORP","LAST_PRICE"),"--")</f>
        <v/>
      </c>
      <c r="Y293" s="23">
        <f>IFERROR(BDP(E293&amp;" Corp","YAS_YLD_SPREAD","YAS_BOND_PX="&amp;V293,"YAS_BNCHMRK_BOND_PX="&amp;X293),"--")</f>
        <v/>
      </c>
      <c r="Z293" s="23">
        <f>IFERROR(BDP(E293&amp;" Corp","BLOOMBERG_MID_G_SPREAD","YAS_BOND_PX="&amp;V293,"YAS_BNCHMRK_BOND_PX="&amp;X293),"--")</f>
        <v/>
      </c>
      <c r="AA293" s="23">
        <f>IFERROR(BDP(D293,"LAST_PRICE"),"--")</f>
        <v/>
      </c>
      <c r="AB293" s="24" t="n"/>
      <c r="AC293" s="23">
        <f>IFERROR(IF(ISBLANK(AB293),AA293,AB293),"--")</f>
        <v/>
      </c>
      <c r="AD293" s="23">
        <f>IFERROR(MAX(-500,MIN(500,AC293-Z293)),"--")</f>
        <v/>
      </c>
      <c r="AE293" s="25">
        <f>IFERROR((AD293-S293)/(T293-S293)*100,"--")</f>
        <v/>
      </c>
    </row>
    <row r="294">
      <c r="A294" s="26" t="inlineStr">
        <is>
          <t>CPIPGR</t>
        </is>
      </c>
      <c r="B294" s="36" t="inlineStr">
        <is>
          <t>XO</t>
        </is>
      </c>
      <c r="C294" s="26" t="inlineStr">
        <is>
          <t>CPIPGR 6 01/27/32</t>
        </is>
      </c>
      <c r="D294" s="27" t="inlineStr">
        <is>
          <t>CPIPGR CDS EUR SR 5Y D14 Corp</t>
        </is>
      </c>
      <c r="E294" s="27" t="inlineStr">
        <is>
          <t>XS2904791774</t>
        </is>
      </c>
      <c r="F294" s="28" t="n">
        <v>45659</v>
      </c>
      <c r="G294" s="28" t="n">
        <v>46225</v>
      </c>
      <c r="H294" s="28" t="n">
        <v>48385</v>
      </c>
      <c r="I294" s="29" t="n">
        <v>384.1173095703125</v>
      </c>
      <c r="J294" s="29" t="n">
        <v>368.1747131347656</v>
      </c>
      <c r="K294" s="29" t="n">
        <v>374.019</v>
      </c>
      <c r="L294" s="29" t="n">
        <v>374.966</v>
      </c>
      <c r="M294" s="30" t="n">
        <v>392</v>
      </c>
      <c r="N294" s="31" t="n">
        <v>10.09830957031249</v>
      </c>
      <c r="O294" s="32" t="n">
        <v>-74.37729687500001</v>
      </c>
      <c r="P294" s="32" t="n">
        <v>90.74100830078123</v>
      </c>
      <c r="Q294" s="33" t="n">
        <v>51.16065499544806</v>
      </c>
      <c r="R294" s="32" t="n">
        <v>-5.84428686523438</v>
      </c>
      <c r="S294" s="32" t="n">
        <v>-88.36870043945311</v>
      </c>
      <c r="T294" s="32" t="n">
        <v>78.61341430664061</v>
      </c>
      <c r="U294" s="34" t="n">
        <v>49.4211093803082</v>
      </c>
      <c r="V294" s="20">
        <f>IFERROR(BDP(E294&amp;" Corp","LAST_PRICE"),"--")</f>
        <v/>
      </c>
      <c r="W294" s="21">
        <f>IFERROR(BDP(E294&amp;" Corp","YAS_BENCHMARK_BOND_ISIN"),"--")</f>
        <v/>
      </c>
      <c r="X294" s="22">
        <f>IFERROR(BDP(W294&amp;" CORP","LAST_PRICE"),"--")</f>
        <v/>
      </c>
      <c r="Y294" s="23">
        <f>IFERROR(BDP(E294&amp;" Corp","YAS_YLD_SPREAD","YAS_BOND_PX="&amp;V294,"YAS_BNCHMRK_BOND_PX="&amp;X294),"--")</f>
        <v/>
      </c>
      <c r="Z294" s="23">
        <f>IFERROR(BDP(E294&amp;" Corp","BLOOMBERG_MID_G_SPREAD","YAS_BOND_PX="&amp;V294,"YAS_BNCHMRK_BOND_PX="&amp;X294),"--")</f>
        <v/>
      </c>
      <c r="AA294" s="23">
        <f>IFERROR(BDP(D294,"LAST_PRICE"),"--")</f>
        <v/>
      </c>
      <c r="AB294" s="24" t="n"/>
      <c r="AC294" s="23">
        <f>IFERROR(IF(ISBLANK(AB294),AA294,AB294),"--")</f>
        <v/>
      </c>
      <c r="AD294" s="23">
        <f>IFERROR(MAX(-500,MIN(500,AC294-Z294)),"--")</f>
        <v/>
      </c>
      <c r="AE294" s="25">
        <f>IFERROR((AD294-S294)/(T294-S294)*100,"--")</f>
        <v/>
      </c>
    </row>
    <row r="295">
      <c r="A295" s="11" t="inlineStr">
        <is>
          <t>CSTM</t>
        </is>
      </c>
      <c r="B295" s="36" t="inlineStr">
        <is>
          <t>XO</t>
        </is>
      </c>
      <c r="C295" s="11" t="inlineStr">
        <is>
          <t>CSTM 6 3/8 08/15/32</t>
        </is>
      </c>
      <c r="D295" s="12" t="inlineStr">
        <is>
          <t>CSTM CDS EUR SR 5Y D14 Corp</t>
        </is>
      </c>
      <c r="E295" s="12" t="inlineStr">
        <is>
          <t>USF21107AC57</t>
        </is>
      </c>
      <c r="F295" s="13" t="n">
        <v>45659</v>
      </c>
      <c r="G295" s="13" t="n">
        <v>46225</v>
      </c>
      <c r="H295" s="13" t="n">
        <v>48568</v>
      </c>
      <c r="I295" s="14" t="n">
        <v>185.4385986328125</v>
      </c>
      <c r="J295" s="14" t="n">
        <v>126.6809997558594</v>
      </c>
      <c r="K295" s="14" t="n">
        <v>169.415</v>
      </c>
      <c r="L295" s="14" t="n">
        <v>182.05</v>
      </c>
      <c r="M295" s="15" t="n">
        <v>389</v>
      </c>
      <c r="N295" s="16" t="n">
        <v>16.02359863281251</v>
      </c>
      <c r="O295" s="17" t="n">
        <v>-18.56380017089845</v>
      </c>
      <c r="P295" s="17" t="n">
        <v>172.5320087890625</v>
      </c>
      <c r="Q295" s="18" t="n">
        <v>18.09950673013338</v>
      </c>
      <c r="R295" s="17" t="n">
        <v>-42.73400024414062</v>
      </c>
      <c r="S295" s="17" t="n">
        <v>-65.56840069580079</v>
      </c>
      <c r="T295" s="17" t="n">
        <v>140.3915861816406</v>
      </c>
      <c r="U295" s="19" t="n">
        <v>11.08681389907449</v>
      </c>
      <c r="V295" s="20">
        <f>IFERROR(BDP(E295&amp;" Corp","LAST_PRICE"),"--")</f>
        <v/>
      </c>
      <c r="W295" s="21">
        <f>IFERROR(BDP(E295&amp;" Corp","YAS_BENCHMARK_BOND_ISIN"),"--")</f>
        <v/>
      </c>
      <c r="X295" s="22">
        <f>IFERROR(BDP(W295&amp;" CORP","LAST_PRICE"),"--")</f>
        <v/>
      </c>
      <c r="Y295" s="23">
        <f>IFERROR(BDP(E295&amp;" Corp","YAS_YLD_SPREAD","YAS_BOND_PX="&amp;V295,"YAS_BNCHMRK_BOND_PX="&amp;X295),"--")</f>
        <v/>
      </c>
      <c r="Z295" s="23">
        <f>IFERROR(BDP(E295&amp;" Corp","BLOOMBERG_MID_G_SPREAD","YAS_BOND_PX="&amp;V295,"YAS_BNCHMRK_BOND_PX="&amp;X295),"--")</f>
        <v/>
      </c>
      <c r="AA295" s="23">
        <f>IFERROR(BDP(D295,"LAST_PRICE"),"--")</f>
        <v/>
      </c>
      <c r="AB295" s="24" t="n"/>
      <c r="AC295" s="23">
        <f>IFERROR(IF(ISBLANK(AB295),AA295,AB295),"--")</f>
        <v/>
      </c>
      <c r="AD295" s="23">
        <f>IFERROR(MAX(-500,MIN(500,AC295-Z295)),"--")</f>
        <v/>
      </c>
      <c r="AE295" s="25">
        <f>IFERROR((AD295-S295)/(T295-S295)*100,"--")</f>
        <v/>
      </c>
    </row>
    <row r="296">
      <c r="A296" s="26" t="inlineStr">
        <is>
          <t>DUFNSW</t>
        </is>
      </c>
      <c r="B296" s="36" t="inlineStr">
        <is>
          <t>XO</t>
        </is>
      </c>
      <c r="C296" s="26" t="inlineStr">
        <is>
          <t>DUFNSW 4 3/4 04/18/31</t>
        </is>
      </c>
      <c r="D296" s="27" t="inlineStr">
        <is>
          <t>DUFNSW CDS EUR SR 5Y D14 Corp</t>
        </is>
      </c>
      <c r="E296" s="27" t="inlineStr">
        <is>
          <t>XS2802883731</t>
        </is>
      </c>
      <c r="F296" s="28" t="n">
        <v>45659</v>
      </c>
      <c r="G296" s="28" t="n">
        <v>46225</v>
      </c>
      <c r="H296" s="28" t="n">
        <v>48019</v>
      </c>
      <c r="I296" s="29" t="n">
        <v>138.3946075439453</v>
      </c>
      <c r="J296" s="29" t="n">
        <v>138.3946075439453</v>
      </c>
      <c r="K296" s="29" t="n">
        <v>107.724</v>
      </c>
      <c r="L296" s="29" t="n">
        <v>108.819</v>
      </c>
      <c r="M296" s="30" t="n">
        <v>395</v>
      </c>
      <c r="N296" s="31" t="n">
        <v>30.67060754394531</v>
      </c>
      <c r="O296" s="32" t="n">
        <v>-115.9691008300781</v>
      </c>
      <c r="P296" s="32" t="n">
        <v>60.45189245605468</v>
      </c>
      <c r="Q296" s="33" t="n">
        <v>83.11919440119701</v>
      </c>
      <c r="R296" s="32" t="n">
        <v>30.67060754394531</v>
      </c>
      <c r="S296" s="32" t="n">
        <v>-115.9691008300781</v>
      </c>
      <c r="T296" s="32" t="n">
        <v>60.45189245605468</v>
      </c>
      <c r="U296" s="34" t="n">
        <v>83.11919440119701</v>
      </c>
      <c r="V296" s="20">
        <f>IFERROR(BDP(E296&amp;" Corp","LAST_PRICE"),"--")</f>
        <v/>
      </c>
      <c r="W296" s="21">
        <f>IFERROR(BDP(E296&amp;" Corp","YAS_BENCHMARK_BOND_ISIN"),"--")</f>
        <v/>
      </c>
      <c r="X296" s="22">
        <f>IFERROR(BDP(W296&amp;" CORP","LAST_PRICE"),"--")</f>
        <v/>
      </c>
      <c r="Y296" s="23">
        <f>IFERROR(BDP(E296&amp;" Corp","YAS_YLD_SPREAD","YAS_BOND_PX="&amp;V296,"YAS_BNCHMRK_BOND_PX="&amp;X296),"--")</f>
        <v/>
      </c>
      <c r="Z296" s="23">
        <f>IFERROR(BDP(E296&amp;" Corp","BLOOMBERG_MID_G_SPREAD","YAS_BOND_PX="&amp;V296,"YAS_BNCHMRK_BOND_PX="&amp;X296),"--")</f>
        <v/>
      </c>
      <c r="AA296" s="23">
        <f>IFERROR(BDP(D296,"LAST_PRICE"),"--")</f>
        <v/>
      </c>
      <c r="AB296" s="24" t="n"/>
      <c r="AC296" s="23">
        <f>IFERROR(IF(ISBLANK(AB296),AA296,AB296),"--")</f>
        <v/>
      </c>
      <c r="AD296" s="23">
        <f>IFERROR(MAX(-500,MIN(500,AC296-Z296)),"--")</f>
        <v/>
      </c>
      <c r="AE296" s="25">
        <f>IFERROR((AD296-S296)/(T296-S296)*100,"--")</f>
        <v/>
      </c>
    </row>
    <row r="297">
      <c r="A297" s="11" t="inlineStr">
        <is>
          <t>EOFP</t>
        </is>
      </c>
      <c r="B297" s="36" t="inlineStr">
        <is>
          <t>XO</t>
        </is>
      </c>
      <c r="C297" s="11" t="inlineStr">
        <is>
          <t>EOFP 5 3/8 03/15/31</t>
        </is>
      </c>
      <c r="D297" s="12" t="inlineStr">
        <is>
          <t>EOFP CDS EUR SR 5Y D14 Corp</t>
        </is>
      </c>
      <c r="E297" s="12" t="inlineStr">
        <is>
          <t>XS3152574763</t>
        </is>
      </c>
      <c r="F297" s="13" t="n">
        <v>45905</v>
      </c>
      <c r="G297" s="13" t="n">
        <v>46225</v>
      </c>
      <c r="H297" s="13" t="n">
        <v>48019</v>
      </c>
      <c r="I297" s="14" t="n">
        <v>233.2167053222656</v>
      </c>
      <c r="J297" s="14" t="n">
        <v>233.2167053222656</v>
      </c>
      <c r="K297" s="14" t="n">
        <v>188.444</v>
      </c>
      <c r="L297" s="14" t="n">
        <v>191.484</v>
      </c>
      <c r="M297" s="15" t="n">
        <v>223</v>
      </c>
      <c r="N297" s="16" t="n">
        <v>44.77270532226564</v>
      </c>
      <c r="O297" s="17" t="n">
        <v>11.99299438476564</v>
      </c>
      <c r="P297" s="17" t="n">
        <v>78.61561401367186</v>
      </c>
      <c r="Q297" s="18" t="n">
        <v>49.20207449074479</v>
      </c>
      <c r="R297" s="17" t="n">
        <v>44.77270532226564</v>
      </c>
      <c r="S297" s="17" t="n">
        <v>11.99299438476564</v>
      </c>
      <c r="T297" s="17" t="n">
        <v>78.61561401367186</v>
      </c>
      <c r="U297" s="19" t="n">
        <v>49.20207449074479</v>
      </c>
      <c r="V297" s="20">
        <f>IFERROR(BDP(E297&amp;" Corp","LAST_PRICE"),"--")</f>
        <v/>
      </c>
      <c r="W297" s="21">
        <f>IFERROR(BDP(E297&amp;" Corp","YAS_BENCHMARK_BOND_ISIN"),"--")</f>
        <v/>
      </c>
      <c r="X297" s="22">
        <f>IFERROR(BDP(W297&amp;" CORP","LAST_PRICE"),"--")</f>
        <v/>
      </c>
      <c r="Y297" s="23">
        <f>IFERROR(BDP(E297&amp;" Corp","YAS_YLD_SPREAD","YAS_BOND_PX="&amp;V297,"YAS_BNCHMRK_BOND_PX="&amp;X297),"--")</f>
        <v/>
      </c>
      <c r="Z297" s="23">
        <f>IFERROR(BDP(E297&amp;" Corp","BLOOMBERG_MID_G_SPREAD","YAS_BOND_PX="&amp;V297,"YAS_BNCHMRK_BOND_PX="&amp;X297),"--")</f>
        <v/>
      </c>
      <c r="AA297" s="23">
        <f>IFERROR(BDP(D297,"LAST_PRICE"),"--")</f>
        <v/>
      </c>
      <c r="AB297" s="24" t="n"/>
      <c r="AC297" s="23">
        <f>IFERROR(IF(ISBLANK(AB297),AA297,AB297),"--")</f>
        <v/>
      </c>
      <c r="AD297" s="23">
        <f>IFERROR(MAX(-500,MIN(500,AC297-Z297)),"--")</f>
        <v/>
      </c>
      <c r="AE297" s="25">
        <f>IFERROR((AD297-S297)/(T297-S297)*100,"--")</f>
        <v/>
      </c>
    </row>
    <row r="298">
      <c r="A298" s="26" t="inlineStr">
        <is>
          <t>ERICB</t>
        </is>
      </c>
      <c r="B298" s="36" t="inlineStr">
        <is>
          <t>XO</t>
        </is>
      </c>
      <c r="C298" s="26" t="inlineStr">
        <is>
          <t>ERICB 1 05/26/29</t>
        </is>
      </c>
      <c r="D298" s="27" t="inlineStr">
        <is>
          <t>ERICB CDS EUR SR 5Y D14 Corp</t>
        </is>
      </c>
      <c r="E298" s="27" t="inlineStr">
        <is>
          <t>XS2345996743</t>
        </is>
      </c>
      <c r="F298" s="28" t="n">
        <v>45659</v>
      </c>
      <c r="G298" s="28" t="n">
        <v>46225</v>
      </c>
      <c r="H298" s="28" t="n">
        <v>47289</v>
      </c>
      <c r="I298" s="29" t="n">
        <v>35.36149978637695</v>
      </c>
      <c r="J298" s="29" t="n">
        <v>61.87469863891602</v>
      </c>
      <c r="K298" s="29" t="n">
        <v>59.342</v>
      </c>
      <c r="L298" s="29" t="n">
        <v>64.73399999999999</v>
      </c>
      <c r="M298" s="30" t="n">
        <v>396</v>
      </c>
      <c r="N298" s="31" t="n">
        <v>-23.98050021362305</v>
      </c>
      <c r="O298" s="32" t="n">
        <v>-72.74640112304688</v>
      </c>
      <c r="P298" s="32" t="n">
        <v>-23.95540054321289</v>
      </c>
      <c r="Q298" s="33" t="n">
        <v>99.94855676228839</v>
      </c>
      <c r="R298" s="32" t="n">
        <v>2.532698638916017</v>
      </c>
      <c r="S298" s="32" t="n">
        <v>-42.67550115966797</v>
      </c>
      <c r="T298" s="32" t="n">
        <v>8.671496826171875</v>
      </c>
      <c r="U298" s="34" t="n">
        <v>88.04448472538009</v>
      </c>
      <c r="V298" s="20">
        <f>IFERROR(BDP(E298&amp;" Corp","LAST_PRICE"),"--")</f>
        <v/>
      </c>
      <c r="W298" s="21">
        <f>IFERROR(BDP(E298&amp;" Corp","YAS_BENCHMARK_BOND_ISIN"),"--")</f>
        <v/>
      </c>
      <c r="X298" s="22">
        <f>IFERROR(BDP(W298&amp;" CORP","LAST_PRICE"),"--")</f>
        <v/>
      </c>
      <c r="Y298" s="23">
        <f>IFERROR(BDP(E298&amp;" Corp","YAS_YLD_SPREAD","YAS_BOND_PX="&amp;V298,"YAS_BNCHMRK_BOND_PX="&amp;X298),"--")</f>
        <v/>
      </c>
      <c r="Z298" s="23">
        <f>IFERROR(BDP(E298&amp;" Corp","BLOOMBERG_MID_G_SPREAD","YAS_BOND_PX="&amp;V298,"YAS_BNCHMRK_BOND_PX="&amp;X298),"--")</f>
        <v/>
      </c>
      <c r="AA298" s="23">
        <f>IFERROR(BDP(D298,"LAST_PRICE"),"--")</f>
        <v/>
      </c>
      <c r="AB298" s="24" t="n"/>
      <c r="AC298" s="23">
        <f>IFERROR(IF(ISBLANK(AB298),AA298,AB298),"--")</f>
        <v/>
      </c>
      <c r="AD298" s="23">
        <f>IFERROR(MAX(-500,MIN(500,AC298-Z298)),"--")</f>
        <v/>
      </c>
      <c r="AE298" s="25">
        <f>IFERROR((AD298-S298)/(T298-S298)*100,"--")</f>
        <v/>
      </c>
    </row>
    <row r="299">
      <c r="A299" s="11" t="inlineStr">
        <is>
          <t>ETLFP</t>
        </is>
      </c>
      <c r="B299" s="36" t="inlineStr">
        <is>
          <t>XO</t>
        </is>
      </c>
      <c r="C299" s="11" t="inlineStr">
        <is>
          <t>ETLFP 5 3/4 03/15/31</t>
        </is>
      </c>
      <c r="D299" s="12" t="inlineStr">
        <is>
          <t>CZ028487 Curncy</t>
        </is>
      </c>
      <c r="E299" s="12" t="inlineStr">
        <is>
          <t>XS3224536121</t>
        </is>
      </c>
      <c r="F299" s="13" t="n">
        <v>46080</v>
      </c>
      <c r="G299" s="13" t="n">
        <v>46225</v>
      </c>
      <c r="H299" s="13" t="n">
        <v>48019</v>
      </c>
      <c r="I299" s="14" t="n">
        <v>142.1161041259766</v>
      </c>
      <c r="J299" s="14" t="n">
        <v>142.1161041259766</v>
      </c>
      <c r="K299" s="14" t="n">
        <v>221.068</v>
      </c>
      <c r="L299" s="14" t="n">
        <v>225.507</v>
      </c>
      <c r="M299" s="15" t="n">
        <v>101</v>
      </c>
      <c r="N299" s="16" t="n">
        <v>-78.95189587402345</v>
      </c>
      <c r="O299" s="17" t="n">
        <v>-222.4004973144531</v>
      </c>
      <c r="P299" s="17" t="n">
        <v>-55.21049804687499</v>
      </c>
      <c r="Q299" s="18" t="n">
        <v>85.79975002622513</v>
      </c>
      <c r="R299" s="17" t="n">
        <v>-78.95189587402345</v>
      </c>
      <c r="S299" s="17" t="n">
        <v>-222.4004973144531</v>
      </c>
      <c r="T299" s="17" t="n">
        <v>-55.21049804687499</v>
      </c>
      <c r="U299" s="19" t="n">
        <v>85.79975002622513</v>
      </c>
      <c r="V299" s="20">
        <f>IFERROR(BDP(E299&amp;" Corp","LAST_PRICE"),"--")</f>
        <v/>
      </c>
      <c r="W299" s="21">
        <f>IFERROR(BDP(E299&amp;" Corp","YAS_BENCHMARK_BOND_ISIN"),"--")</f>
        <v/>
      </c>
      <c r="X299" s="22">
        <f>IFERROR(BDP(W299&amp;" CORP","LAST_PRICE"),"--")</f>
        <v/>
      </c>
      <c r="Y299" s="23">
        <f>IFERROR(BDP(E299&amp;" Corp","YAS_YLD_SPREAD","YAS_BOND_PX="&amp;V299,"YAS_BNCHMRK_BOND_PX="&amp;X299),"--")</f>
        <v/>
      </c>
      <c r="Z299" s="23">
        <f>IFERROR(BDP(E299&amp;" Corp","BLOOMBERG_MID_G_SPREAD","YAS_BOND_PX="&amp;V299,"YAS_BNCHMRK_BOND_PX="&amp;X299),"--")</f>
        <v/>
      </c>
      <c r="AA299" s="23">
        <f>IFERROR(BDP(D299,"LAST_PRICE"),"--")</f>
        <v/>
      </c>
      <c r="AB299" s="24" t="n"/>
      <c r="AC299" s="23">
        <f>IFERROR(IF(ISBLANK(AB299),AA299,AB299),"--")</f>
        <v/>
      </c>
      <c r="AD299" s="23">
        <f>IFERROR(MAX(-500,MIN(500,AC299-Z299)),"--")</f>
        <v/>
      </c>
      <c r="AE299" s="25">
        <f>IFERROR((AD299-S299)/(T299-S299)*100,"--")</f>
        <v/>
      </c>
    </row>
    <row r="300">
      <c r="A300" s="26" t="inlineStr">
        <is>
          <t>FIBCOP</t>
        </is>
      </c>
      <c r="B300" s="36" t="inlineStr">
        <is>
          <t>XO</t>
        </is>
      </c>
      <c r="C300" s="26" t="inlineStr">
        <is>
          <t>FIBCOP 5 1/8 06/30/32</t>
        </is>
      </c>
      <c r="D300" s="27" t="inlineStr">
        <is>
          <t>FIBCOP CDS EUR SR 5Y D14 Corp</t>
        </is>
      </c>
      <c r="E300" s="27" t="inlineStr">
        <is>
          <t>XS3104481414</t>
        </is>
      </c>
      <c r="F300" s="28" t="n">
        <v>45828</v>
      </c>
      <c r="G300" s="28" t="n">
        <v>46225</v>
      </c>
      <c r="H300" s="28" t="n">
        <v>48568</v>
      </c>
      <c r="I300" s="29" t="n">
        <v>216.8220977783203</v>
      </c>
      <c r="J300" s="29" t="n">
        <v>163.1365966796875</v>
      </c>
      <c r="K300" s="29" t="n">
        <v>171.527</v>
      </c>
      <c r="L300" s="29" t="inlineStr"/>
      <c r="M300" s="30" t="n">
        <v>278</v>
      </c>
      <c r="N300" s="31" t="n">
        <v>45.29509777832033</v>
      </c>
      <c r="O300" s="32" t="n">
        <v>-5.414885498046885</v>
      </c>
      <c r="P300" s="32" t="n">
        <v>46.56399340820312</v>
      </c>
      <c r="Q300" s="33" t="n">
        <v>97.55882455223515</v>
      </c>
      <c r="R300" s="32" t="n">
        <v>-8.390403320312487</v>
      </c>
      <c r="S300" s="32" t="n">
        <v>-49.68630419921874</v>
      </c>
      <c r="T300" s="32" t="n">
        <v>11.06879589843749</v>
      </c>
      <c r="U300" s="34" t="n">
        <v>67.97108524638796</v>
      </c>
      <c r="V300" s="20">
        <f>IFERROR(BDP(E300&amp;" Corp","LAST_PRICE"),"--")</f>
        <v/>
      </c>
      <c r="W300" s="21">
        <f>IFERROR(BDP(E300&amp;" Corp","YAS_BENCHMARK_BOND_ISIN"),"--")</f>
        <v/>
      </c>
      <c r="X300" s="22">
        <f>IFERROR(BDP(W300&amp;" CORP","LAST_PRICE"),"--")</f>
        <v/>
      </c>
      <c r="Y300" s="23">
        <f>IFERROR(BDP(E300&amp;" Corp","YAS_YLD_SPREAD","YAS_BOND_PX="&amp;V300,"YAS_BNCHMRK_BOND_PX="&amp;X300),"--")</f>
        <v/>
      </c>
      <c r="Z300" s="23">
        <f>IFERROR(BDP(E300&amp;" Corp","BLOOMBERG_MID_G_SPREAD","YAS_BOND_PX="&amp;V300,"YAS_BNCHMRK_BOND_PX="&amp;X300),"--")</f>
        <v/>
      </c>
      <c r="AA300" s="23">
        <f>IFERROR(BDP(D300,"LAST_PRICE"),"--")</f>
        <v/>
      </c>
      <c r="AB300" s="24" t="n"/>
      <c r="AC300" s="23">
        <f>IFERROR(IF(ISBLANK(AB300),AA300,AB300),"--")</f>
        <v/>
      </c>
      <c r="AD300" s="23">
        <f>IFERROR(MAX(-500,MIN(500,AC300-Z300)),"--")</f>
        <v/>
      </c>
      <c r="AE300" s="25">
        <f>IFERROR((AD300-S300)/(T300-S300)*100,"--")</f>
        <v/>
      </c>
    </row>
    <row r="301">
      <c r="A301" s="11" t="inlineStr">
        <is>
          <t>FRFP</t>
        </is>
      </c>
      <c r="B301" s="36" t="inlineStr">
        <is>
          <t>XO</t>
        </is>
      </c>
      <c r="C301" s="11" t="inlineStr">
        <is>
          <t>FRFP 4 5/8 03/23/32</t>
        </is>
      </c>
      <c r="D301" s="12" t="inlineStr">
        <is>
          <t>FRFP CDS EUR SR 5Y D14 Corp</t>
        </is>
      </c>
      <c r="E301" s="12" t="inlineStr">
        <is>
          <t>FR0014012SJ2</t>
        </is>
      </c>
      <c r="F301" s="13" t="n">
        <v>45917</v>
      </c>
      <c r="G301" s="13" t="n">
        <v>46225</v>
      </c>
      <c r="H301" s="13" t="n">
        <v>48385</v>
      </c>
      <c r="I301" s="14" t="n">
        <v>202.8283996582031</v>
      </c>
      <c r="J301" s="14" t="n">
        <v>160.4494934082031</v>
      </c>
      <c r="K301" s="14" t="n">
        <v>172.507</v>
      </c>
      <c r="L301" s="14" t="n">
        <v>170.885</v>
      </c>
      <c r="M301" s="15" t="n">
        <v>215</v>
      </c>
      <c r="N301" s="16" t="n">
        <v>30.32139965820312</v>
      </c>
      <c r="O301" s="17" t="n">
        <v>-3.059093017578135</v>
      </c>
      <c r="P301" s="17" t="n">
        <v>48.279912109375</v>
      </c>
      <c r="Q301" s="18" t="n">
        <v>65.01974978524933</v>
      </c>
      <c r="R301" s="17" t="n">
        <v>-12.05750659179688</v>
      </c>
      <c r="S301" s="17" t="n">
        <v>-44.50689270019532</v>
      </c>
      <c r="T301" s="17" t="n">
        <v>14.53459655761719</v>
      </c>
      <c r="U301" s="19" t="n">
        <v>54.96031098860647</v>
      </c>
      <c r="V301" s="20">
        <f>IFERROR(BDP(E301&amp;" Corp","LAST_PRICE"),"--")</f>
        <v/>
      </c>
      <c r="W301" s="21">
        <f>IFERROR(BDP(E301&amp;" Corp","YAS_BENCHMARK_BOND_ISIN"),"--")</f>
        <v/>
      </c>
      <c r="X301" s="22">
        <f>IFERROR(BDP(W301&amp;" CORP","LAST_PRICE"),"--")</f>
        <v/>
      </c>
      <c r="Y301" s="23">
        <f>IFERROR(BDP(E301&amp;" Corp","YAS_YLD_SPREAD","YAS_BOND_PX="&amp;V301,"YAS_BNCHMRK_BOND_PX="&amp;X301),"--")</f>
        <v/>
      </c>
      <c r="Z301" s="23">
        <f>IFERROR(BDP(E301&amp;" Corp","BLOOMBERG_MID_G_SPREAD","YAS_BOND_PX="&amp;V301,"YAS_BNCHMRK_BOND_PX="&amp;X301),"--")</f>
        <v/>
      </c>
      <c r="AA301" s="23">
        <f>IFERROR(BDP(D301,"LAST_PRICE"),"--")</f>
        <v/>
      </c>
      <c r="AB301" s="24" t="n"/>
      <c r="AC301" s="23">
        <f>IFERROR(IF(ISBLANK(AB301),AA301,AB301),"--")</f>
        <v/>
      </c>
      <c r="AD301" s="23">
        <f>IFERROR(MAX(-500,MIN(500,AC301-Z301)),"--")</f>
        <v/>
      </c>
      <c r="AE301" s="25">
        <f>IFERROR((AD301-S301)/(T301-S301)*100,"--")</f>
        <v/>
      </c>
    </row>
    <row r="302">
      <c r="A302" s="26" t="inlineStr">
        <is>
          <t>GRFSM</t>
        </is>
      </c>
      <c r="B302" s="36" t="inlineStr">
        <is>
          <t>XO</t>
        </is>
      </c>
      <c r="C302" s="26" t="inlineStr">
        <is>
          <t>GRFSM 7 1/8 05/01/30</t>
        </is>
      </c>
      <c r="D302" s="27" t="inlineStr">
        <is>
          <t>GRFSM CDS EUR SR 5Y D14 Corp</t>
        </is>
      </c>
      <c r="E302" s="27" t="inlineStr">
        <is>
          <t>XS2961445090</t>
        </is>
      </c>
      <c r="F302" s="28" t="n">
        <v>45659</v>
      </c>
      <c r="G302" s="28" t="n">
        <v>46225</v>
      </c>
      <c r="H302" s="28" t="n">
        <v>47654</v>
      </c>
      <c r="I302" s="29" t="n">
        <v>194.5157928466797</v>
      </c>
      <c r="J302" s="29" t="n">
        <v>232.7326965332031</v>
      </c>
      <c r="K302" s="29" t="n">
        <v>-78.791</v>
      </c>
      <c r="L302" s="29" t="n">
        <v>-379.337</v>
      </c>
      <c r="M302" s="30" t="n">
        <v>396</v>
      </c>
      <c r="N302" s="31" t="n">
        <v>273.3067928466797</v>
      </c>
      <c r="O302" s="32" t="n">
        <v>-80.96180139160157</v>
      </c>
      <c r="P302" s="32" t="n">
        <v>533.8963009033203</v>
      </c>
      <c r="Q302" s="33" t="n">
        <v>57.6179435411186</v>
      </c>
      <c r="R302" s="32" t="n">
        <v>311.5236965332031</v>
      </c>
      <c r="S302" s="32" t="n">
        <v>-36.15029321289063</v>
      </c>
      <c r="T302" s="32" t="n">
        <v>576.531493774414</v>
      </c>
      <c r="U302" s="34" t="n">
        <v>56.74625835634607</v>
      </c>
      <c r="V302" s="20">
        <f>IFERROR(BDP(E302&amp;" Corp","LAST_PRICE"),"--")</f>
        <v/>
      </c>
      <c r="W302" s="21">
        <f>IFERROR(BDP(E302&amp;" Corp","YAS_BENCHMARK_BOND_ISIN"),"--")</f>
        <v/>
      </c>
      <c r="X302" s="22">
        <f>IFERROR(BDP(W302&amp;" CORP","LAST_PRICE"),"--")</f>
        <v/>
      </c>
      <c r="Y302" s="23">
        <f>IFERROR(BDP(E302&amp;" Corp","YAS_YLD_SPREAD","YAS_BOND_PX="&amp;V302,"YAS_BNCHMRK_BOND_PX="&amp;X302),"--")</f>
        <v/>
      </c>
      <c r="Z302" s="23">
        <f>IFERROR(BDP(E302&amp;" Corp","BLOOMBERG_MID_G_SPREAD","YAS_BOND_PX="&amp;V302,"YAS_BNCHMRK_BOND_PX="&amp;X302),"--")</f>
        <v/>
      </c>
      <c r="AA302" s="23">
        <f>IFERROR(BDP(D302,"LAST_PRICE"),"--")</f>
        <v/>
      </c>
      <c r="AB302" s="24" t="n"/>
      <c r="AC302" s="23">
        <f>IFERROR(IF(ISBLANK(AB302),AA302,AB302),"--")</f>
        <v/>
      </c>
      <c r="AD302" s="23">
        <f>IFERROR(MAX(-500,MIN(500,AC302-Z302)),"--")</f>
        <v/>
      </c>
      <c r="AE302" s="25">
        <f>IFERROR((AD302-S302)/(T302-S302)*100,"--")</f>
        <v/>
      </c>
    </row>
    <row r="303">
      <c r="A303" s="11" t="inlineStr">
        <is>
          <t>HPLGR</t>
        </is>
      </c>
      <c r="B303" s="36" t="inlineStr">
        <is>
          <t>XO</t>
        </is>
      </c>
      <c r="C303" s="11" t="inlineStr">
        <is>
          <t>HPLGR 2 1/2 04/15/28</t>
        </is>
      </c>
      <c r="D303" s="12" t="inlineStr">
        <is>
          <t>HPLGR CDS EUR SR 5Y D14 Corp</t>
        </is>
      </c>
      <c r="E303" s="12" t="inlineStr">
        <is>
          <t>XS2326548562</t>
        </is>
      </c>
      <c r="F303" s="13" t="n">
        <v>45659</v>
      </c>
      <c r="G303" s="13" t="n">
        <v>46225</v>
      </c>
      <c r="H303" s="13" t="n">
        <v>46924</v>
      </c>
      <c r="I303" s="14" t="n">
        <v>72.86900329589844</v>
      </c>
      <c r="J303" s="14" t="n">
        <v>162.9848022460938</v>
      </c>
      <c r="K303" s="14" t="n">
        <v>58.63</v>
      </c>
      <c r="L303" s="14" t="n">
        <v>64.09099999999999</v>
      </c>
      <c r="M303" s="15" t="n">
        <v>396</v>
      </c>
      <c r="N303" s="16" t="n">
        <v>14.23900329589843</v>
      </c>
      <c r="O303" s="17" t="n">
        <v>-36.83849658203124</v>
      </c>
      <c r="P303" s="17" t="n">
        <v>40.92319750976563</v>
      </c>
      <c r="Q303" s="18" t="n">
        <v>65.68465421758073</v>
      </c>
      <c r="R303" s="17" t="n">
        <v>104.3548022460938</v>
      </c>
      <c r="S303" s="17" t="n">
        <v>58.09689624023437</v>
      </c>
      <c r="T303" s="17" t="n">
        <v>154.6586005859375</v>
      </c>
      <c r="U303" s="19" t="n">
        <v>47.9050223059964</v>
      </c>
      <c r="V303" s="20">
        <f>IFERROR(BDP(E303&amp;" Corp","LAST_PRICE"),"--")</f>
        <v/>
      </c>
      <c r="W303" s="21">
        <f>IFERROR(BDP(E303&amp;" Corp","YAS_BENCHMARK_BOND_ISIN"),"--")</f>
        <v/>
      </c>
      <c r="X303" s="22">
        <f>IFERROR(BDP(W303&amp;" CORP","LAST_PRICE"),"--")</f>
        <v/>
      </c>
      <c r="Y303" s="23">
        <f>IFERROR(BDP(E303&amp;" Corp","YAS_YLD_SPREAD","YAS_BOND_PX="&amp;V303,"YAS_BNCHMRK_BOND_PX="&amp;X303),"--")</f>
        <v/>
      </c>
      <c r="Z303" s="23">
        <f>IFERROR(BDP(E303&amp;" Corp","BLOOMBERG_MID_G_SPREAD","YAS_BOND_PX="&amp;V303,"YAS_BNCHMRK_BOND_PX="&amp;X303),"--")</f>
        <v/>
      </c>
      <c r="AA303" s="23">
        <f>IFERROR(BDP(D303,"LAST_PRICE"),"--")</f>
        <v/>
      </c>
      <c r="AB303" s="24" t="n"/>
      <c r="AC303" s="23">
        <f>IFERROR(IF(ISBLANK(AB303),AA303,AB303),"--")</f>
        <v/>
      </c>
      <c r="AD303" s="23">
        <f>IFERROR(MAX(-500,MIN(500,AC303-Z303)),"--")</f>
        <v/>
      </c>
      <c r="AE303" s="25">
        <f>IFERROR((AD303-S303)/(T303-S303)*100,"--")</f>
        <v/>
      </c>
    </row>
    <row r="304">
      <c r="A304" s="26" t="inlineStr">
        <is>
          <t>ICELTD</t>
        </is>
      </c>
      <c r="B304" s="36" t="inlineStr">
        <is>
          <t>XO</t>
        </is>
      </c>
      <c r="C304" s="26" t="inlineStr">
        <is>
          <t>ICELTD 4 3/8 05/15/28</t>
        </is>
      </c>
      <c r="D304" s="27" t="inlineStr">
        <is>
          <t>ICELTD CDS EUR SR 5Y D14 Corp</t>
        </is>
      </c>
      <c r="E304" s="27" t="inlineStr">
        <is>
          <t>XS2304198331</t>
        </is>
      </c>
      <c r="F304" s="28" t="n">
        <v>45659</v>
      </c>
      <c r="G304" s="28" t="n">
        <v>46225</v>
      </c>
      <c r="H304" s="28" t="n">
        <v>46924</v>
      </c>
      <c r="I304" s="29" t="n">
        <v>176.4933013916016</v>
      </c>
      <c r="J304" s="29" t="n">
        <v>352.6635131835938</v>
      </c>
      <c r="K304" s="29" t="n">
        <v>47.171</v>
      </c>
      <c r="L304" s="29" t="n">
        <v>49.547</v>
      </c>
      <c r="M304" s="30" t="n">
        <v>393</v>
      </c>
      <c r="N304" s="31" t="n">
        <v>129.3223013916016</v>
      </c>
      <c r="O304" s="32" t="n">
        <v>-41.68208520507812</v>
      </c>
      <c r="P304" s="32" t="n">
        <v>163.0166021728515</v>
      </c>
      <c r="Q304" s="33" t="n">
        <v>83.53956187367186</v>
      </c>
      <c r="R304" s="32" t="n">
        <v>305.4925131835938</v>
      </c>
      <c r="S304" s="32" t="n">
        <v>149.7104013671875</v>
      </c>
      <c r="T304" s="32" t="n">
        <v>353.8242041015625</v>
      </c>
      <c r="U304" s="34" t="n">
        <v>76.32120401927666</v>
      </c>
      <c r="V304" s="20">
        <f>IFERROR(BDP(E304&amp;" Corp","LAST_PRICE"),"--")</f>
        <v/>
      </c>
      <c r="W304" s="21">
        <f>IFERROR(BDP(E304&amp;" Corp","YAS_BENCHMARK_BOND_ISIN"),"--")</f>
        <v/>
      </c>
      <c r="X304" s="22">
        <f>IFERROR(BDP(W304&amp;" CORP","LAST_PRICE"),"--")</f>
        <v/>
      </c>
      <c r="Y304" s="23">
        <f>IFERROR(BDP(E304&amp;" Corp","YAS_YLD_SPREAD","YAS_BOND_PX="&amp;V304,"YAS_BNCHMRK_BOND_PX="&amp;X304),"--")</f>
        <v/>
      </c>
      <c r="Z304" s="23">
        <f>IFERROR(BDP(E304&amp;" Corp","BLOOMBERG_MID_G_SPREAD","YAS_BOND_PX="&amp;V304,"YAS_BNCHMRK_BOND_PX="&amp;X304),"--")</f>
        <v/>
      </c>
      <c r="AA304" s="23">
        <f>IFERROR(BDP(D304,"LAST_PRICE"),"--")</f>
        <v/>
      </c>
      <c r="AB304" s="24" t="n"/>
      <c r="AC304" s="23">
        <f>IFERROR(IF(ISBLANK(AB304),AA304,AB304),"--")</f>
        <v/>
      </c>
      <c r="AD304" s="23">
        <f>IFERROR(MAX(-500,MIN(500,AC304-Z304)),"--")</f>
        <v/>
      </c>
      <c r="AE304" s="25">
        <f>IFERROR((AD304-S304)/(T304-S304)*100,"--")</f>
        <v/>
      </c>
    </row>
    <row r="305">
      <c r="A305" s="11" t="inlineStr">
        <is>
          <t>ILIADH</t>
        </is>
      </c>
      <c r="B305" s="36" t="inlineStr">
        <is>
          <t>XO</t>
        </is>
      </c>
      <c r="C305" s="11" t="inlineStr">
        <is>
          <t>ILIADH 6 7/8 04/15/31</t>
        </is>
      </c>
      <c r="D305" s="12" t="inlineStr">
        <is>
          <t>CZ060854 Curncy</t>
        </is>
      </c>
      <c r="E305" s="12" t="inlineStr">
        <is>
          <t>XS2810807094</t>
        </is>
      </c>
      <c r="F305" s="13" t="n">
        <v>45939</v>
      </c>
      <c r="G305" s="13" t="n">
        <v>46225</v>
      </c>
      <c r="H305" s="13" t="n">
        <v>48019</v>
      </c>
      <c r="I305" s="14" t="n">
        <v>199.2550964355469</v>
      </c>
      <c r="J305" s="14" t="n">
        <v>199.2550964355469</v>
      </c>
      <c r="K305" s="14" t="n">
        <v>165.204</v>
      </c>
      <c r="L305" s="14" t="n">
        <v>171.54</v>
      </c>
      <c r="M305" s="15" t="n">
        <v>197</v>
      </c>
      <c r="N305" s="16" t="n">
        <v>34.05109643554687</v>
      </c>
      <c r="O305" s="17" t="n">
        <v>-38.79460009765626</v>
      </c>
      <c r="P305" s="17" t="n">
        <v>83.00699194335937</v>
      </c>
      <c r="Q305" s="18" t="n">
        <v>59.80685088966076</v>
      </c>
      <c r="R305" s="17" t="n">
        <v>34.05109643554687</v>
      </c>
      <c r="S305" s="17" t="n">
        <v>-38.79460009765626</v>
      </c>
      <c r="T305" s="17" t="n">
        <v>83.00699194335937</v>
      </c>
      <c r="U305" s="19" t="n">
        <v>59.80685088966076</v>
      </c>
      <c r="V305" s="20">
        <f>IFERROR(BDP(E305&amp;" Corp","LAST_PRICE"),"--")</f>
        <v/>
      </c>
      <c r="W305" s="21">
        <f>IFERROR(BDP(E305&amp;" Corp","YAS_BENCHMARK_BOND_ISIN"),"--")</f>
        <v/>
      </c>
      <c r="X305" s="22">
        <f>IFERROR(BDP(W305&amp;" CORP","LAST_PRICE"),"--")</f>
        <v/>
      </c>
      <c r="Y305" s="23">
        <f>IFERROR(BDP(E305&amp;" Corp","YAS_YLD_SPREAD","YAS_BOND_PX="&amp;V305,"YAS_BNCHMRK_BOND_PX="&amp;X305),"--")</f>
        <v/>
      </c>
      <c r="Z305" s="23">
        <f>IFERROR(BDP(E305&amp;" Corp","BLOOMBERG_MID_G_SPREAD","YAS_BOND_PX="&amp;V305,"YAS_BNCHMRK_BOND_PX="&amp;X305),"--")</f>
        <v/>
      </c>
      <c r="AA305" s="23">
        <f>IFERROR(BDP(D305,"LAST_PRICE"),"--")</f>
        <v/>
      </c>
      <c r="AB305" s="24" t="n"/>
      <c r="AC305" s="23">
        <f>IFERROR(IF(ISBLANK(AB305),AA305,AB305),"--")</f>
        <v/>
      </c>
      <c r="AD305" s="23">
        <f>IFERROR(MAX(-500,MIN(500,AC305-Z305)),"--")</f>
        <v/>
      </c>
      <c r="AE305" s="25">
        <f>IFERROR((AD305-S305)/(T305-S305)*100,"--")</f>
        <v/>
      </c>
    </row>
    <row r="306">
      <c r="A306" s="26" t="inlineStr">
        <is>
          <t>IMAIM</t>
        </is>
      </c>
      <c r="B306" s="36" t="inlineStr">
        <is>
          <t>XO</t>
        </is>
      </c>
      <c r="C306" s="26" t="inlineStr">
        <is>
          <t>IMAIM 3 3/4 01/15/28</t>
        </is>
      </c>
      <c r="D306" s="27" t="inlineStr">
        <is>
          <t>IMAIM CDS EUR SR 5Y D14 Corp</t>
        </is>
      </c>
      <c r="E306" s="27" t="inlineStr">
        <is>
          <t>XS2275090749</t>
        </is>
      </c>
      <c r="F306" s="28" t="n">
        <v>45735</v>
      </c>
      <c r="G306" s="28" t="n">
        <v>46225</v>
      </c>
      <c r="H306" s="28" t="n">
        <v>46924</v>
      </c>
      <c r="I306" s="29" t="n">
        <v>117.1682968139648</v>
      </c>
      <c r="J306" s="29" t="n">
        <v>284.8435974121094</v>
      </c>
      <c r="K306" s="29" t="n">
        <v>148.574</v>
      </c>
      <c r="L306" s="29" t="n">
        <v>-762.659</v>
      </c>
      <c r="M306" s="30" t="n">
        <v>342</v>
      </c>
      <c r="N306" s="31" t="n">
        <v>-31.40570318603517</v>
      </c>
      <c r="O306" s="32" t="n">
        <v>-138.7471945800781</v>
      </c>
      <c r="P306" s="32" t="n">
        <v>2142.385403564453</v>
      </c>
      <c r="Q306" s="33" t="n">
        <v>4.70562261401877</v>
      </c>
      <c r="R306" s="32" t="n">
        <v>136.2695974121094</v>
      </c>
      <c r="S306" s="32" t="n">
        <v>-3.47758496093752</v>
      </c>
      <c r="T306" s="32" t="n">
        <v>2263.111905029297</v>
      </c>
      <c r="U306" s="34" t="n">
        <v>6.165526796546163</v>
      </c>
      <c r="V306" s="20">
        <f>IFERROR(BDP(E306&amp;" Corp","LAST_PRICE"),"--")</f>
        <v/>
      </c>
      <c r="W306" s="21">
        <f>IFERROR(BDP(E306&amp;" Corp","YAS_BENCHMARK_BOND_ISIN"),"--")</f>
        <v/>
      </c>
      <c r="X306" s="22">
        <f>IFERROR(BDP(W306&amp;" CORP","LAST_PRICE"),"--")</f>
        <v/>
      </c>
      <c r="Y306" s="23">
        <f>IFERROR(BDP(E306&amp;" Corp","YAS_YLD_SPREAD","YAS_BOND_PX="&amp;V306,"YAS_BNCHMRK_BOND_PX="&amp;X306),"--")</f>
        <v/>
      </c>
      <c r="Z306" s="23">
        <f>IFERROR(BDP(E306&amp;" Corp","BLOOMBERG_MID_G_SPREAD","YAS_BOND_PX="&amp;V306,"YAS_BNCHMRK_BOND_PX="&amp;X306),"--")</f>
        <v/>
      </c>
      <c r="AA306" s="23">
        <f>IFERROR(BDP(D306,"LAST_PRICE"),"--")</f>
        <v/>
      </c>
      <c r="AB306" s="24" t="n"/>
      <c r="AC306" s="23">
        <f>IFERROR(IF(ISBLANK(AB306),AA306,AB306),"--")</f>
        <v/>
      </c>
      <c r="AD306" s="23">
        <f>IFERROR(MAX(-500,MIN(500,AC306-Z306)),"--")</f>
        <v/>
      </c>
      <c r="AE306" s="25">
        <f>IFERROR((AD306-S306)/(T306-S306)*100,"--")</f>
        <v/>
      </c>
    </row>
    <row r="307">
      <c r="A307" s="11" t="inlineStr">
        <is>
          <t>INEGRP</t>
        </is>
      </c>
      <c r="B307" s="36" t="inlineStr">
        <is>
          <t>XO</t>
        </is>
      </c>
      <c r="C307" s="11" t="inlineStr">
        <is>
          <t>INEGRP 7 1/4 03/31/31</t>
        </is>
      </c>
      <c r="D307" s="12" t="inlineStr">
        <is>
          <t>INEOFIN CDS EUR SR 5Y D14 Corp</t>
        </is>
      </c>
      <c r="E307" s="12" t="inlineStr">
        <is>
          <t>XS3192215492</t>
        </is>
      </c>
      <c r="F307" s="13" t="n">
        <v>45925</v>
      </c>
      <c r="G307" s="13" t="n">
        <v>46225</v>
      </c>
      <c r="H307" s="13" t="n">
        <v>48019</v>
      </c>
      <c r="I307" s="14" t="n">
        <v>633.3333129882812</v>
      </c>
      <c r="J307" s="14" t="n">
        <v>633.3333129882812</v>
      </c>
      <c r="K307" s="14" t="n">
        <v>551.792</v>
      </c>
      <c r="L307" s="14" t="n">
        <v>548.479</v>
      </c>
      <c r="M307" s="15" t="n">
        <v>209</v>
      </c>
      <c r="N307" s="16" t="n">
        <v>81.54131298828122</v>
      </c>
      <c r="O307" s="17" t="n">
        <v>-61.82247802734378</v>
      </c>
      <c r="P307" s="17" t="n">
        <v>227.9689799804687</v>
      </c>
      <c r="Q307" s="18" t="n">
        <v>49.47136537466886</v>
      </c>
      <c r="R307" s="17" t="n">
        <v>81.54131298828122</v>
      </c>
      <c r="S307" s="17" t="n">
        <v>-61.82247802734378</v>
      </c>
      <c r="T307" s="17" t="n">
        <v>227.9689799804687</v>
      </c>
      <c r="U307" s="19" t="n">
        <v>49.47136537466886</v>
      </c>
      <c r="V307" s="20">
        <f>IFERROR(BDP(E307&amp;" Corp","LAST_PRICE"),"--")</f>
        <v/>
      </c>
      <c r="W307" s="21">
        <f>IFERROR(BDP(E307&amp;" Corp","YAS_BENCHMARK_BOND_ISIN"),"--")</f>
        <v/>
      </c>
      <c r="X307" s="22">
        <f>IFERROR(BDP(W307&amp;" CORP","LAST_PRICE"),"--")</f>
        <v/>
      </c>
      <c r="Y307" s="23">
        <f>IFERROR(BDP(E307&amp;" Corp","YAS_YLD_SPREAD","YAS_BOND_PX="&amp;V307,"YAS_BNCHMRK_BOND_PX="&amp;X307),"--")</f>
        <v/>
      </c>
      <c r="Z307" s="23">
        <f>IFERROR(BDP(E307&amp;" Corp","BLOOMBERG_MID_G_SPREAD","YAS_BOND_PX="&amp;V307,"YAS_BNCHMRK_BOND_PX="&amp;X307),"--")</f>
        <v/>
      </c>
      <c r="AA307" s="23">
        <f>IFERROR(BDP(D307,"LAST_PRICE"),"--")</f>
        <v/>
      </c>
      <c r="AB307" s="24" t="n"/>
      <c r="AC307" s="23">
        <f>IFERROR(IF(ISBLANK(AB307),AA307,AB307),"--")</f>
        <v/>
      </c>
      <c r="AD307" s="23">
        <f>IFERROR(MAX(-500,MIN(500,AC307-Z307)),"--")</f>
        <v/>
      </c>
      <c r="AE307" s="25">
        <f>IFERROR((AD307-S307)/(T307-S307)*100,"--")</f>
        <v/>
      </c>
    </row>
    <row r="308">
      <c r="A308" s="26" t="inlineStr">
        <is>
          <t>INWIM</t>
        </is>
      </c>
      <c r="B308" s="36" t="inlineStr">
        <is>
          <t>XO</t>
        </is>
      </c>
      <c r="C308" s="26" t="inlineStr">
        <is>
          <t>INWIM 3 5/8 10/13/32</t>
        </is>
      </c>
      <c r="D308" s="27" t="inlineStr">
        <is>
          <t>CY865633 Curncy</t>
        </is>
      </c>
      <c r="E308" s="27" t="inlineStr">
        <is>
          <t>XS3201918318</t>
        </is>
      </c>
      <c r="F308" s="28" t="n">
        <v>46099</v>
      </c>
      <c r="G308" s="28" t="n">
        <v>46225</v>
      </c>
      <c r="H308" s="28" t="n">
        <v>48568</v>
      </c>
      <c r="I308" s="29" t="n">
        <v>216.7796936035156</v>
      </c>
      <c r="J308" s="29" t="n">
        <v>192.8379058837891</v>
      </c>
      <c r="K308" s="29" t="n">
        <v>175.35</v>
      </c>
      <c r="L308" s="29" t="n">
        <v>176.672</v>
      </c>
      <c r="M308" s="30" t="n">
        <v>88</v>
      </c>
      <c r="N308" s="31" t="n">
        <v>41.42969360351563</v>
      </c>
      <c r="O308" s="32" t="n">
        <v>-85.74299694824219</v>
      </c>
      <c r="P308" s="32" t="n">
        <v>86.47190771484375</v>
      </c>
      <c r="Q308" s="33" t="n">
        <v>73.84534503593238</v>
      </c>
      <c r="R308" s="32" t="n">
        <v>17.48790588378907</v>
      </c>
      <c r="S308" s="32" t="n">
        <v>-105.5243003540039</v>
      </c>
      <c r="T308" s="32" t="n">
        <v>55.33199987792969</v>
      </c>
      <c r="U308" s="34" t="n">
        <v>76.47335296188311</v>
      </c>
      <c r="V308" s="20">
        <f>IFERROR(BDP(E308&amp;" Corp","LAST_PRICE"),"--")</f>
        <v/>
      </c>
      <c r="W308" s="21">
        <f>IFERROR(BDP(E308&amp;" Corp","YAS_BENCHMARK_BOND_ISIN"),"--")</f>
        <v/>
      </c>
      <c r="X308" s="22">
        <f>IFERROR(BDP(W308&amp;" CORP","LAST_PRICE"),"--")</f>
        <v/>
      </c>
      <c r="Y308" s="23">
        <f>IFERROR(BDP(E308&amp;" Corp","YAS_YLD_SPREAD","YAS_BOND_PX="&amp;V308,"YAS_BNCHMRK_BOND_PX="&amp;X308),"--")</f>
        <v/>
      </c>
      <c r="Z308" s="23">
        <f>IFERROR(BDP(E308&amp;" Corp","BLOOMBERG_MID_G_SPREAD","YAS_BOND_PX="&amp;V308,"YAS_BNCHMRK_BOND_PX="&amp;X308),"--")</f>
        <v/>
      </c>
      <c r="AA308" s="23">
        <f>IFERROR(BDP(D308,"LAST_PRICE"),"--")</f>
        <v/>
      </c>
      <c r="AB308" s="24" t="n"/>
      <c r="AC308" s="23">
        <f>IFERROR(IF(ISBLANK(AB308),AA308,AB308),"--")</f>
        <v/>
      </c>
      <c r="AD308" s="23">
        <f>IFERROR(MAX(-500,MIN(500,AC308-Z308)),"--")</f>
        <v/>
      </c>
      <c r="AE308" s="25">
        <f>IFERROR((AD308-S308)/(T308-S308)*100,"--")</f>
        <v/>
      </c>
    </row>
    <row r="309">
      <c r="A309" s="11" t="inlineStr">
        <is>
          <t>IONPLA</t>
        </is>
      </c>
      <c r="B309" s="36" t="inlineStr">
        <is>
          <t>XO</t>
        </is>
      </c>
      <c r="C309" s="11" t="inlineStr">
        <is>
          <t>IONPLA 6 7/8 09/30/32</t>
        </is>
      </c>
      <c r="D309" s="12" t="inlineStr">
        <is>
          <t>CZ060801 Curncy</t>
        </is>
      </c>
      <c r="E309" s="12" t="inlineStr">
        <is>
          <t>XS3194941202</t>
        </is>
      </c>
      <c r="F309" s="13" t="n">
        <v>46100</v>
      </c>
      <c r="G309" s="13" t="n">
        <v>46225</v>
      </c>
      <c r="H309" s="13" t="n">
        <v>48568</v>
      </c>
      <c r="I309" s="14" t="n">
        <v>1183.413452148438</v>
      </c>
      <c r="J309" s="14" t="n">
        <v>1053.830322265625</v>
      </c>
      <c r="K309" s="14" t="n">
        <v>860.0170000000001</v>
      </c>
      <c r="L309" s="14" t="n">
        <v>879.633</v>
      </c>
      <c r="M309" s="15" t="n">
        <v>85</v>
      </c>
      <c r="N309" s="16" t="n">
        <v>323.3964521484374</v>
      </c>
      <c r="O309" s="17" t="n">
        <v>59.9641787109374</v>
      </c>
      <c r="P309" s="17" t="n">
        <v>332.1474755859375</v>
      </c>
      <c r="Q309" s="18" t="n">
        <v>96.78487859542719</v>
      </c>
      <c r="R309" s="17" t="n">
        <v>193.8133222656249</v>
      </c>
      <c r="S309" s="17" t="n">
        <v>84.88217675781243</v>
      </c>
      <c r="T309" s="17" t="n">
        <v>353.1477197265625</v>
      </c>
      <c r="U309" s="19" t="n">
        <v>40.60571637427985</v>
      </c>
      <c r="V309" s="20">
        <f>IFERROR(BDP(E309&amp;" Corp","LAST_PRICE"),"--")</f>
        <v/>
      </c>
      <c r="W309" s="21">
        <f>IFERROR(BDP(E309&amp;" Corp","YAS_BENCHMARK_BOND_ISIN"),"--")</f>
        <v/>
      </c>
      <c r="X309" s="22">
        <f>IFERROR(BDP(W309&amp;" CORP","LAST_PRICE"),"--")</f>
        <v/>
      </c>
      <c r="Y309" s="23">
        <f>IFERROR(BDP(E309&amp;" Corp","YAS_YLD_SPREAD","YAS_BOND_PX="&amp;V309,"YAS_BNCHMRK_BOND_PX="&amp;X309),"--")</f>
        <v/>
      </c>
      <c r="Z309" s="23">
        <f>IFERROR(BDP(E309&amp;" Corp","BLOOMBERG_MID_G_SPREAD","YAS_BOND_PX="&amp;V309,"YAS_BNCHMRK_BOND_PX="&amp;X309),"--")</f>
        <v/>
      </c>
      <c r="AA309" s="23">
        <f>IFERROR(BDP(D309,"LAST_PRICE"),"--")</f>
        <v/>
      </c>
      <c r="AB309" s="24" t="n"/>
      <c r="AC309" s="23">
        <f>IFERROR(IF(ISBLANK(AB309),AA309,AB309),"--")</f>
        <v/>
      </c>
      <c r="AD309" s="23">
        <f>IFERROR(MAX(-500,MIN(500,AC309-Z309)),"--")</f>
        <v/>
      </c>
      <c r="AE309" s="25">
        <f>IFERROR((AD309-S309)/(T309-S309)*100,"--")</f>
        <v/>
      </c>
    </row>
    <row r="310">
      <c r="A310" s="26" t="inlineStr">
        <is>
          <t>IPGIM</t>
        </is>
      </c>
      <c r="B310" s="36" t="inlineStr">
        <is>
          <t>XO</t>
        </is>
      </c>
      <c r="C310" s="26" t="inlineStr">
        <is>
          <t>IPGIM 4 1/8 07/03/31</t>
        </is>
      </c>
      <c r="D310" s="27" t="inlineStr">
        <is>
          <t>IPGIM CDS EUR SR 5Y D14 Corp</t>
        </is>
      </c>
      <c r="E310" s="27" t="inlineStr">
        <is>
          <t>XS3106096178</t>
        </is>
      </c>
      <c r="F310" s="28" t="n">
        <v>45833</v>
      </c>
      <c r="G310" s="28" t="n">
        <v>46225</v>
      </c>
      <c r="H310" s="28" t="n">
        <v>48202</v>
      </c>
      <c r="I310" s="29" t="n">
        <v>163.3379974365234</v>
      </c>
      <c r="J310" s="29" t="n">
        <v>149.875</v>
      </c>
      <c r="K310" s="29" t="n">
        <v>123.249</v>
      </c>
      <c r="L310" s="29" t="n">
        <v>120.562</v>
      </c>
      <c r="M310" s="30" t="n">
        <v>272</v>
      </c>
      <c r="N310" s="31" t="n">
        <v>40.08899743652344</v>
      </c>
      <c r="O310" s="32" t="n">
        <v>-9.732895263671878</v>
      </c>
      <c r="P310" s="32" t="n">
        <v>71.9667969970703</v>
      </c>
      <c r="Q310" s="33" t="n">
        <v>60.98173851278437</v>
      </c>
      <c r="R310" s="32" t="n">
        <v>26.626</v>
      </c>
      <c r="S310" s="32" t="n">
        <v>-15.97869909667969</v>
      </c>
      <c r="T310" s="32" t="n">
        <v>60.44549572753905</v>
      </c>
      <c r="U310" s="34" t="n">
        <v>55.74765844072499</v>
      </c>
      <c r="V310" s="20">
        <f>IFERROR(BDP(E310&amp;" Corp","LAST_PRICE"),"--")</f>
        <v/>
      </c>
      <c r="W310" s="21">
        <f>IFERROR(BDP(E310&amp;" Corp","YAS_BENCHMARK_BOND_ISIN"),"--")</f>
        <v/>
      </c>
      <c r="X310" s="22">
        <f>IFERROR(BDP(W310&amp;" CORP","LAST_PRICE"),"--")</f>
        <v/>
      </c>
      <c r="Y310" s="23">
        <f>IFERROR(BDP(E310&amp;" Corp","YAS_YLD_SPREAD","YAS_BOND_PX="&amp;V310,"YAS_BNCHMRK_BOND_PX="&amp;X310),"--")</f>
        <v/>
      </c>
      <c r="Z310" s="23">
        <f>IFERROR(BDP(E310&amp;" Corp","BLOOMBERG_MID_G_SPREAD","YAS_BOND_PX="&amp;V310,"YAS_BNCHMRK_BOND_PX="&amp;X310),"--")</f>
        <v/>
      </c>
      <c r="AA310" s="23">
        <f>IFERROR(BDP(D310,"LAST_PRICE"),"--")</f>
        <v/>
      </c>
      <c r="AB310" s="24" t="n"/>
      <c r="AC310" s="23">
        <f>IFERROR(IF(ISBLANK(AB310),AA310,AB310),"--")</f>
        <v/>
      </c>
      <c r="AD310" s="23">
        <f>IFERROR(MAX(-500,MIN(500,AC310-Z310)),"--")</f>
        <v/>
      </c>
      <c r="AE310" s="25">
        <f>IFERROR((AD310-S310)/(T310-S310)*100,"--")</f>
        <v/>
      </c>
    </row>
    <row r="311">
      <c r="A311" s="11" t="inlineStr">
        <is>
          <t>LHMCFI</t>
        </is>
      </c>
      <c r="B311" s="36" t="inlineStr">
        <is>
          <t>XO</t>
        </is>
      </c>
      <c r="C311" s="11" t="inlineStr">
        <is>
          <t>LHMCFI 4 7/8 10/15/31</t>
        </is>
      </c>
      <c r="D311" s="12" t="inlineStr">
        <is>
          <t>LHMCFI CDS EUR SR 5Y D14 Corp</t>
        </is>
      </c>
      <c r="E311" s="12" t="inlineStr">
        <is>
          <t>XS3209437014</t>
        </is>
      </c>
      <c r="F311" s="13" t="n">
        <v>45946</v>
      </c>
      <c r="G311" s="13" t="n">
        <v>46225</v>
      </c>
      <c r="H311" s="13" t="n">
        <v>48202</v>
      </c>
      <c r="I311" s="14" t="n">
        <v>183.539306640625</v>
      </c>
      <c r="J311" s="14" t="n">
        <v>167.78759765625</v>
      </c>
      <c r="K311" s="14" t="n">
        <v>150.093</v>
      </c>
      <c r="L311" s="14" t="n">
        <v>146.315</v>
      </c>
      <c r="M311" s="15" t="n">
        <v>194</v>
      </c>
      <c r="N311" s="16" t="n">
        <v>33.44630664062501</v>
      </c>
      <c r="O311" s="17" t="n">
        <v>-39.77590307617186</v>
      </c>
      <c r="P311" s="17" t="n">
        <v>85.26069238281249</v>
      </c>
      <c r="Q311" s="18" t="n">
        <v>58.56062335031817</v>
      </c>
      <c r="R311" s="17" t="n">
        <v>17.69459765625001</v>
      </c>
      <c r="S311" s="17" t="n">
        <v>-49.96819433593748</v>
      </c>
      <c r="T311" s="17" t="n">
        <v>82.91111352539062</v>
      </c>
      <c r="U311" s="19" t="n">
        <v>50.92048798357672</v>
      </c>
      <c r="V311" s="20">
        <f>IFERROR(BDP(E311&amp;" Corp","LAST_PRICE"),"--")</f>
        <v/>
      </c>
      <c r="W311" s="21">
        <f>IFERROR(BDP(E311&amp;" Corp","YAS_BENCHMARK_BOND_ISIN"),"--")</f>
        <v/>
      </c>
      <c r="X311" s="22">
        <f>IFERROR(BDP(W311&amp;" CORP","LAST_PRICE"),"--")</f>
        <v/>
      </c>
      <c r="Y311" s="23">
        <f>IFERROR(BDP(E311&amp;" Corp","YAS_YLD_SPREAD","YAS_BOND_PX="&amp;V311,"YAS_BNCHMRK_BOND_PX="&amp;X311),"--")</f>
        <v/>
      </c>
      <c r="Z311" s="23">
        <f>IFERROR(BDP(E311&amp;" Corp","BLOOMBERG_MID_G_SPREAD","YAS_BOND_PX="&amp;V311,"YAS_BNCHMRK_BOND_PX="&amp;X311),"--")</f>
        <v/>
      </c>
      <c r="AA311" s="23">
        <f>IFERROR(BDP(D311,"LAST_PRICE"),"--")</f>
        <v/>
      </c>
      <c r="AB311" s="24" t="n"/>
      <c r="AC311" s="23">
        <f>IFERROR(IF(ISBLANK(AB311),AA311,AB311),"--")</f>
        <v/>
      </c>
      <c r="AD311" s="23">
        <f>IFERROR(MAX(-500,MIN(500,AC311-Z311)),"--")</f>
        <v/>
      </c>
      <c r="AE311" s="25">
        <f>IFERROR((AD311-S311)/(T311-S311)*100,"--")</f>
        <v/>
      </c>
    </row>
    <row r="312">
      <c r="A312" s="26" t="inlineStr">
        <is>
          <t>LOXAM</t>
        </is>
      </c>
      <c r="B312" s="36" t="inlineStr">
        <is>
          <t>XO</t>
        </is>
      </c>
      <c r="C312" s="26" t="inlineStr">
        <is>
          <t>LOXAM 4 1/4 02/15/30</t>
        </is>
      </c>
      <c r="D312" s="27" t="inlineStr">
        <is>
          <t>LOXAM CDS EUR SUB 5Y D14 Corp</t>
        </is>
      </c>
      <c r="E312" s="27" t="inlineStr">
        <is>
          <t>XS2982117694</t>
        </is>
      </c>
      <c r="F312" s="28" t="n">
        <v>45698</v>
      </c>
      <c r="G312" s="28" t="n">
        <v>46225</v>
      </c>
      <c r="H312" s="28" t="n">
        <v>47654</v>
      </c>
      <c r="I312" s="29" t="n">
        <v>158.9443969726562</v>
      </c>
      <c r="J312" s="29" t="n">
        <v>206.8690032958984</v>
      </c>
      <c r="K312" s="29" t="n">
        <v>145.747</v>
      </c>
      <c r="L312" s="29" t="n">
        <v>149.105</v>
      </c>
      <c r="M312" s="30" t="n">
        <v>369</v>
      </c>
      <c r="N312" s="31" t="n">
        <v>13.19739697265624</v>
      </c>
      <c r="O312" s="32" t="n">
        <v>-6.594497192382818</v>
      </c>
      <c r="P312" s="32" t="n">
        <v>80.165705078125</v>
      </c>
      <c r="Q312" s="33" t="n">
        <v>22.81218075463946</v>
      </c>
      <c r="R312" s="32" t="n">
        <v>61.12200329589842</v>
      </c>
      <c r="S312" s="32" t="n">
        <v>39.90370227050781</v>
      </c>
      <c r="T312" s="32" t="n">
        <v>115.9179943847656</v>
      </c>
      <c r="U312" s="34" t="n">
        <v>27.91356787681083</v>
      </c>
      <c r="V312" s="20">
        <f>IFERROR(BDP(E312&amp;" Corp","LAST_PRICE"),"--")</f>
        <v/>
      </c>
      <c r="W312" s="21">
        <f>IFERROR(BDP(E312&amp;" Corp","YAS_BENCHMARK_BOND_ISIN"),"--")</f>
        <v/>
      </c>
      <c r="X312" s="22">
        <f>IFERROR(BDP(W312&amp;" CORP","LAST_PRICE"),"--")</f>
        <v/>
      </c>
      <c r="Y312" s="23">
        <f>IFERROR(BDP(E312&amp;" Corp","YAS_YLD_SPREAD","YAS_BOND_PX="&amp;V312,"YAS_BNCHMRK_BOND_PX="&amp;X312),"--")</f>
        <v/>
      </c>
      <c r="Z312" s="23">
        <f>IFERROR(BDP(E312&amp;" Corp","BLOOMBERG_MID_G_SPREAD","YAS_BOND_PX="&amp;V312,"YAS_BNCHMRK_BOND_PX="&amp;X312),"--")</f>
        <v/>
      </c>
      <c r="AA312" s="23">
        <f>IFERROR(BDP(D312,"LAST_PRICE"),"--")</f>
        <v/>
      </c>
      <c r="AB312" s="24" t="n"/>
      <c r="AC312" s="23">
        <f>IFERROR(IF(ISBLANK(AB312),AA312,AB312),"--")</f>
        <v/>
      </c>
      <c r="AD312" s="23">
        <f>IFERROR(MAX(-500,MIN(500,AC312-Z312)),"--")</f>
        <v/>
      </c>
      <c r="AE312" s="25">
        <f>IFERROR((AD312-S312)/(T312-S312)*100,"--")</f>
        <v/>
      </c>
    </row>
    <row r="313">
      <c r="A313" s="11" t="inlineStr">
        <is>
          <t>LTMCIM</t>
        </is>
      </c>
      <c r="B313" s="36" t="inlineStr">
        <is>
          <t>XO</t>
        </is>
      </c>
      <c r="C313" s="11" t="inlineStr">
        <is>
          <t>LTMCIM 4 7/8 01/31/31</t>
        </is>
      </c>
      <c r="D313" s="12" t="inlineStr">
        <is>
          <t>LTMCIM CDS EUR SR 5Y D14 Corp</t>
        </is>
      </c>
      <c r="E313" s="12" t="inlineStr">
        <is>
          <t>XS3047452316</t>
        </is>
      </c>
      <c r="F313" s="13" t="n">
        <v>45775</v>
      </c>
      <c r="G313" s="13" t="n">
        <v>46225</v>
      </c>
      <c r="H313" s="13" t="n">
        <v>48019</v>
      </c>
      <c r="I313" s="14" t="n">
        <v>173.843994140625</v>
      </c>
      <c r="J313" s="14" t="n">
        <v>173.843994140625</v>
      </c>
      <c r="K313" s="14" t="n">
        <v>130.851</v>
      </c>
      <c r="L313" s="14" t="n">
        <v>129.899</v>
      </c>
      <c r="M313" s="15" t="n">
        <v>316</v>
      </c>
      <c r="N313" s="16" t="n">
        <v>42.992994140625</v>
      </c>
      <c r="O313" s="17" t="n">
        <v>2.787602294921868</v>
      </c>
      <c r="P313" s="17" t="n">
        <v>93.26770080566405</v>
      </c>
      <c r="Q313" s="18" t="n">
        <v>44.43561900071293</v>
      </c>
      <c r="R313" s="17" t="n">
        <v>42.992994140625</v>
      </c>
      <c r="S313" s="17" t="n">
        <v>2.787602294921868</v>
      </c>
      <c r="T313" s="17" t="n">
        <v>93.26770080566405</v>
      </c>
      <c r="U313" s="19" t="n">
        <v>44.43561900071293</v>
      </c>
      <c r="V313" s="20">
        <f>IFERROR(BDP(E313&amp;" Corp","LAST_PRICE"),"--")</f>
        <v/>
      </c>
      <c r="W313" s="21">
        <f>IFERROR(BDP(E313&amp;" Corp","YAS_BENCHMARK_BOND_ISIN"),"--")</f>
        <v/>
      </c>
      <c r="X313" s="22">
        <f>IFERROR(BDP(W313&amp;" CORP","LAST_PRICE"),"--")</f>
        <v/>
      </c>
      <c r="Y313" s="23">
        <f>IFERROR(BDP(E313&amp;" Corp","YAS_YLD_SPREAD","YAS_BOND_PX="&amp;V313,"YAS_BNCHMRK_BOND_PX="&amp;X313),"--")</f>
        <v/>
      </c>
      <c r="Z313" s="23">
        <f>IFERROR(BDP(E313&amp;" Corp","BLOOMBERG_MID_G_SPREAD","YAS_BOND_PX="&amp;V313,"YAS_BNCHMRK_BOND_PX="&amp;X313),"--")</f>
        <v/>
      </c>
      <c r="AA313" s="23">
        <f>IFERROR(BDP(D313,"LAST_PRICE"),"--")</f>
        <v/>
      </c>
      <c r="AB313" s="24" t="n"/>
      <c r="AC313" s="23">
        <f>IFERROR(IF(ISBLANK(AB313),AA313,AB313),"--")</f>
        <v/>
      </c>
      <c r="AD313" s="23">
        <f>IFERROR(MAX(-500,MIN(500,AC313-Z313)),"--")</f>
        <v/>
      </c>
      <c r="AE313" s="25">
        <f>IFERROR((AD313-S313)/(T313-S313)*100,"--")</f>
        <v/>
      </c>
    </row>
    <row r="314">
      <c r="A314" s="26" t="inlineStr">
        <is>
          <t>LXSGR</t>
        </is>
      </c>
      <c r="B314" s="36" t="inlineStr">
        <is>
          <t>XO</t>
        </is>
      </c>
      <c r="C314" s="26" t="inlineStr">
        <is>
          <t>LXSGR 4 3/8 06/24/31</t>
        </is>
      </c>
      <c r="D314" s="27" t="inlineStr">
        <is>
          <t>LXSGR CDS EUR SR 5Y D14 Corp</t>
        </is>
      </c>
      <c r="E314" s="27" t="inlineStr">
        <is>
          <t>XS3402928637</t>
        </is>
      </c>
      <c r="F314" s="28" t="n">
        <v>46191</v>
      </c>
      <c r="G314" s="28" t="n">
        <v>46225</v>
      </c>
      <c r="H314" s="28" t="n">
        <v>48202</v>
      </c>
      <c r="I314" s="29" t="n">
        <v>208.8565979003906</v>
      </c>
      <c r="J314" s="29" t="n">
        <v>191.4212951660156</v>
      </c>
      <c r="K314" s="29" t="n">
        <v>199.169</v>
      </c>
      <c r="L314" s="29" t="n">
        <v>198.602</v>
      </c>
      <c r="M314" s="30" t="n">
        <v>25</v>
      </c>
      <c r="N314" s="31" t="n">
        <v>9.687597900390614</v>
      </c>
      <c r="O314" s="32" t="n">
        <v>-11.51340637207031</v>
      </c>
      <c r="P314" s="32" t="n">
        <v>9.687597900390614</v>
      </c>
      <c r="Q314" s="33" t="n">
        <v>100</v>
      </c>
      <c r="R314" s="32" t="n">
        <v>-7.747704833984386</v>
      </c>
      <c r="S314" s="32" t="n">
        <v>-28.97980371093749</v>
      </c>
      <c r="T314" s="32" t="n">
        <v>-7.747704833984386</v>
      </c>
      <c r="U314" s="34" t="n">
        <v>100</v>
      </c>
      <c r="V314" s="20">
        <f>IFERROR(BDP(E314&amp;" Corp","LAST_PRICE"),"--")</f>
        <v/>
      </c>
      <c r="W314" s="21">
        <f>IFERROR(BDP(E314&amp;" Corp","YAS_BENCHMARK_BOND_ISIN"),"--")</f>
        <v/>
      </c>
      <c r="X314" s="22">
        <f>IFERROR(BDP(W314&amp;" CORP","LAST_PRICE"),"--")</f>
        <v/>
      </c>
      <c r="Y314" s="23">
        <f>IFERROR(BDP(E314&amp;" Corp","YAS_YLD_SPREAD","YAS_BOND_PX="&amp;V314,"YAS_BNCHMRK_BOND_PX="&amp;X314),"--")</f>
        <v/>
      </c>
      <c r="Z314" s="23">
        <f>IFERROR(BDP(E314&amp;" Corp","BLOOMBERG_MID_G_SPREAD","YAS_BOND_PX="&amp;V314,"YAS_BNCHMRK_BOND_PX="&amp;X314),"--")</f>
        <v/>
      </c>
      <c r="AA314" s="23">
        <f>IFERROR(BDP(D314,"LAST_PRICE"),"--")</f>
        <v/>
      </c>
      <c r="AB314" s="24" t="n"/>
      <c r="AC314" s="23">
        <f>IFERROR(IF(ISBLANK(AB314),AA314,AB314),"--")</f>
        <v/>
      </c>
      <c r="AD314" s="23">
        <f>IFERROR(MAX(-500,MIN(500,AC314-Z314)),"--")</f>
        <v/>
      </c>
      <c r="AE314" s="25">
        <f>IFERROR((AD314-S314)/(T314-S314)*100,"--")</f>
        <v/>
      </c>
    </row>
    <row r="315">
      <c r="A315" s="11" t="inlineStr">
        <is>
          <t>MATTER</t>
        </is>
      </c>
      <c r="B315" s="36" t="inlineStr">
        <is>
          <t>XO</t>
        </is>
      </c>
      <c r="C315" s="11" t="inlineStr">
        <is>
          <t>MATTER 4 1/2 01/30/30</t>
        </is>
      </c>
      <c r="D315" s="12" t="inlineStr">
        <is>
          <t>MATTER B CDS EUR SR 5Y D14 Corp</t>
        </is>
      </c>
      <c r="E315" s="12" t="inlineStr">
        <is>
          <t>XS2985311518</t>
        </is>
      </c>
      <c r="F315" s="13" t="n">
        <v>45678</v>
      </c>
      <c r="G315" s="13" t="n">
        <v>46225</v>
      </c>
      <c r="H315" s="13" t="n">
        <v>47654</v>
      </c>
      <c r="I315" s="14" t="n">
        <v>110.1532974243164</v>
      </c>
      <c r="J315" s="14" t="n">
        <v>140.1920928955078</v>
      </c>
      <c r="K315" s="14" t="n">
        <v>104.204</v>
      </c>
      <c r="L315" s="14" t="n">
        <v>105.859</v>
      </c>
      <c r="M315" s="15" t="n">
        <v>383</v>
      </c>
      <c r="N315" s="16" t="n">
        <v>5.949297424316413</v>
      </c>
      <c r="O315" s="17" t="n">
        <v>-63.75950073242188</v>
      </c>
      <c r="P315" s="17" t="n">
        <v>40.3126962890625</v>
      </c>
      <c r="Q315" s="18" t="n">
        <v>66.98119204915776</v>
      </c>
      <c r="R315" s="17" t="n">
        <v>35.98809289550782</v>
      </c>
      <c r="S315" s="17" t="n">
        <v>-31.12770471191408</v>
      </c>
      <c r="T315" s="17" t="n">
        <v>70.84399987792969</v>
      </c>
      <c r="U315" s="19" t="n">
        <v>65.81805989943854</v>
      </c>
      <c r="V315" s="20">
        <f>IFERROR(BDP(E315&amp;" Corp","LAST_PRICE"),"--")</f>
        <v/>
      </c>
      <c r="W315" s="21">
        <f>IFERROR(BDP(E315&amp;" Corp","YAS_BENCHMARK_BOND_ISIN"),"--")</f>
        <v/>
      </c>
      <c r="X315" s="22">
        <f>IFERROR(BDP(W315&amp;" CORP","LAST_PRICE"),"--")</f>
        <v/>
      </c>
      <c r="Y315" s="23">
        <f>IFERROR(BDP(E315&amp;" Corp","YAS_YLD_SPREAD","YAS_BOND_PX="&amp;V315,"YAS_BNCHMRK_BOND_PX="&amp;X315),"--")</f>
        <v/>
      </c>
      <c r="Z315" s="23">
        <f>IFERROR(BDP(E315&amp;" Corp","BLOOMBERG_MID_G_SPREAD","YAS_BOND_PX="&amp;V315,"YAS_BNCHMRK_BOND_PX="&amp;X315),"--")</f>
        <v/>
      </c>
      <c r="AA315" s="23">
        <f>IFERROR(BDP(D315,"LAST_PRICE"),"--")</f>
        <v/>
      </c>
      <c r="AB315" s="24" t="n"/>
      <c r="AC315" s="23">
        <f>IFERROR(IF(ISBLANK(AB315),AA315,AB315),"--")</f>
        <v/>
      </c>
      <c r="AD315" s="23">
        <f>IFERROR(MAX(-500,MIN(500,AC315-Z315)),"--")</f>
        <v/>
      </c>
      <c r="AE315" s="25">
        <f>IFERROR((AD315-S315)/(T315-S315)*100,"--")</f>
        <v/>
      </c>
    </row>
    <row r="316">
      <c r="A316" s="26" t="inlineStr">
        <is>
          <t>METSA</t>
        </is>
      </c>
      <c r="B316" s="36" t="inlineStr">
        <is>
          <t>XO</t>
        </is>
      </c>
      <c r="C316" s="26" t="inlineStr">
        <is>
          <t>METSA 3 7/8 05/28/31</t>
        </is>
      </c>
      <c r="D316" s="27" t="inlineStr">
        <is>
          <t>METSA CDS EUR SR 5Y D14 Corp</t>
        </is>
      </c>
      <c r="E316" s="27" t="inlineStr">
        <is>
          <t>FI4000590864</t>
        </is>
      </c>
      <c r="F316" s="28" t="n">
        <v>45799</v>
      </c>
      <c r="G316" s="28" t="n">
        <v>46225</v>
      </c>
      <c r="H316" s="28" t="n">
        <v>48019</v>
      </c>
      <c r="I316" s="29" t="n">
        <v>141.7751007080078</v>
      </c>
      <c r="J316" s="29" t="n">
        <v>141.7751007080078</v>
      </c>
      <c r="K316" s="29" t="n">
        <v>183.344</v>
      </c>
      <c r="L316" s="29" t="n">
        <v>187.51</v>
      </c>
      <c r="M316" s="30" t="n">
        <v>299</v>
      </c>
      <c r="N316" s="31" t="n">
        <v>-41.56889929199218</v>
      </c>
      <c r="O316" s="32" t="n">
        <v>-81.11989733886719</v>
      </c>
      <c r="P316" s="32" t="n">
        <v>15.74269616699218</v>
      </c>
      <c r="Q316" s="33" t="n">
        <v>40.83206593521834</v>
      </c>
      <c r="R316" s="32" t="n">
        <v>-41.56889929199218</v>
      </c>
      <c r="S316" s="32" t="n">
        <v>-81.11989733886719</v>
      </c>
      <c r="T316" s="32" t="n">
        <v>15.74269616699218</v>
      </c>
      <c r="U316" s="34" t="n">
        <v>40.83206593521834</v>
      </c>
      <c r="V316" s="20">
        <f>IFERROR(BDP(E316&amp;" Corp","LAST_PRICE"),"--")</f>
        <v/>
      </c>
      <c r="W316" s="21">
        <f>IFERROR(BDP(E316&amp;" Corp","YAS_BENCHMARK_BOND_ISIN"),"--")</f>
        <v/>
      </c>
      <c r="X316" s="22">
        <f>IFERROR(BDP(W316&amp;" CORP","LAST_PRICE"),"--")</f>
        <v/>
      </c>
      <c r="Y316" s="23">
        <f>IFERROR(BDP(E316&amp;" Corp","YAS_YLD_SPREAD","YAS_BOND_PX="&amp;V316,"YAS_BNCHMRK_BOND_PX="&amp;X316),"--")</f>
        <v/>
      </c>
      <c r="Z316" s="23">
        <f>IFERROR(BDP(E316&amp;" Corp","BLOOMBERG_MID_G_SPREAD","YAS_BOND_PX="&amp;V316,"YAS_BNCHMRK_BOND_PX="&amp;X316),"--")</f>
        <v/>
      </c>
      <c r="AA316" s="23">
        <f>IFERROR(BDP(D316,"LAST_PRICE"),"--")</f>
        <v/>
      </c>
      <c r="AB316" s="24" t="n"/>
      <c r="AC316" s="23">
        <f>IFERROR(IF(ISBLANK(AB316),AA316,AB316),"--")</f>
        <v/>
      </c>
      <c r="AD316" s="23">
        <f>IFERROR(MAX(-500,MIN(500,AC316-Z316)),"--")</f>
        <v/>
      </c>
      <c r="AE316" s="25">
        <f>IFERROR((AD316-S316)/(T316-S316)*100,"--")</f>
        <v/>
      </c>
    </row>
    <row r="317">
      <c r="A317" s="11" t="inlineStr">
        <is>
          <t>MLTIVR</t>
        </is>
      </c>
      <c r="B317" s="36" t="inlineStr">
        <is>
          <t>XO</t>
        </is>
      </c>
      <c r="C317" s="11" t="inlineStr">
        <is>
          <t>MLTIVR 7 1/8 05/17/31</t>
        </is>
      </c>
      <c r="D317" s="12" t="inlineStr">
        <is>
          <t>MLTIVR CDS EUR SR 5Y D14 Corp</t>
        </is>
      </c>
      <c r="E317" s="12" t="inlineStr">
        <is>
          <t>XS2816638873</t>
        </is>
      </c>
      <c r="F317" s="13" t="n">
        <v>45659</v>
      </c>
      <c r="G317" s="13" t="n">
        <v>46225</v>
      </c>
      <c r="H317" s="13" t="n">
        <v>48019</v>
      </c>
      <c r="I317" s="14" t="n">
        <v>338.6260070800781</v>
      </c>
      <c r="J317" s="14" t="n">
        <v>338.6260070800781</v>
      </c>
      <c r="K317" s="14" t="n">
        <v>313.777</v>
      </c>
      <c r="L317" s="14" t="n">
        <v>308.964</v>
      </c>
      <c r="M317" s="15" t="n">
        <v>395</v>
      </c>
      <c r="N317" s="16" t="n">
        <v>24.84900708007814</v>
      </c>
      <c r="O317" s="17" t="n">
        <v>-117.9469873046875</v>
      </c>
      <c r="P317" s="17" t="n">
        <v>81.35480761718748</v>
      </c>
      <c r="Q317" s="18" t="n">
        <v>71.64812260759656</v>
      </c>
      <c r="R317" s="17" t="n">
        <v>24.84900708007814</v>
      </c>
      <c r="S317" s="17" t="n">
        <v>-117.9469873046875</v>
      </c>
      <c r="T317" s="17" t="n">
        <v>81.35480761718748</v>
      </c>
      <c r="U317" s="19" t="n">
        <v>71.64812260759656</v>
      </c>
      <c r="V317" s="20">
        <f>IFERROR(BDP(E317&amp;" Corp","LAST_PRICE"),"--")</f>
        <v/>
      </c>
      <c r="W317" s="21">
        <f>IFERROR(BDP(E317&amp;" Corp","YAS_BENCHMARK_BOND_ISIN"),"--")</f>
        <v/>
      </c>
      <c r="X317" s="22">
        <f>IFERROR(BDP(W317&amp;" CORP","LAST_PRICE"),"--")</f>
        <v/>
      </c>
      <c r="Y317" s="23">
        <f>IFERROR(BDP(E317&amp;" Corp","YAS_YLD_SPREAD","YAS_BOND_PX="&amp;V317,"YAS_BNCHMRK_BOND_PX="&amp;X317),"--")</f>
        <v/>
      </c>
      <c r="Z317" s="23">
        <f>IFERROR(BDP(E317&amp;" Corp","BLOOMBERG_MID_G_SPREAD","YAS_BOND_PX="&amp;V317,"YAS_BNCHMRK_BOND_PX="&amp;X317),"--")</f>
        <v/>
      </c>
      <c r="AA317" s="23">
        <f>IFERROR(BDP(D317,"LAST_PRICE"),"--")</f>
        <v/>
      </c>
      <c r="AB317" s="24" t="n"/>
      <c r="AC317" s="23">
        <f>IFERROR(IF(ISBLANK(AB317),AA317,AB317),"--")</f>
        <v/>
      </c>
      <c r="AD317" s="23">
        <f>IFERROR(MAX(-500,MIN(500,AC317-Z317)),"--")</f>
        <v/>
      </c>
      <c r="AE317" s="25">
        <f>IFERROR((AD317-S317)/(T317-S317)*100,"--")</f>
        <v/>
      </c>
    </row>
    <row r="318">
      <c r="A318" s="26" t="inlineStr">
        <is>
          <t>MMBFP</t>
        </is>
      </c>
      <c r="B318" s="36" t="inlineStr">
        <is>
          <t>XO</t>
        </is>
      </c>
      <c r="C318" s="26" t="inlineStr">
        <is>
          <t>MMBFP 4 3/4 06/12/30</t>
        </is>
      </c>
      <c r="D318" s="27" t="inlineStr">
        <is>
          <t>MMBFP CDS EUR SR 5Y D14 Corp</t>
        </is>
      </c>
      <c r="E318" s="27" t="inlineStr">
        <is>
          <t>FR001400YQA5</t>
        </is>
      </c>
      <c r="F318" s="28" t="n">
        <v>45814</v>
      </c>
      <c r="G318" s="28" t="n">
        <v>46225</v>
      </c>
      <c r="H318" s="28" t="n">
        <v>47654</v>
      </c>
      <c r="I318" s="29" t="n">
        <v>108.9598007202148</v>
      </c>
      <c r="J318" s="29" t="n">
        <v>139.4900054931641</v>
      </c>
      <c r="K318" s="29" t="n">
        <v>150.196</v>
      </c>
      <c r="L318" s="29" t="n">
        <v>150.406</v>
      </c>
      <c r="M318" s="30" t="n">
        <v>288</v>
      </c>
      <c r="N318" s="31" t="n">
        <v>-41.23619927978515</v>
      </c>
      <c r="O318" s="32" t="n">
        <v>-112.771302734375</v>
      </c>
      <c r="P318" s="32" t="n">
        <v>-21.24510186767577</v>
      </c>
      <c r="Q318" s="33" t="n">
        <v>78.15806050856973</v>
      </c>
      <c r="R318" s="32" t="n">
        <v>-10.70599450683594</v>
      </c>
      <c r="S318" s="32" t="n">
        <v>-92.86470703124999</v>
      </c>
      <c r="T318" s="32" t="n">
        <v>14.65350073242186</v>
      </c>
      <c r="U318" s="34" t="n">
        <v>76.41376677799661</v>
      </c>
      <c r="V318" s="20">
        <f>IFERROR(BDP(E318&amp;" Corp","LAST_PRICE"),"--")</f>
        <v/>
      </c>
      <c r="W318" s="21">
        <f>IFERROR(BDP(E318&amp;" Corp","YAS_BENCHMARK_BOND_ISIN"),"--")</f>
        <v/>
      </c>
      <c r="X318" s="22">
        <f>IFERROR(BDP(W318&amp;" CORP","LAST_PRICE"),"--")</f>
        <v/>
      </c>
      <c r="Y318" s="23">
        <f>IFERROR(BDP(E318&amp;" Corp","YAS_YLD_SPREAD","YAS_BOND_PX="&amp;V318,"YAS_BNCHMRK_BOND_PX="&amp;X318),"--")</f>
        <v/>
      </c>
      <c r="Z318" s="23">
        <f>IFERROR(BDP(E318&amp;" Corp","BLOOMBERG_MID_G_SPREAD","YAS_BOND_PX="&amp;V318,"YAS_BNCHMRK_BOND_PX="&amp;X318),"--")</f>
        <v/>
      </c>
      <c r="AA318" s="23">
        <f>IFERROR(BDP(D318,"LAST_PRICE"),"--")</f>
        <v/>
      </c>
      <c r="AB318" s="24" t="n"/>
      <c r="AC318" s="23">
        <f>IFERROR(IF(ISBLANK(AB318),AA318,AB318),"--")</f>
        <v/>
      </c>
      <c r="AD318" s="23">
        <f>IFERROR(MAX(-500,MIN(500,AC318-Z318)),"--")</f>
        <v/>
      </c>
      <c r="AE318" s="25">
        <f>IFERROR((AD318-S318)/(T318-S318)*100,"--")</f>
        <v/>
      </c>
    </row>
    <row r="319">
      <c r="A319" s="11" t="inlineStr">
        <is>
          <t>NEXIIM</t>
        </is>
      </c>
      <c r="B319" s="36" t="inlineStr">
        <is>
          <t>XO</t>
        </is>
      </c>
      <c r="C319" s="11" t="inlineStr">
        <is>
          <t>NEXIIM 3 7/8 05/21/31</t>
        </is>
      </c>
      <c r="D319" s="12" t="inlineStr">
        <is>
          <t>NEXIIM CDS EUR SR 5Y D14 Corp</t>
        </is>
      </c>
      <c r="E319" s="12" t="inlineStr">
        <is>
          <t>XS3077018714</t>
        </is>
      </c>
      <c r="F319" s="13" t="n">
        <v>45792</v>
      </c>
      <c r="G319" s="13" t="n">
        <v>46225</v>
      </c>
      <c r="H319" s="13" t="n">
        <v>48019</v>
      </c>
      <c r="I319" s="14" t="n">
        <v>171.6694946289062</v>
      </c>
      <c r="J319" s="14" t="n">
        <v>171.6694946289062</v>
      </c>
      <c r="K319" s="14" t="n">
        <v>84.137</v>
      </c>
      <c r="L319" s="14" t="n">
        <v>85.761</v>
      </c>
      <c r="M319" s="15" t="n">
        <v>304</v>
      </c>
      <c r="N319" s="16" t="n">
        <v>87.53249462890625</v>
      </c>
      <c r="O319" s="17" t="n">
        <v>5.389500244140635</v>
      </c>
      <c r="P319" s="17" t="n">
        <v>144.1725026855469</v>
      </c>
      <c r="Q319" s="18" t="n">
        <v>59.1880799087382</v>
      </c>
      <c r="R319" s="17" t="n">
        <v>87.53249462890625</v>
      </c>
      <c r="S319" s="17" t="n">
        <v>5.389500244140635</v>
      </c>
      <c r="T319" s="17" t="n">
        <v>144.1725026855469</v>
      </c>
      <c r="U319" s="19" t="n">
        <v>59.1880799087382</v>
      </c>
      <c r="V319" s="20">
        <f>IFERROR(BDP(E319&amp;" Corp","LAST_PRICE"),"--")</f>
        <v/>
      </c>
      <c r="W319" s="21">
        <f>IFERROR(BDP(E319&amp;" Corp","YAS_BENCHMARK_BOND_ISIN"),"--")</f>
        <v/>
      </c>
      <c r="X319" s="22">
        <f>IFERROR(BDP(W319&amp;" CORP","LAST_PRICE"),"--")</f>
        <v/>
      </c>
      <c r="Y319" s="23">
        <f>IFERROR(BDP(E319&amp;" Corp","YAS_YLD_SPREAD","YAS_BOND_PX="&amp;V319,"YAS_BNCHMRK_BOND_PX="&amp;X319),"--")</f>
        <v/>
      </c>
      <c r="Z319" s="23">
        <f>IFERROR(BDP(E319&amp;" Corp","BLOOMBERG_MID_G_SPREAD","YAS_BOND_PX="&amp;V319,"YAS_BNCHMRK_BOND_PX="&amp;X319),"--")</f>
        <v/>
      </c>
      <c r="AA319" s="23">
        <f>IFERROR(BDP(D319,"LAST_PRICE"),"--")</f>
        <v/>
      </c>
      <c r="AB319" s="24" t="n"/>
      <c r="AC319" s="23">
        <f>IFERROR(IF(ISBLANK(AB319),AA319,AB319),"--")</f>
        <v/>
      </c>
      <c r="AD319" s="23">
        <f>IFERROR(MAX(-500,MIN(500,AC319-Z319)),"--")</f>
        <v/>
      </c>
      <c r="AE319" s="25">
        <f>IFERROR((AD319-S319)/(T319-S319)*100,"--")</f>
        <v/>
      </c>
    </row>
    <row r="320">
      <c r="A320" s="26" t="inlineStr">
        <is>
          <t>NOKIA</t>
        </is>
      </c>
      <c r="B320" s="36" t="inlineStr">
        <is>
          <t>XO</t>
        </is>
      </c>
      <c r="C320" s="26" t="inlineStr">
        <is>
          <t>NOKIA 4 3/8 08/21/31</t>
        </is>
      </c>
      <c r="D320" s="27" t="inlineStr">
        <is>
          <t>NOKIA CDS EUR SR 5Y D14 Corp</t>
        </is>
      </c>
      <c r="E320" s="27" t="inlineStr">
        <is>
          <t>XS2488809612</t>
        </is>
      </c>
      <c r="F320" s="28" t="n">
        <v>45659</v>
      </c>
      <c r="G320" s="28" t="n">
        <v>46225</v>
      </c>
      <c r="H320" s="28" t="n">
        <v>48202</v>
      </c>
      <c r="I320" s="29" t="n">
        <v>70.26820373535156</v>
      </c>
      <c r="J320" s="29" t="n">
        <v>60.59479904174805</v>
      </c>
      <c r="K320" s="29" t="n">
        <v>80.315</v>
      </c>
      <c r="L320" s="29" t="n">
        <v>82.67400000000001</v>
      </c>
      <c r="M320" s="30" t="n">
        <v>396</v>
      </c>
      <c r="N320" s="31" t="n">
        <v>-10.04679626464844</v>
      </c>
      <c r="O320" s="32" t="n">
        <v>-51.44100018310547</v>
      </c>
      <c r="P320" s="32" t="n">
        <v>-2.497703552246094</v>
      </c>
      <c r="Q320" s="33" t="n">
        <v>84.57583932414855</v>
      </c>
      <c r="R320" s="32" t="n">
        <v>-19.72020095825195</v>
      </c>
      <c r="S320" s="32" t="n">
        <v>-58.87329693603516</v>
      </c>
      <c r="T320" s="32" t="n">
        <v>-9.945503234863281</v>
      </c>
      <c r="U320" s="34" t="n">
        <v>80.0221980515043</v>
      </c>
      <c r="V320" s="20">
        <f>IFERROR(BDP(E320&amp;" Corp","LAST_PRICE"),"--")</f>
        <v/>
      </c>
      <c r="W320" s="21">
        <f>IFERROR(BDP(E320&amp;" Corp","YAS_BENCHMARK_BOND_ISIN"),"--")</f>
        <v/>
      </c>
      <c r="X320" s="22">
        <f>IFERROR(BDP(W320&amp;" CORP","LAST_PRICE"),"--")</f>
        <v/>
      </c>
      <c r="Y320" s="23">
        <f>IFERROR(BDP(E320&amp;" Corp","YAS_YLD_SPREAD","YAS_BOND_PX="&amp;V320,"YAS_BNCHMRK_BOND_PX="&amp;X320),"--")</f>
        <v/>
      </c>
      <c r="Z320" s="23">
        <f>IFERROR(BDP(E320&amp;" Corp","BLOOMBERG_MID_G_SPREAD","YAS_BOND_PX="&amp;V320,"YAS_BNCHMRK_BOND_PX="&amp;X320),"--")</f>
        <v/>
      </c>
      <c r="AA320" s="23">
        <f>IFERROR(BDP(D320,"LAST_PRICE"),"--")</f>
        <v/>
      </c>
      <c r="AB320" s="24" t="n"/>
      <c r="AC320" s="23">
        <f>IFERROR(IF(ISBLANK(AB320),AA320,AB320),"--")</f>
        <v/>
      </c>
      <c r="AD320" s="23">
        <f>IFERROR(MAX(-500,MIN(500,AC320-Z320)),"--")</f>
        <v/>
      </c>
      <c r="AE320" s="25">
        <f>IFERROR((AD320-S320)/(T320-S320)*100,"--")</f>
        <v/>
      </c>
    </row>
    <row r="321">
      <c r="A321" s="11" t="inlineStr">
        <is>
          <t>OI</t>
        </is>
      </c>
      <c r="B321" s="36" t="inlineStr">
        <is>
          <t>XO</t>
        </is>
      </c>
      <c r="C321" s="11" t="inlineStr">
        <is>
          <t>OI 4 3/4 02/15/30</t>
        </is>
      </c>
      <c r="D321" s="12" t="inlineStr">
        <is>
          <t>OI EURO CDS EUR SR 5Y D14 Corp</t>
        </is>
      </c>
      <c r="E321" s="12" t="inlineStr">
        <is>
          <t>USN6704RAK79</t>
        </is>
      </c>
      <c r="F321" s="13" t="n">
        <v>45659</v>
      </c>
      <c r="G321" s="13" t="n">
        <v>46225</v>
      </c>
      <c r="H321" s="13" t="n">
        <v>47654</v>
      </c>
      <c r="I321" s="14" t="n">
        <v>283.6310119628906</v>
      </c>
      <c r="J321" s="14" t="n">
        <v>328.2926025390625</v>
      </c>
      <c r="K321" s="14" t="n">
        <v>240.74</v>
      </c>
      <c r="L321" s="14" t="n">
        <v>253.745</v>
      </c>
      <c r="M321" s="15" t="n">
        <v>389</v>
      </c>
      <c r="N321" s="16" t="n">
        <v>42.89101196289062</v>
      </c>
      <c r="O321" s="17" t="n">
        <v>-16.24230676269531</v>
      </c>
      <c r="P321" s="17" t="n">
        <v>142.1931882324219</v>
      </c>
      <c r="Q321" s="18" t="n">
        <v>37.32327703928235</v>
      </c>
      <c r="R321" s="17" t="n">
        <v>87.55260253906249</v>
      </c>
      <c r="S321" s="17" t="n">
        <v>19.12279028320313</v>
      </c>
      <c r="T321" s="17" t="n">
        <v>200.0904965820313</v>
      </c>
      <c r="U321" s="19" t="n">
        <v>37.8132726857148</v>
      </c>
      <c r="V321" s="20">
        <f>IFERROR(BDP(E321&amp;" Corp","LAST_PRICE"),"--")</f>
        <v/>
      </c>
      <c r="W321" s="21">
        <f>IFERROR(BDP(E321&amp;" Corp","YAS_BENCHMARK_BOND_ISIN"),"--")</f>
        <v/>
      </c>
      <c r="X321" s="22">
        <f>IFERROR(BDP(W321&amp;" CORP","LAST_PRICE"),"--")</f>
        <v/>
      </c>
      <c r="Y321" s="23">
        <f>IFERROR(BDP(E321&amp;" Corp","YAS_YLD_SPREAD","YAS_BOND_PX="&amp;V321,"YAS_BNCHMRK_BOND_PX="&amp;X321),"--")</f>
        <v/>
      </c>
      <c r="Z321" s="23">
        <f>IFERROR(BDP(E321&amp;" Corp","BLOOMBERG_MID_G_SPREAD","YAS_BOND_PX="&amp;V321,"YAS_BNCHMRK_BOND_PX="&amp;X321),"--")</f>
        <v/>
      </c>
      <c r="AA321" s="23">
        <f>IFERROR(BDP(D321,"LAST_PRICE"),"--")</f>
        <v/>
      </c>
      <c r="AB321" s="24" t="n"/>
      <c r="AC321" s="23">
        <f>IFERROR(IF(ISBLANK(AB321),AA321,AB321),"--")</f>
        <v/>
      </c>
      <c r="AD321" s="23">
        <f>IFERROR(MAX(-500,MIN(500,AC321-Z321)),"--")</f>
        <v/>
      </c>
      <c r="AE321" s="25">
        <f>IFERROR((AD321-S321)/(T321-S321)*100,"--")</f>
        <v/>
      </c>
    </row>
    <row r="322">
      <c r="A322" s="26" t="inlineStr">
        <is>
          <t>OPALBD</t>
        </is>
      </c>
      <c r="B322" s="36" t="inlineStr">
        <is>
          <t>XO</t>
        </is>
      </c>
      <c r="C322" s="26" t="inlineStr">
        <is>
          <t>OPALBD 6 1/2 03/31/32</t>
        </is>
      </c>
      <c r="D322" s="27" t="inlineStr">
        <is>
          <t>CZ060818 Curncy</t>
        </is>
      </c>
      <c r="E322" s="27" t="inlineStr">
        <is>
          <t>USF6S35CAA17</t>
        </is>
      </c>
      <c r="F322" s="28" t="n">
        <v>46099</v>
      </c>
      <c r="G322" s="28" t="n">
        <v>46225</v>
      </c>
      <c r="H322" s="28" t="n">
        <v>48385</v>
      </c>
      <c r="I322" s="29" t="n">
        <v>224.0908050537109</v>
      </c>
      <c r="J322" s="29" t="n">
        <v>211.4154052734375</v>
      </c>
      <c r="K322" s="29" t="n">
        <v>180.126</v>
      </c>
      <c r="L322" s="29" t="n">
        <v>181.895</v>
      </c>
      <c r="M322" s="30" t="n">
        <v>88</v>
      </c>
      <c r="N322" s="31" t="n">
        <v>43.96480505371093</v>
      </c>
      <c r="O322" s="32" t="n">
        <v>9.726100463867198</v>
      </c>
      <c r="P322" s="32" t="n">
        <v>124.5404978027344</v>
      </c>
      <c r="Q322" s="33" t="n">
        <v>29.82091565467216</v>
      </c>
      <c r="R322" s="32" t="n">
        <v>31.2894052734375</v>
      </c>
      <c r="S322" s="32" t="n">
        <v>2.951902587890629</v>
      </c>
      <c r="T322" s="32" t="n">
        <v>114.3785903320313</v>
      </c>
      <c r="U322" s="34" t="n">
        <v>25.43152207002312</v>
      </c>
      <c r="V322" s="20">
        <f>IFERROR(BDP(E322&amp;" Corp","LAST_PRICE"),"--")</f>
        <v/>
      </c>
      <c r="W322" s="21">
        <f>IFERROR(BDP(E322&amp;" Corp","YAS_BENCHMARK_BOND_ISIN"),"--")</f>
        <v/>
      </c>
      <c r="X322" s="22">
        <f>IFERROR(BDP(W322&amp;" CORP","LAST_PRICE"),"--")</f>
        <v/>
      </c>
      <c r="Y322" s="23">
        <f>IFERROR(BDP(E322&amp;" Corp","YAS_YLD_SPREAD","YAS_BOND_PX="&amp;V322,"YAS_BNCHMRK_BOND_PX="&amp;X322),"--")</f>
        <v/>
      </c>
      <c r="Z322" s="23">
        <f>IFERROR(BDP(E322&amp;" Corp","BLOOMBERG_MID_G_SPREAD","YAS_BOND_PX="&amp;V322,"YAS_BNCHMRK_BOND_PX="&amp;X322),"--")</f>
        <v/>
      </c>
      <c r="AA322" s="23">
        <f>IFERROR(BDP(D322,"LAST_PRICE"),"--")</f>
        <v/>
      </c>
      <c r="AB322" s="24" t="n"/>
      <c r="AC322" s="23">
        <f>IFERROR(IF(ISBLANK(AB322),AA322,AB322),"--")</f>
        <v/>
      </c>
      <c r="AD322" s="23">
        <f>IFERROR(MAX(-500,MIN(500,AC322-Z322)),"--")</f>
        <v/>
      </c>
      <c r="AE322" s="25">
        <f>IFERROR((AD322-S322)/(T322-S322)*100,"--")</f>
        <v/>
      </c>
    </row>
    <row r="323">
      <c r="A323" s="11" t="inlineStr">
        <is>
          <t>PFDLN</t>
        </is>
      </c>
      <c r="B323" s="36" t="inlineStr">
        <is>
          <t>XO</t>
        </is>
      </c>
      <c r="C323" s="11" t="inlineStr">
        <is>
          <t>PFDLN 3 1/2 10/15/26</t>
        </is>
      </c>
      <c r="D323" s="12" t="inlineStr">
        <is>
          <t>PFDLN CDS EUR SR 5Y D14 Corp</t>
        </is>
      </c>
      <c r="E323" s="12" t="inlineStr">
        <is>
          <t>XS2347091279</t>
        </is>
      </c>
      <c r="F323" s="13" t="n">
        <v>45659</v>
      </c>
      <c r="G323" s="13" t="n">
        <v>46225</v>
      </c>
      <c r="H323" s="13" t="n">
        <v>46376</v>
      </c>
      <c r="I323" s="14" t="n">
        <v>48.8567008972168</v>
      </c>
      <c r="J323" s="14" t="n">
        <v>150.8755035400391</v>
      </c>
      <c r="K323" s="14" t="n">
        <v>49.076</v>
      </c>
      <c r="L323" s="14" t="n">
        <v>124.991</v>
      </c>
      <c r="M323" s="15" t="n">
        <v>393</v>
      </c>
      <c r="N323" s="16" t="n">
        <v>-0.2192991027832036</v>
      </c>
      <c r="O323" s="17" t="n">
        <v>-84.41289996337892</v>
      </c>
      <c r="P323" s="17" t="n">
        <v>117.635102355957</v>
      </c>
      <c r="Q323" s="18" t="n">
        <v>41.67009814208809</v>
      </c>
      <c r="R323" s="17" t="n">
        <v>101.7995035400391</v>
      </c>
      <c r="S323" s="17" t="n">
        <v>33.81849377441407</v>
      </c>
      <c r="T323" s="17" t="n">
        <v>283.8329958496093</v>
      </c>
      <c r="U323" s="19" t="n">
        <v>27.19082661260137</v>
      </c>
      <c r="V323" s="20">
        <f>IFERROR(BDP(E323&amp;" Corp","LAST_PRICE"),"--")</f>
        <v/>
      </c>
      <c r="W323" s="21">
        <f>IFERROR(BDP(E323&amp;" Corp","YAS_BENCHMARK_BOND_ISIN"),"--")</f>
        <v/>
      </c>
      <c r="X323" s="22">
        <f>IFERROR(BDP(W323&amp;" CORP","LAST_PRICE"),"--")</f>
        <v/>
      </c>
      <c r="Y323" s="23">
        <f>IFERROR(BDP(E323&amp;" Corp","YAS_YLD_SPREAD","YAS_BOND_PX="&amp;V323,"YAS_BNCHMRK_BOND_PX="&amp;X323),"--")</f>
        <v/>
      </c>
      <c r="Z323" s="23">
        <f>IFERROR(BDP(E323&amp;" Corp","BLOOMBERG_MID_G_SPREAD","YAS_BOND_PX="&amp;V323,"YAS_BNCHMRK_BOND_PX="&amp;X323),"--")</f>
        <v/>
      </c>
      <c r="AA323" s="23">
        <f>IFERROR(BDP(D323,"LAST_PRICE"),"--")</f>
        <v/>
      </c>
      <c r="AB323" s="24" t="n"/>
      <c r="AC323" s="23">
        <f>IFERROR(IF(ISBLANK(AB323),AA323,AB323),"--")</f>
        <v/>
      </c>
      <c r="AD323" s="23">
        <f>IFERROR(MAX(-500,MIN(500,AC323-Z323)),"--")</f>
        <v/>
      </c>
      <c r="AE323" s="25">
        <f>IFERROR((AD323-S323)/(T323-S323)*100,"--")</f>
        <v/>
      </c>
    </row>
    <row r="324">
      <c r="A324" s="26" t="inlineStr">
        <is>
          <t>PICSUR</t>
        </is>
      </c>
      <c r="B324" s="36" t="inlineStr">
        <is>
          <t>XO</t>
        </is>
      </c>
      <c r="C324" s="26" t="inlineStr">
        <is>
          <t>PICSUR 6 7/8 10/31/32</t>
        </is>
      </c>
      <c r="D324" s="27" t="inlineStr">
        <is>
          <t>PICSUR CDS EUR SR 5Y D14 Corp</t>
        </is>
      </c>
      <c r="E324" s="27" t="inlineStr">
        <is>
          <t>XS3222747266</t>
        </is>
      </c>
      <c r="F324" s="28" t="n">
        <v>45968</v>
      </c>
      <c r="G324" s="28" t="n">
        <v>46225</v>
      </c>
      <c r="H324" s="28" t="n">
        <v>48568</v>
      </c>
      <c r="I324" s="29" t="n">
        <v>171.2151031494141</v>
      </c>
      <c r="J324" s="29" t="n">
        <v>118.6587982177734</v>
      </c>
      <c r="K324" s="29" t="n">
        <v>353.934</v>
      </c>
      <c r="L324" s="29" t="n">
        <v>347.836</v>
      </c>
      <c r="M324" s="30" t="n">
        <v>178</v>
      </c>
      <c r="N324" s="31" t="n">
        <v>-182.718896850586</v>
      </c>
      <c r="O324" s="32" t="n">
        <v>-316.8206951904297</v>
      </c>
      <c r="P324" s="32" t="n">
        <v>-168.7636064453125</v>
      </c>
      <c r="Q324" s="33" t="n">
        <v>90.57438551334903</v>
      </c>
      <c r="R324" s="32" t="n">
        <v>-235.2752017822266</v>
      </c>
      <c r="S324" s="32" t="n">
        <v>-346.826401977539</v>
      </c>
      <c r="T324" s="32" t="n">
        <v>-228.4079851074219</v>
      </c>
      <c r="U324" s="34" t="n">
        <v>94.20088795618949</v>
      </c>
      <c r="V324" s="20">
        <f>IFERROR(BDP(E324&amp;" Corp","LAST_PRICE"),"--")</f>
        <v/>
      </c>
      <c r="W324" s="21">
        <f>IFERROR(BDP(E324&amp;" Corp","YAS_BENCHMARK_BOND_ISIN"),"--")</f>
        <v/>
      </c>
      <c r="X324" s="22">
        <f>IFERROR(BDP(W324&amp;" CORP","LAST_PRICE"),"--")</f>
        <v/>
      </c>
      <c r="Y324" s="23">
        <f>IFERROR(BDP(E324&amp;" Corp","YAS_YLD_SPREAD","YAS_BOND_PX="&amp;V324,"YAS_BNCHMRK_BOND_PX="&amp;X324),"--")</f>
        <v/>
      </c>
      <c r="Z324" s="23">
        <f>IFERROR(BDP(E324&amp;" Corp","BLOOMBERG_MID_G_SPREAD","YAS_BOND_PX="&amp;V324,"YAS_BNCHMRK_BOND_PX="&amp;X324),"--")</f>
        <v/>
      </c>
      <c r="AA324" s="23">
        <f>IFERROR(BDP(D324,"LAST_PRICE"),"--")</f>
        <v/>
      </c>
      <c r="AB324" s="24" t="n"/>
      <c r="AC324" s="23">
        <f>IFERROR(IF(ISBLANK(AB324),AA324,AB324),"--")</f>
        <v/>
      </c>
      <c r="AD324" s="23">
        <f>IFERROR(MAX(-500,MIN(500,AC324-Z324)),"--")</f>
        <v/>
      </c>
      <c r="AE324" s="25">
        <f>IFERROR((AD324-S324)/(T324-S324)*100,"--")</f>
        <v/>
      </c>
    </row>
    <row r="325">
      <c r="A325" s="11" t="inlineStr">
        <is>
          <t>PPCGA</t>
        </is>
      </c>
      <c r="B325" s="36" t="inlineStr">
        <is>
          <t>XO</t>
        </is>
      </c>
      <c r="C325" s="11" t="inlineStr">
        <is>
          <t>PPCGA 4 5/8 10/31/31</t>
        </is>
      </c>
      <c r="D325" s="12" t="inlineStr">
        <is>
          <t>PPCGA A CDS EUR SR 5Y D14 Corp</t>
        </is>
      </c>
      <c r="E325" s="12" t="inlineStr">
        <is>
          <t>XS2929387996</t>
        </is>
      </c>
      <c r="F325" s="13" t="n">
        <v>45733</v>
      </c>
      <c r="G325" s="13" t="n">
        <v>46225</v>
      </c>
      <c r="H325" s="13" t="n">
        <v>48202</v>
      </c>
      <c r="I325" s="14" t="n">
        <v>188.7286987304688</v>
      </c>
      <c r="J325" s="14" t="n">
        <v>175.1616973876953</v>
      </c>
      <c r="K325" s="14" t="n">
        <v>138.584</v>
      </c>
      <c r="L325" s="14" t="n">
        <v>129.826</v>
      </c>
      <c r="M325" s="15" t="n">
        <v>344</v>
      </c>
      <c r="N325" s="16" t="n">
        <v>50.14469873046875</v>
      </c>
      <c r="O325" s="17" t="n">
        <v>-33.25719360351565</v>
      </c>
      <c r="P325" s="17" t="n">
        <v>105.530607421875</v>
      </c>
      <c r="Q325" s="18" t="n">
        <v>60.09310019886141</v>
      </c>
      <c r="R325" s="17" t="n">
        <v>36.57769738769531</v>
      </c>
      <c r="S325" s="17" t="n">
        <v>-36.83130554199221</v>
      </c>
      <c r="T325" s="17" t="n">
        <v>93.75550671386719</v>
      </c>
      <c r="U325" s="19" t="n">
        <v>56.21471392215079</v>
      </c>
      <c r="V325" s="20">
        <f>IFERROR(BDP(E325&amp;" Corp","LAST_PRICE"),"--")</f>
        <v/>
      </c>
      <c r="W325" s="21">
        <f>IFERROR(BDP(E325&amp;" Corp","YAS_BENCHMARK_BOND_ISIN"),"--")</f>
        <v/>
      </c>
      <c r="X325" s="22">
        <f>IFERROR(BDP(W325&amp;" CORP","LAST_PRICE"),"--")</f>
        <v/>
      </c>
      <c r="Y325" s="23">
        <f>IFERROR(BDP(E325&amp;" Corp","YAS_YLD_SPREAD","YAS_BOND_PX="&amp;V325,"YAS_BNCHMRK_BOND_PX="&amp;X325),"--")</f>
        <v/>
      </c>
      <c r="Z325" s="23">
        <f>IFERROR(BDP(E325&amp;" Corp","BLOOMBERG_MID_G_SPREAD","YAS_BOND_PX="&amp;V325,"YAS_BNCHMRK_BOND_PX="&amp;X325),"--")</f>
        <v/>
      </c>
      <c r="AA325" s="23">
        <f>IFERROR(BDP(D325,"LAST_PRICE"),"--")</f>
        <v/>
      </c>
      <c r="AB325" s="24" t="n"/>
      <c r="AC325" s="23">
        <f>IFERROR(IF(ISBLANK(AB325),AA325,AB325),"--")</f>
        <v/>
      </c>
      <c r="AD325" s="23">
        <f>IFERROR(MAX(-500,MIN(500,AC325-Z325)),"--")</f>
        <v/>
      </c>
      <c r="AE325" s="25">
        <f>IFERROR((AD325-S325)/(T325-S325)*100,"--")</f>
        <v/>
      </c>
    </row>
    <row r="326">
      <c r="A326" s="26" t="inlineStr">
        <is>
          <t>QPARKH</t>
        </is>
      </c>
      <c r="B326" s="36" t="inlineStr">
        <is>
          <t>XO</t>
        </is>
      </c>
      <c r="C326" s="26" t="inlineStr">
        <is>
          <t>QPARKH 3 7/8 09/01/31</t>
        </is>
      </c>
      <c r="D326" s="27" t="inlineStr">
        <is>
          <t>QPARKH CDS EUR SR 5Y D14 Corp</t>
        </is>
      </c>
      <c r="E326" s="27" t="inlineStr">
        <is>
          <t>XS3262575320</t>
        </is>
      </c>
      <c r="F326" s="28" t="n">
        <v>46037</v>
      </c>
      <c r="G326" s="28" t="n">
        <v>46225</v>
      </c>
      <c r="H326" s="28" t="n">
        <v>48202</v>
      </c>
      <c r="I326" s="29" t="n">
        <v>157.3365936279297</v>
      </c>
      <c r="J326" s="29" t="n">
        <v>148.5325927734375</v>
      </c>
      <c r="K326" s="29" t="n">
        <v>128.228</v>
      </c>
      <c r="L326" s="29" t="n">
        <v>129.698</v>
      </c>
      <c r="M326" s="30" t="n">
        <v>132</v>
      </c>
      <c r="N326" s="31" t="n">
        <v>29.10859362792968</v>
      </c>
      <c r="O326" s="32" t="n">
        <v>3.013896240234374</v>
      </c>
      <c r="P326" s="32" t="n">
        <v>58.14650390624999</v>
      </c>
      <c r="Q326" s="33" t="n">
        <v>47.33078751829179</v>
      </c>
      <c r="R326" s="32" t="n">
        <v>20.30459277343749</v>
      </c>
      <c r="S326" s="32" t="n">
        <v>-6.985905395507814</v>
      </c>
      <c r="T326" s="32" t="n">
        <v>43.46379650878907</v>
      </c>
      <c r="U326" s="34" t="n">
        <v>54.0944686268224</v>
      </c>
      <c r="V326" s="20">
        <f>IFERROR(BDP(E326&amp;" Corp","LAST_PRICE"),"--")</f>
        <v/>
      </c>
      <c r="W326" s="21">
        <f>IFERROR(BDP(E326&amp;" Corp","YAS_BENCHMARK_BOND_ISIN"),"--")</f>
        <v/>
      </c>
      <c r="X326" s="22">
        <f>IFERROR(BDP(W326&amp;" CORP","LAST_PRICE"),"--")</f>
        <v/>
      </c>
      <c r="Y326" s="23">
        <f>IFERROR(BDP(E326&amp;" Corp","YAS_YLD_SPREAD","YAS_BOND_PX="&amp;V326,"YAS_BNCHMRK_BOND_PX="&amp;X326),"--")</f>
        <v/>
      </c>
      <c r="Z326" s="23">
        <f>IFERROR(BDP(E326&amp;" Corp","BLOOMBERG_MID_G_SPREAD","YAS_BOND_PX="&amp;V326,"YAS_BNCHMRK_BOND_PX="&amp;X326),"--")</f>
        <v/>
      </c>
      <c r="AA326" s="23">
        <f>IFERROR(BDP(D326,"LAST_PRICE"),"--")</f>
        <v/>
      </c>
      <c r="AB326" s="24" t="n"/>
      <c r="AC326" s="23">
        <f>IFERROR(IF(ISBLANK(AB326),AA326,AB326),"--")</f>
        <v/>
      </c>
      <c r="AD326" s="23">
        <f>IFERROR(MAX(-500,MIN(500,AC326-Z326)),"--")</f>
        <v/>
      </c>
      <c r="AE326" s="25">
        <f>IFERROR((AD326-S326)/(T326-S326)*100,"--")</f>
        <v/>
      </c>
    </row>
    <row r="327">
      <c r="A327" s="11" t="inlineStr">
        <is>
          <t>RENAUL</t>
        </is>
      </c>
      <c r="B327" s="36" t="inlineStr">
        <is>
          <t>XO</t>
        </is>
      </c>
      <c r="C327" s="11" t="inlineStr">
        <is>
          <t>RENAUL 3 7/8 09/30/30</t>
        </is>
      </c>
      <c r="D327" s="12" t="inlineStr">
        <is>
          <t>RENAULT CDS EUR SR 5Y D14 Corp</t>
        </is>
      </c>
      <c r="E327" s="12" t="inlineStr">
        <is>
          <t>FR0014010DR1</t>
        </is>
      </c>
      <c r="F327" s="13" t="n">
        <v>45924</v>
      </c>
      <c r="G327" s="13" t="n">
        <v>46225</v>
      </c>
      <c r="H327" s="13" t="n">
        <v>47837</v>
      </c>
      <c r="I327" s="14" t="n">
        <v>106.6331024169922</v>
      </c>
      <c r="J327" s="14" t="n">
        <v>120.6968002319336</v>
      </c>
      <c r="K327" s="14" t="n">
        <v>116.688</v>
      </c>
      <c r="L327" s="14" t="n">
        <v>120.433</v>
      </c>
      <c r="M327" s="15" t="n">
        <v>210</v>
      </c>
      <c r="N327" s="16" t="n">
        <v>-10.05489758300781</v>
      </c>
      <c r="O327" s="17" t="n">
        <v>-56.66589624023439</v>
      </c>
      <c r="P327" s="17" t="n">
        <v>-5.20799835205078</v>
      </c>
      <c r="Q327" s="18" t="n">
        <v>90.58084486566243</v>
      </c>
      <c r="R327" s="17" t="n">
        <v>4.008800231933591</v>
      </c>
      <c r="S327" s="17" t="n">
        <v>-41.38870507812501</v>
      </c>
      <c r="T327" s="17" t="n">
        <v>12.37050048828125</v>
      </c>
      <c r="U327" s="19" t="n">
        <v>84.44601223502301</v>
      </c>
      <c r="V327" s="20">
        <f>IFERROR(BDP(E327&amp;" Corp","LAST_PRICE"),"--")</f>
        <v/>
      </c>
      <c r="W327" s="21">
        <f>IFERROR(BDP(E327&amp;" Corp","YAS_BENCHMARK_BOND_ISIN"),"--")</f>
        <v/>
      </c>
      <c r="X327" s="22">
        <f>IFERROR(BDP(W327&amp;" CORP","LAST_PRICE"),"--")</f>
        <v/>
      </c>
      <c r="Y327" s="23">
        <f>IFERROR(BDP(E327&amp;" Corp","YAS_YLD_SPREAD","YAS_BOND_PX="&amp;V327,"YAS_BNCHMRK_BOND_PX="&amp;X327),"--")</f>
        <v/>
      </c>
      <c r="Z327" s="23">
        <f>IFERROR(BDP(E327&amp;" Corp","BLOOMBERG_MID_G_SPREAD","YAS_BOND_PX="&amp;V327,"YAS_BNCHMRK_BOND_PX="&amp;X327),"--")</f>
        <v/>
      </c>
      <c r="AA327" s="23">
        <f>IFERROR(BDP(D327,"LAST_PRICE"),"--")</f>
        <v/>
      </c>
      <c r="AB327" s="24" t="n"/>
      <c r="AC327" s="23">
        <f>IFERROR(IF(ISBLANK(AB327),AA327,AB327),"--")</f>
        <v/>
      </c>
      <c r="AD327" s="23">
        <f>IFERROR(MAX(-500,MIN(500,AC327-Z327)),"--")</f>
        <v/>
      </c>
      <c r="AE327" s="25">
        <f>IFERROR((AD327-S327)/(T327-S327)*100,"--")</f>
        <v/>
      </c>
    </row>
    <row r="328">
      <c r="A328" s="26" t="inlineStr">
        <is>
          <t>RXLFP</t>
        </is>
      </c>
      <c r="B328" s="36" t="inlineStr">
        <is>
          <t>XO</t>
        </is>
      </c>
      <c r="C328" s="26" t="inlineStr">
        <is>
          <t>RXLFP 5 1/4 09/15/30</t>
        </is>
      </c>
      <c r="D328" s="27" t="inlineStr">
        <is>
          <t>RXLFP CDS EUR SR 5Y D14 Corp</t>
        </is>
      </c>
      <c r="E328" s="27" t="inlineStr">
        <is>
          <t>XS2655993033</t>
        </is>
      </c>
      <c r="F328" s="28" t="n">
        <v>45659</v>
      </c>
      <c r="G328" s="28" t="n">
        <v>46225</v>
      </c>
      <c r="H328" s="28" t="n">
        <v>47837</v>
      </c>
      <c r="I328" s="29" t="n">
        <v>93.16590118408203</v>
      </c>
      <c r="J328" s="29" t="n">
        <v>105.5291976928711</v>
      </c>
      <c r="K328" s="29" t="n">
        <v>103.958</v>
      </c>
      <c r="L328" s="29" t="n">
        <v>-21.048</v>
      </c>
      <c r="M328" s="30" t="n">
        <v>396</v>
      </c>
      <c r="N328" s="31" t="n">
        <v>-10.79209881591797</v>
      </c>
      <c r="O328" s="32" t="n">
        <v>-85.53769689941407</v>
      </c>
      <c r="P328" s="32" t="n">
        <v>87.7089033203125</v>
      </c>
      <c r="Q328" s="33" t="n">
        <v>43.14404899645774</v>
      </c>
      <c r="R328" s="32" t="n">
        <v>1.571197692871095</v>
      </c>
      <c r="S328" s="32" t="n">
        <v>-69.5474930419922</v>
      </c>
      <c r="T328" s="32" t="n">
        <v>100.2179975585938</v>
      </c>
      <c r="U328" s="34" t="n">
        <v>41.89231302737909</v>
      </c>
      <c r="V328" s="20">
        <f>IFERROR(BDP(E328&amp;" Corp","LAST_PRICE"),"--")</f>
        <v/>
      </c>
      <c r="W328" s="21">
        <f>IFERROR(BDP(E328&amp;" Corp","YAS_BENCHMARK_BOND_ISIN"),"--")</f>
        <v/>
      </c>
      <c r="X328" s="22">
        <f>IFERROR(BDP(W328&amp;" CORP","LAST_PRICE"),"--")</f>
        <v/>
      </c>
      <c r="Y328" s="23">
        <f>IFERROR(BDP(E328&amp;" Corp","YAS_YLD_SPREAD","YAS_BOND_PX="&amp;V328,"YAS_BNCHMRK_BOND_PX="&amp;X328),"--")</f>
        <v/>
      </c>
      <c r="Z328" s="23">
        <f>IFERROR(BDP(E328&amp;" Corp","BLOOMBERG_MID_G_SPREAD","YAS_BOND_PX="&amp;V328,"YAS_BNCHMRK_BOND_PX="&amp;X328),"--")</f>
        <v/>
      </c>
      <c r="AA328" s="23">
        <f>IFERROR(BDP(D328,"LAST_PRICE"),"--")</f>
        <v/>
      </c>
      <c r="AB328" s="24" t="n"/>
      <c r="AC328" s="23">
        <f>IFERROR(IF(ISBLANK(AB328),AA328,AB328),"--")</f>
        <v/>
      </c>
      <c r="AD328" s="23">
        <f>IFERROR(MAX(-500,MIN(500,AC328-Z328)),"--")</f>
        <v/>
      </c>
      <c r="AE328" s="25">
        <f>IFERROR((AD328-S328)/(T328-S328)*100,"--")</f>
        <v/>
      </c>
    </row>
    <row r="329">
      <c r="A329" s="11" t="inlineStr">
        <is>
          <t>SAZGR</t>
        </is>
      </c>
      <c r="B329" s="36" t="inlineStr">
        <is>
          <t>XO</t>
        </is>
      </c>
      <c r="C329" s="11" t="inlineStr">
        <is>
          <t>SAZGR 5 5/8 02/21/30</t>
        </is>
      </c>
      <c r="D329" s="12" t="inlineStr">
        <is>
          <t>SAZGR CDS EUR SR 5Y D14 Corp</t>
        </is>
      </c>
      <c r="E329" s="12" t="inlineStr">
        <is>
          <t>XS2920589699</t>
        </is>
      </c>
      <c r="F329" s="13" t="n">
        <v>45659</v>
      </c>
      <c r="G329" s="13" t="n">
        <v>46225</v>
      </c>
      <c r="H329" s="13" t="n">
        <v>47654</v>
      </c>
      <c r="I329" s="14" t="n">
        <v>238.3708038330078</v>
      </c>
      <c r="J329" s="14" t="n">
        <v>275.6666870117188</v>
      </c>
      <c r="K329" s="14" t="n">
        <v>221.206</v>
      </c>
      <c r="L329" s="14" t="n">
        <v>227.263</v>
      </c>
      <c r="M329" s="15" t="n">
        <v>396</v>
      </c>
      <c r="N329" s="16" t="n">
        <v>17.16480383300782</v>
      </c>
      <c r="O329" s="17" t="n">
        <v>-96.06339819335938</v>
      </c>
      <c r="P329" s="17" t="n">
        <v>207.5983986816406</v>
      </c>
      <c r="Q329" s="18" t="n">
        <v>37.28760192806759</v>
      </c>
      <c r="R329" s="17" t="n">
        <v>54.46068701171876</v>
      </c>
      <c r="S329" s="17" t="n">
        <v>-82.56410009765625</v>
      </c>
      <c r="T329" s="17" t="n">
        <v>232.4505104980469</v>
      </c>
      <c r="U329" s="19" t="n">
        <v>43.49791485869706</v>
      </c>
      <c r="V329" s="20">
        <f>IFERROR(BDP(E329&amp;" Corp","LAST_PRICE"),"--")</f>
        <v/>
      </c>
      <c r="W329" s="21">
        <f>IFERROR(BDP(E329&amp;" Corp","YAS_BENCHMARK_BOND_ISIN"),"--")</f>
        <v/>
      </c>
      <c r="X329" s="22">
        <f>IFERROR(BDP(W329&amp;" CORP","LAST_PRICE"),"--")</f>
        <v/>
      </c>
      <c r="Y329" s="23">
        <f>IFERROR(BDP(E329&amp;" Corp","YAS_YLD_SPREAD","YAS_BOND_PX="&amp;V329,"YAS_BNCHMRK_BOND_PX="&amp;X329),"--")</f>
        <v/>
      </c>
      <c r="Z329" s="23">
        <f>IFERROR(BDP(E329&amp;" Corp","BLOOMBERG_MID_G_SPREAD","YAS_BOND_PX="&amp;V329,"YAS_BNCHMRK_BOND_PX="&amp;X329),"--")</f>
        <v/>
      </c>
      <c r="AA329" s="23">
        <f>IFERROR(BDP(D329,"LAST_PRICE"),"--")</f>
        <v/>
      </c>
      <c r="AB329" s="24" t="n"/>
      <c r="AC329" s="23">
        <f>IFERROR(IF(ISBLANK(AB329),AA329,AB329),"--")</f>
        <v/>
      </c>
      <c r="AD329" s="23">
        <f>IFERROR(MAX(-500,MIN(500,AC329-Z329)),"--")</f>
        <v/>
      </c>
      <c r="AE329" s="25">
        <f>IFERROR((AD329-S329)/(T329-S329)*100,"--")</f>
        <v/>
      </c>
    </row>
    <row r="330">
      <c r="A330" s="26" t="inlineStr">
        <is>
          <t>SAZKAG</t>
        </is>
      </c>
      <c r="B330" s="36" t="inlineStr">
        <is>
          <t>XO</t>
        </is>
      </c>
      <c r="C330" s="26" t="inlineStr">
        <is>
          <t>SAZKAG 4 5/8 08/15/31</t>
        </is>
      </c>
      <c r="D330" s="27" t="inlineStr">
        <is>
          <t>SAZKAG CDS EUR SR 5Y D14 Corp</t>
        </is>
      </c>
      <c r="E330" s="27" t="inlineStr">
        <is>
          <t>XS3291732918</t>
        </is>
      </c>
      <c r="F330" s="28" t="n">
        <v>46069</v>
      </c>
      <c r="G330" s="28" t="n">
        <v>46225</v>
      </c>
      <c r="H330" s="28" t="n">
        <v>48202</v>
      </c>
      <c r="I330" s="29" t="n">
        <v>212.2557983398438</v>
      </c>
      <c r="J330" s="29" t="n">
        <v>181.0836029052734</v>
      </c>
      <c r="K330" s="29" t="n">
        <v>182.726</v>
      </c>
      <c r="L330" s="29" t="n">
        <v>185.353</v>
      </c>
      <c r="M330" s="30" t="n">
        <v>109</v>
      </c>
      <c r="N330" s="31" t="n">
        <v>29.52979833984375</v>
      </c>
      <c r="O330" s="32" t="n">
        <v>4.543185058593735</v>
      </c>
      <c r="P330" s="32" t="n">
        <v>113.268509765625</v>
      </c>
      <c r="Q330" s="33" t="n">
        <v>22.98141058541638</v>
      </c>
      <c r="R330" s="32" t="n">
        <v>-1.642397094726562</v>
      </c>
      <c r="S330" s="32" t="n">
        <v>-20.89600292968751</v>
      </c>
      <c r="T330" s="32" t="n">
        <v>73.2866953125</v>
      </c>
      <c r="U330" s="34" t="n">
        <v>20.44282675513392</v>
      </c>
      <c r="V330" s="20">
        <f>IFERROR(BDP(E330&amp;" Corp","LAST_PRICE"),"--")</f>
        <v/>
      </c>
      <c r="W330" s="21">
        <f>IFERROR(BDP(E330&amp;" Corp","YAS_BENCHMARK_BOND_ISIN"),"--")</f>
        <v/>
      </c>
      <c r="X330" s="22">
        <f>IFERROR(BDP(W330&amp;" CORP","LAST_PRICE"),"--")</f>
        <v/>
      </c>
      <c r="Y330" s="23">
        <f>IFERROR(BDP(E330&amp;" Corp","YAS_YLD_SPREAD","YAS_BOND_PX="&amp;V330,"YAS_BNCHMRK_BOND_PX="&amp;X330),"--")</f>
        <v/>
      </c>
      <c r="Z330" s="23">
        <f>IFERROR(BDP(E330&amp;" Corp","BLOOMBERG_MID_G_SPREAD","YAS_BOND_PX="&amp;V330,"YAS_BNCHMRK_BOND_PX="&amp;X330),"--")</f>
        <v/>
      </c>
      <c r="AA330" s="23">
        <f>IFERROR(BDP(D330,"LAST_PRICE"),"--")</f>
        <v/>
      </c>
      <c r="AB330" s="24" t="n"/>
      <c r="AC330" s="23">
        <f>IFERROR(IF(ISBLANK(AB330),AA330,AB330),"--")</f>
        <v/>
      </c>
      <c r="AD330" s="23">
        <f>IFERROR(MAX(-500,MIN(500,AC330-Z330)),"--")</f>
        <v/>
      </c>
      <c r="AE330" s="25">
        <f>IFERROR((AD330-S330)/(T330-S330)*100,"--")</f>
        <v/>
      </c>
    </row>
    <row r="331">
      <c r="A331" s="11" t="inlineStr">
        <is>
          <t>SBBBSS</t>
        </is>
      </c>
      <c r="B331" s="36" t="inlineStr">
        <is>
          <t>XO</t>
        </is>
      </c>
      <c r="C331" s="11" t="inlineStr">
        <is>
          <t>SBBBSS 1 1/8 09/26/29</t>
        </is>
      </c>
      <c r="D331" s="12" t="inlineStr">
        <is>
          <t>SBBBSS CDS EUR SR 5Y D14 Corp</t>
        </is>
      </c>
      <c r="E331" s="12" t="inlineStr">
        <is>
          <t>XS2962827072</t>
        </is>
      </c>
      <c r="F331" s="13" t="n">
        <v>45659</v>
      </c>
      <c r="G331" s="13" t="n">
        <v>46225</v>
      </c>
      <c r="H331" s="13" t="n">
        <v>47472</v>
      </c>
      <c r="I331" s="14" t="n">
        <v>448.0213928222656</v>
      </c>
      <c r="J331" s="14" t="n">
        <v>500.2029113769531</v>
      </c>
      <c r="K331" s="14" t="n">
        <v>368.461</v>
      </c>
      <c r="L331" s="14" t="n">
        <v>372.143</v>
      </c>
      <c r="M331" s="15" t="n">
        <v>396</v>
      </c>
      <c r="N331" s="16" t="n">
        <v>79.56039282226561</v>
      </c>
      <c r="O331" s="17" t="n">
        <v>-8.59400927734373</v>
      </c>
      <c r="P331" s="17" t="n">
        <v>590.3461416015625</v>
      </c>
      <c r="Q331" s="18" t="n">
        <v>14.71839915394692</v>
      </c>
      <c r="R331" s="17" t="n">
        <v>131.7419113769531</v>
      </c>
      <c r="S331" s="17" t="n">
        <v>19.42791943359373</v>
      </c>
      <c r="T331" s="17" t="n">
        <v>540.359447265625</v>
      </c>
      <c r="U331" s="19" t="n">
        <v>21.56022163042775</v>
      </c>
      <c r="V331" s="20">
        <f>IFERROR(BDP(E331&amp;" Corp","LAST_PRICE"),"--")</f>
        <v/>
      </c>
      <c r="W331" s="21">
        <f>IFERROR(BDP(E331&amp;" Corp","YAS_BENCHMARK_BOND_ISIN"),"--")</f>
        <v/>
      </c>
      <c r="X331" s="22">
        <f>IFERROR(BDP(W331&amp;" CORP","LAST_PRICE"),"--")</f>
        <v/>
      </c>
      <c r="Y331" s="23">
        <f>IFERROR(BDP(E331&amp;" Corp","YAS_YLD_SPREAD","YAS_BOND_PX="&amp;V331,"YAS_BNCHMRK_BOND_PX="&amp;X331),"--")</f>
        <v/>
      </c>
      <c r="Z331" s="23">
        <f>IFERROR(BDP(E331&amp;" Corp","BLOOMBERG_MID_G_SPREAD","YAS_BOND_PX="&amp;V331,"YAS_BNCHMRK_BOND_PX="&amp;X331),"--")</f>
        <v/>
      </c>
      <c r="AA331" s="23">
        <f>IFERROR(BDP(D331,"LAST_PRICE"),"--")</f>
        <v/>
      </c>
      <c r="AB331" s="24" t="n"/>
      <c r="AC331" s="23">
        <f>IFERROR(IF(ISBLANK(AB331),AA331,AB331),"--")</f>
        <v/>
      </c>
      <c r="AD331" s="23">
        <f>IFERROR(MAX(-500,MIN(500,AC331-Z331)),"--")</f>
        <v/>
      </c>
      <c r="AE331" s="25">
        <f>IFERROR((AD331-S331)/(T331-S331)*100,"--")</f>
        <v/>
      </c>
    </row>
    <row r="332">
      <c r="A332" s="26" t="inlineStr">
        <is>
          <t>SESGFP</t>
        </is>
      </c>
      <c r="B332" s="36" t="inlineStr">
        <is>
          <t>XO</t>
        </is>
      </c>
      <c r="C332" s="26" t="inlineStr">
        <is>
          <t>SESGFP 4 7/8 06/24/33</t>
        </is>
      </c>
      <c r="D332" s="27" t="inlineStr">
        <is>
          <t>SESGFP CDS EUR SR 5Y D14 Corp</t>
        </is>
      </c>
      <c r="E332" s="27" t="inlineStr">
        <is>
          <t>XS3100773996</t>
        </is>
      </c>
      <c r="F332" s="28" t="n">
        <v>45827</v>
      </c>
      <c r="G332" s="28" t="n">
        <v>46225</v>
      </c>
      <c r="H332" s="28" t="n">
        <v>48933</v>
      </c>
      <c r="I332" s="29" t="n">
        <v>254.1096954345703</v>
      </c>
      <c r="J332" s="29" t="n">
        <v>173.6741027832031</v>
      </c>
      <c r="K332" s="29" t="n">
        <v>187.084</v>
      </c>
      <c r="L332" s="29" t="n">
        <v>184.38</v>
      </c>
      <c r="M332" s="30" t="n">
        <v>279</v>
      </c>
      <c r="N332" s="31" t="n">
        <v>67.02569543457031</v>
      </c>
      <c r="O332" s="32" t="n">
        <v>46.38439453125</v>
      </c>
      <c r="P332" s="32" t="n">
        <v>116.5509074707031</v>
      </c>
      <c r="Q332" s="33" t="n">
        <v>29.41759542922098</v>
      </c>
      <c r="R332" s="32" t="n">
        <v>-13.40989721679688</v>
      </c>
      <c r="S332" s="32" t="n">
        <v>-34.25820349121093</v>
      </c>
      <c r="T332" s="32" t="n">
        <v>66.68921313476562</v>
      </c>
      <c r="U332" s="34" t="n">
        <v>20.65263973189108</v>
      </c>
      <c r="V332" s="20">
        <f>IFERROR(BDP(E332&amp;" Corp","LAST_PRICE"),"--")</f>
        <v/>
      </c>
      <c r="W332" s="21">
        <f>IFERROR(BDP(E332&amp;" Corp","YAS_BENCHMARK_BOND_ISIN"),"--")</f>
        <v/>
      </c>
      <c r="X332" s="22">
        <f>IFERROR(BDP(W332&amp;" CORP","LAST_PRICE"),"--")</f>
        <v/>
      </c>
      <c r="Y332" s="23">
        <f>IFERROR(BDP(E332&amp;" Corp","YAS_YLD_SPREAD","YAS_BOND_PX="&amp;V332,"YAS_BNCHMRK_BOND_PX="&amp;X332),"--")</f>
        <v/>
      </c>
      <c r="Z332" s="23">
        <f>IFERROR(BDP(E332&amp;" Corp","BLOOMBERG_MID_G_SPREAD","YAS_BOND_PX="&amp;V332,"YAS_BNCHMRK_BOND_PX="&amp;X332),"--")</f>
        <v/>
      </c>
      <c r="AA332" s="23">
        <f>IFERROR(BDP(D332,"LAST_PRICE"),"--")</f>
        <v/>
      </c>
      <c r="AB332" s="24" t="n"/>
      <c r="AC332" s="23">
        <f>IFERROR(IF(ISBLANK(AB332),AA332,AB332),"--")</f>
        <v/>
      </c>
      <c r="AD332" s="23">
        <f>IFERROR(MAX(-500,MIN(500,AC332-Z332)),"--")</f>
        <v/>
      </c>
      <c r="AE332" s="25">
        <f>IFERROR((AD332-S332)/(T332-S332)*100,"--")</f>
        <v/>
      </c>
    </row>
    <row r="333">
      <c r="A333" s="11" t="inlineStr">
        <is>
          <t>SHAEFF</t>
        </is>
      </c>
      <c r="B333" s="36" t="inlineStr">
        <is>
          <t>XO</t>
        </is>
      </c>
      <c r="C333" s="11" t="inlineStr">
        <is>
          <t>SHAEFF 5 3/8 04/01/31</t>
        </is>
      </c>
      <c r="D333" s="12" t="inlineStr">
        <is>
          <t>SCHAAG CDS EUR SR 5Y D14 Corp</t>
        </is>
      </c>
      <c r="E333" s="12" t="inlineStr">
        <is>
          <t>DE000A4DFLQ6</t>
        </is>
      </c>
      <c r="F333" s="13" t="n">
        <v>45743</v>
      </c>
      <c r="G333" s="13" t="n">
        <v>46225</v>
      </c>
      <c r="H333" s="13" t="n">
        <v>48019</v>
      </c>
      <c r="I333" s="14" t="n">
        <v>159.1779022216797</v>
      </c>
      <c r="J333" s="14" t="n">
        <v>159.1779022216797</v>
      </c>
      <c r="K333" s="14" t="n">
        <v>143.732</v>
      </c>
      <c r="L333" s="14" t="n">
        <v>149.997</v>
      </c>
      <c r="M333" s="15" t="n">
        <v>336</v>
      </c>
      <c r="N333" s="16" t="n">
        <v>15.44590222167969</v>
      </c>
      <c r="O333" s="17" t="n">
        <v>-29.3741964111328</v>
      </c>
      <c r="P333" s="17" t="n">
        <v>57.06198950195312</v>
      </c>
      <c r="Q333" s="18" t="n">
        <v>51.85339699958579</v>
      </c>
      <c r="R333" s="17" t="n">
        <v>15.44590222167969</v>
      </c>
      <c r="S333" s="17" t="n">
        <v>-29.3741964111328</v>
      </c>
      <c r="T333" s="17" t="n">
        <v>57.06198950195312</v>
      </c>
      <c r="U333" s="19" t="n">
        <v>51.85339699958579</v>
      </c>
      <c r="V333" s="20">
        <f>IFERROR(BDP(E333&amp;" Corp","LAST_PRICE"),"--")</f>
        <v/>
      </c>
      <c r="W333" s="21">
        <f>IFERROR(BDP(E333&amp;" Corp","YAS_BENCHMARK_BOND_ISIN"),"--")</f>
        <v/>
      </c>
      <c r="X333" s="22">
        <f>IFERROR(BDP(W333&amp;" CORP","LAST_PRICE"),"--")</f>
        <v/>
      </c>
      <c r="Y333" s="23">
        <f>IFERROR(BDP(E333&amp;" Corp","YAS_YLD_SPREAD","YAS_BOND_PX="&amp;V333,"YAS_BNCHMRK_BOND_PX="&amp;X333),"--")</f>
        <v/>
      </c>
      <c r="Z333" s="23">
        <f>IFERROR(BDP(E333&amp;" Corp","BLOOMBERG_MID_G_SPREAD","YAS_BOND_PX="&amp;V333,"YAS_BNCHMRK_BOND_PX="&amp;X333),"--")</f>
        <v/>
      </c>
      <c r="AA333" s="23">
        <f>IFERROR(BDP(D333,"LAST_PRICE"),"--")</f>
        <v/>
      </c>
      <c r="AB333" s="24" t="n"/>
      <c r="AC333" s="23">
        <f>IFERROR(IF(ISBLANK(AB333),AA333,AB333),"--")</f>
        <v/>
      </c>
      <c r="AD333" s="23">
        <f>IFERROR(MAX(-500,MIN(500,AC333-Z333)),"--")</f>
        <v/>
      </c>
      <c r="AE333" s="25">
        <f>IFERROR((AD333-S333)/(T333-S333)*100,"--")</f>
        <v/>
      </c>
    </row>
    <row r="334">
      <c r="A334" s="26" t="inlineStr">
        <is>
          <t>SPMIM</t>
        </is>
      </c>
      <c r="B334" s="36" t="inlineStr">
        <is>
          <t>XO</t>
        </is>
      </c>
      <c r="C334" s="26" t="inlineStr">
        <is>
          <t>SPMIM 4 7/8 05/30/30</t>
        </is>
      </c>
      <c r="D334" s="27" t="inlineStr">
        <is>
          <t>SPMIM CDS EUR SR 5Y D14 Corp</t>
        </is>
      </c>
      <c r="E334" s="27" t="inlineStr">
        <is>
          <t>XS2826718087</t>
        </is>
      </c>
      <c r="F334" s="28" t="n">
        <v>45659</v>
      </c>
      <c r="G334" s="28" t="n">
        <v>46225</v>
      </c>
      <c r="H334" s="28" t="n">
        <v>47654</v>
      </c>
      <c r="I334" s="29" t="n">
        <v>76.19139862060547</v>
      </c>
      <c r="J334" s="29" t="n">
        <v>94.16829681396484</v>
      </c>
      <c r="K334" s="29" t="n">
        <v>74.23</v>
      </c>
      <c r="L334" s="29" t="n">
        <v>83.34</v>
      </c>
      <c r="M334" s="30" t="n">
        <v>396</v>
      </c>
      <c r="N334" s="31" t="n">
        <v>1.961398620605465</v>
      </c>
      <c r="O334" s="32" t="n">
        <v>-36.68930407714845</v>
      </c>
      <c r="P334" s="32" t="n">
        <v>43.82909875488281</v>
      </c>
      <c r="Q334" s="33" t="n">
        <v>48.00232162873723</v>
      </c>
      <c r="R334" s="32" t="n">
        <v>19.93829681396484</v>
      </c>
      <c r="S334" s="32" t="n">
        <v>-17.61520739746095</v>
      </c>
      <c r="T334" s="32" t="n">
        <v>64.12699609374999</v>
      </c>
      <c r="U334" s="34" t="n">
        <v>45.94138964636988</v>
      </c>
      <c r="V334" s="20">
        <f>IFERROR(BDP(E334&amp;" Corp","LAST_PRICE"),"--")</f>
        <v/>
      </c>
      <c r="W334" s="21">
        <f>IFERROR(BDP(E334&amp;" Corp","YAS_BENCHMARK_BOND_ISIN"),"--")</f>
        <v/>
      </c>
      <c r="X334" s="22">
        <f>IFERROR(BDP(W334&amp;" CORP","LAST_PRICE"),"--")</f>
        <v/>
      </c>
      <c r="Y334" s="23">
        <f>IFERROR(BDP(E334&amp;" Corp","YAS_YLD_SPREAD","YAS_BOND_PX="&amp;V334,"YAS_BNCHMRK_BOND_PX="&amp;X334),"--")</f>
        <v/>
      </c>
      <c r="Z334" s="23">
        <f>IFERROR(BDP(E334&amp;" Corp","BLOOMBERG_MID_G_SPREAD","YAS_BOND_PX="&amp;V334,"YAS_BNCHMRK_BOND_PX="&amp;X334),"--")</f>
        <v/>
      </c>
      <c r="AA334" s="23">
        <f>IFERROR(BDP(D334,"LAST_PRICE"),"--")</f>
        <v/>
      </c>
      <c r="AB334" s="24" t="n"/>
      <c r="AC334" s="23">
        <f>IFERROR(IF(ISBLANK(AB334),AA334,AB334),"--")</f>
        <v/>
      </c>
      <c r="AD334" s="23">
        <f>IFERROR(MAX(-500,MIN(500,AC334-Z334)),"--")</f>
        <v/>
      </c>
      <c r="AE334" s="25">
        <f>IFERROR((AD334-S334)/(T334-S334)*100,"--")</f>
        <v/>
      </c>
    </row>
    <row r="335">
      <c r="A335" s="11" t="inlineStr">
        <is>
          <t>STENA</t>
        </is>
      </c>
      <c r="B335" s="36" t="inlineStr">
        <is>
          <t>XO</t>
        </is>
      </c>
      <c r="C335" s="11" t="inlineStr">
        <is>
          <t>STENA 7 1/4 01/15/31</t>
        </is>
      </c>
      <c r="D335" s="12" t="inlineStr">
        <is>
          <t>STENA CDS EUR SR 5Y D14 Corp</t>
        </is>
      </c>
      <c r="E335" s="12" t="inlineStr">
        <is>
          <t>USL62788AE12</t>
        </is>
      </c>
      <c r="F335" s="13" t="n">
        <v>45659</v>
      </c>
      <c r="G335" s="13" t="n">
        <v>46225</v>
      </c>
      <c r="H335" s="13" t="n">
        <v>48019</v>
      </c>
      <c r="I335" s="14" t="n">
        <v>192.6116027832031</v>
      </c>
      <c r="J335" s="14" t="n">
        <v>192.6116027832031</v>
      </c>
      <c r="K335" s="14" t="n">
        <v>187.883</v>
      </c>
      <c r="L335" s="14" t="n">
        <v>200.361</v>
      </c>
      <c r="M335" s="15" t="n">
        <v>389</v>
      </c>
      <c r="N335" s="16" t="n">
        <v>4.728602783203115</v>
      </c>
      <c r="O335" s="17" t="n">
        <v>-69.24189440917968</v>
      </c>
      <c r="P335" s="17" t="n">
        <v>41.14011376953124</v>
      </c>
      <c r="Q335" s="18" t="n">
        <v>67.0131830475696</v>
      </c>
      <c r="R335" s="17" t="n">
        <v>4.728602783203115</v>
      </c>
      <c r="S335" s="17" t="n">
        <v>-69.24189440917968</v>
      </c>
      <c r="T335" s="17" t="n">
        <v>41.14011376953124</v>
      </c>
      <c r="U335" s="19" t="n">
        <v>67.0131830475696</v>
      </c>
      <c r="V335" s="20">
        <f>IFERROR(BDP(E335&amp;" Corp","LAST_PRICE"),"--")</f>
        <v/>
      </c>
      <c r="W335" s="21">
        <f>IFERROR(BDP(E335&amp;" Corp","YAS_BENCHMARK_BOND_ISIN"),"--")</f>
        <v/>
      </c>
      <c r="X335" s="22">
        <f>IFERROR(BDP(W335&amp;" CORP","LAST_PRICE"),"--")</f>
        <v/>
      </c>
      <c r="Y335" s="23">
        <f>IFERROR(BDP(E335&amp;" Corp","YAS_YLD_SPREAD","YAS_BOND_PX="&amp;V335,"YAS_BNCHMRK_BOND_PX="&amp;X335),"--")</f>
        <v/>
      </c>
      <c r="Z335" s="23">
        <f>IFERROR(BDP(E335&amp;" Corp","BLOOMBERG_MID_G_SPREAD","YAS_BOND_PX="&amp;V335,"YAS_BNCHMRK_BOND_PX="&amp;X335),"--")</f>
        <v/>
      </c>
      <c r="AA335" s="23">
        <f>IFERROR(BDP(D335,"LAST_PRICE"),"--")</f>
        <v/>
      </c>
      <c r="AB335" s="24" t="n"/>
      <c r="AC335" s="23">
        <f>IFERROR(IF(ISBLANK(AB335),AA335,AB335),"--")</f>
        <v/>
      </c>
      <c r="AD335" s="23">
        <f>IFERROR(MAX(-500,MIN(500,AC335-Z335)),"--")</f>
        <v/>
      </c>
      <c r="AE335" s="25">
        <f>IFERROR((AD335-S335)/(T335-S335)*100,"--")</f>
        <v/>
      </c>
    </row>
    <row r="336">
      <c r="A336" s="26" t="inlineStr">
        <is>
          <t>STLA</t>
        </is>
      </c>
      <c r="B336" s="36" t="inlineStr">
        <is>
          <t>XO</t>
        </is>
      </c>
      <c r="C336" s="26" t="inlineStr">
        <is>
          <t>STLA 3 7/8 06/06/31</t>
        </is>
      </c>
      <c r="D336" s="27" t="inlineStr">
        <is>
          <t>FCA IM CDS EUR SR 5Y D14 Corp</t>
        </is>
      </c>
      <c r="E336" s="27" t="inlineStr">
        <is>
          <t>XS3090081897</t>
        </is>
      </c>
      <c r="F336" s="28" t="n">
        <v>45813</v>
      </c>
      <c r="G336" s="28" t="n">
        <v>46225</v>
      </c>
      <c r="H336" s="28" t="n">
        <v>48019</v>
      </c>
      <c r="I336" s="29" t="n">
        <v>177.8910980224609</v>
      </c>
      <c r="J336" s="29" t="n">
        <v>177.8910980224609</v>
      </c>
      <c r="K336" s="29" t="n">
        <v>164.016</v>
      </c>
      <c r="L336" s="29" t="n">
        <v>167.386</v>
      </c>
      <c r="M336" s="30" t="n">
        <v>288</v>
      </c>
      <c r="N336" s="31" t="n">
        <v>13.87509802246095</v>
      </c>
      <c r="O336" s="32" t="n">
        <v>-4.216000000000008</v>
      </c>
      <c r="P336" s="32" t="n">
        <v>54.15560180664062</v>
      </c>
      <c r="Q336" s="33" t="n">
        <v>30.99297854184092</v>
      </c>
      <c r="R336" s="32" t="n">
        <v>13.87509802246095</v>
      </c>
      <c r="S336" s="32" t="n">
        <v>-4.216000000000008</v>
      </c>
      <c r="T336" s="32" t="n">
        <v>54.15560180664062</v>
      </c>
      <c r="U336" s="34" t="n">
        <v>30.99297854184092</v>
      </c>
      <c r="V336" s="20">
        <f>IFERROR(BDP(E336&amp;" Corp","LAST_PRICE"),"--")</f>
        <v/>
      </c>
      <c r="W336" s="21">
        <f>IFERROR(BDP(E336&amp;" Corp","YAS_BENCHMARK_BOND_ISIN"),"--")</f>
        <v/>
      </c>
      <c r="X336" s="22">
        <f>IFERROR(BDP(W336&amp;" CORP","LAST_PRICE"),"--")</f>
        <v/>
      </c>
      <c r="Y336" s="23">
        <f>IFERROR(BDP(E336&amp;" Corp","YAS_YLD_SPREAD","YAS_BOND_PX="&amp;V336,"YAS_BNCHMRK_BOND_PX="&amp;X336),"--")</f>
        <v/>
      </c>
      <c r="Z336" s="23">
        <f>IFERROR(BDP(E336&amp;" Corp","BLOOMBERG_MID_G_SPREAD","YAS_BOND_PX="&amp;V336,"YAS_BNCHMRK_BOND_PX="&amp;X336),"--")</f>
        <v/>
      </c>
      <c r="AA336" s="23">
        <f>IFERROR(BDP(D336,"LAST_PRICE"),"--")</f>
        <v/>
      </c>
      <c r="AB336" s="24" t="n"/>
      <c r="AC336" s="23">
        <f>IFERROR(IF(ISBLANK(AB336),AA336,AB336),"--")</f>
        <v/>
      </c>
      <c r="AD336" s="23">
        <f>IFERROR(MAX(-500,MIN(500,AC336-Z336)),"--")</f>
        <v/>
      </c>
      <c r="AE336" s="25">
        <f>IFERROR((AD336-S336)/(T336-S336)*100,"--")</f>
        <v/>
      </c>
    </row>
    <row r="337">
      <c r="A337" s="11" t="inlineStr">
        <is>
          <t>STYRO</t>
        </is>
      </c>
      <c r="B337" s="36" t="inlineStr">
        <is>
          <t>XO</t>
        </is>
      </c>
      <c r="C337" s="11" t="inlineStr">
        <is>
          <t>STYRO 6 3/4 04/15/30</t>
        </is>
      </c>
      <c r="D337" s="12" t="inlineStr">
        <is>
          <t>STYRO CDS EUR SR 5Y D14 Corp</t>
        </is>
      </c>
      <c r="E337" s="12" t="inlineStr">
        <is>
          <t>XS2915461458</t>
        </is>
      </c>
      <c r="F337" s="13" t="n">
        <v>45659</v>
      </c>
      <c r="G337" s="13" t="n">
        <v>46225</v>
      </c>
      <c r="H337" s="13" t="n">
        <v>47654</v>
      </c>
      <c r="I337" s="14" t="n">
        <v>1029.87744140625</v>
      </c>
      <c r="J337" s="14" t="n">
        <v>1080.060424804688</v>
      </c>
      <c r="K337" s="14" t="n">
        <v>910.679</v>
      </c>
      <c r="L337" s="14" t="n">
        <v>891.496</v>
      </c>
      <c r="M337" s="15" t="n">
        <v>396</v>
      </c>
      <c r="N337" s="16" t="n">
        <v>119.19844140625</v>
      </c>
      <c r="O337" s="17" t="n">
        <v>-176.3761953124999</v>
      </c>
      <c r="P337" s="17" t="n">
        <v>267.3370400390625</v>
      </c>
      <c r="Q337" s="18" t="n">
        <v>66.61388779276791</v>
      </c>
      <c r="R337" s="17" t="n">
        <v>169.3814248046875</v>
      </c>
      <c r="S337" s="17" t="n">
        <v>-128.6564687499999</v>
      </c>
      <c r="T337" s="17" t="n">
        <v>321.0395546875</v>
      </c>
      <c r="U337" s="19" t="n">
        <v>66.2754122832731</v>
      </c>
      <c r="V337" s="20">
        <f>IFERROR(BDP(E337&amp;" Corp","LAST_PRICE"),"--")</f>
        <v/>
      </c>
      <c r="W337" s="21">
        <f>IFERROR(BDP(E337&amp;" Corp","YAS_BENCHMARK_BOND_ISIN"),"--")</f>
        <v/>
      </c>
      <c r="X337" s="22">
        <f>IFERROR(BDP(W337&amp;" CORP","LAST_PRICE"),"--")</f>
        <v/>
      </c>
      <c r="Y337" s="23">
        <f>IFERROR(BDP(E337&amp;" Corp","YAS_YLD_SPREAD","YAS_BOND_PX="&amp;V337,"YAS_BNCHMRK_BOND_PX="&amp;X337),"--")</f>
        <v/>
      </c>
      <c r="Z337" s="23">
        <f>IFERROR(BDP(E337&amp;" Corp","BLOOMBERG_MID_G_SPREAD","YAS_BOND_PX="&amp;V337,"YAS_BNCHMRK_BOND_PX="&amp;X337),"--")</f>
        <v/>
      </c>
      <c r="AA337" s="23">
        <f>IFERROR(BDP(D337,"LAST_PRICE"),"--")</f>
        <v/>
      </c>
      <c r="AB337" s="24" t="n"/>
      <c r="AC337" s="23">
        <f>IFERROR(IF(ISBLANK(AB337),AA337,AB337),"--")</f>
        <v/>
      </c>
      <c r="AD337" s="23">
        <f>IFERROR(MAX(-500,MIN(500,AC337-Z337)),"--")</f>
        <v/>
      </c>
      <c r="AE337" s="25">
        <f>IFERROR((AD337-S337)/(T337-S337)*100,"--")</f>
        <v/>
      </c>
    </row>
    <row r="338">
      <c r="A338" s="26" t="inlineStr">
        <is>
          <t>SUNN</t>
        </is>
      </c>
      <c r="B338" s="36" t="inlineStr">
        <is>
          <t>XO</t>
        </is>
      </c>
      <c r="C338" s="26" t="inlineStr">
        <is>
          <t>SUNN 4 7/8 07/15/31</t>
        </is>
      </c>
      <c r="D338" s="27" t="inlineStr">
        <is>
          <t>SUNN CDS EUR SR 5Y D14 Corp</t>
        </is>
      </c>
      <c r="E338" s="27" t="inlineStr">
        <is>
          <t>USN9042BAA90</t>
        </is>
      </c>
      <c r="F338" s="28" t="n">
        <v>45659</v>
      </c>
      <c r="G338" s="28" t="n">
        <v>46225</v>
      </c>
      <c r="H338" s="28" t="n">
        <v>48202</v>
      </c>
      <c r="I338" s="29" t="n">
        <v>191.7568054199219</v>
      </c>
      <c r="J338" s="29" t="n">
        <v>175.2243041992188</v>
      </c>
      <c r="K338" s="29" t="n">
        <v>187.238</v>
      </c>
      <c r="L338" s="29" t="n">
        <v>190.699</v>
      </c>
      <c r="M338" s="30" t="n">
        <v>387</v>
      </c>
      <c r="N338" s="31" t="n">
        <v>4.518805419921875</v>
      </c>
      <c r="O338" s="32" t="n">
        <v>-137.5657024536133</v>
      </c>
      <c r="P338" s="32" t="n">
        <v>88.37659936523437</v>
      </c>
      <c r="Q338" s="33" t="n">
        <v>62.88530599615355</v>
      </c>
      <c r="R338" s="32" t="n">
        <v>-12.01369580078125</v>
      </c>
      <c r="S338" s="32" t="n">
        <v>-143.0477962646484</v>
      </c>
      <c r="T338" s="32" t="n">
        <v>79.25428491210937</v>
      </c>
      <c r="U338" s="34" t="n">
        <v>58.94416272229084</v>
      </c>
      <c r="V338" s="20">
        <f>IFERROR(BDP(E338&amp;" Corp","LAST_PRICE"),"--")</f>
        <v/>
      </c>
      <c r="W338" s="21">
        <f>IFERROR(BDP(E338&amp;" Corp","YAS_BENCHMARK_BOND_ISIN"),"--")</f>
        <v/>
      </c>
      <c r="X338" s="22">
        <f>IFERROR(BDP(W338&amp;" CORP","LAST_PRICE"),"--")</f>
        <v/>
      </c>
      <c r="Y338" s="23">
        <f>IFERROR(BDP(E338&amp;" Corp","YAS_YLD_SPREAD","YAS_BOND_PX="&amp;V338,"YAS_BNCHMRK_BOND_PX="&amp;X338),"--")</f>
        <v/>
      </c>
      <c r="Z338" s="23">
        <f>IFERROR(BDP(E338&amp;" Corp","BLOOMBERG_MID_G_SPREAD","YAS_BOND_PX="&amp;V338,"YAS_BNCHMRK_BOND_PX="&amp;X338),"--")</f>
        <v/>
      </c>
      <c r="AA338" s="23">
        <f>IFERROR(BDP(D338,"LAST_PRICE"),"--")</f>
        <v/>
      </c>
      <c r="AB338" s="24" t="n"/>
      <c r="AC338" s="23">
        <f>IFERROR(IF(ISBLANK(AB338),AA338,AB338),"--")</f>
        <v/>
      </c>
      <c r="AD338" s="23">
        <f>IFERROR(MAX(-500,MIN(500,AC338-Z338)),"--")</f>
        <v/>
      </c>
      <c r="AE338" s="25">
        <f>IFERROR((AD338-S338)/(T338-S338)*100,"--")</f>
        <v/>
      </c>
    </row>
    <row r="339">
      <c r="A339" s="11" t="inlineStr">
        <is>
          <t>SZUGR</t>
        </is>
      </c>
      <c r="B339" s="36" t="inlineStr">
        <is>
          <t>XO</t>
        </is>
      </c>
      <c r="C339" s="11" t="inlineStr">
        <is>
          <t>SZUGR 4 1/8 01/29/32</t>
        </is>
      </c>
      <c r="D339" s="12" t="inlineStr">
        <is>
          <t>SZUGR CDS EUR SR 5Y D14 Corp</t>
        </is>
      </c>
      <c r="E339" s="12" t="inlineStr">
        <is>
          <t>XS2970728205</t>
        </is>
      </c>
      <c r="F339" s="13" t="n">
        <v>45681</v>
      </c>
      <c r="G339" s="13" t="n">
        <v>46225</v>
      </c>
      <c r="H339" s="13" t="n">
        <v>48385</v>
      </c>
      <c r="I339" s="14" t="n">
        <v>184.2525939941406</v>
      </c>
      <c r="J339" s="14" t="n">
        <v>157.5063018798828</v>
      </c>
      <c r="K339" s="14" t="n">
        <v>122.507</v>
      </c>
      <c r="L339" s="14" t="n">
        <v>123.67</v>
      </c>
      <c r="M339" s="15" t="n">
        <v>380</v>
      </c>
      <c r="N339" s="16" t="n">
        <v>61.74559399414062</v>
      </c>
      <c r="O339" s="17" t="n">
        <v>-49.07150415039064</v>
      </c>
      <c r="P339" s="17" t="n">
        <v>84.97999548339844</v>
      </c>
      <c r="Q339" s="18" t="n">
        <v>82.66755571348986</v>
      </c>
      <c r="R339" s="17" t="n">
        <v>34.99930187988281</v>
      </c>
      <c r="S339" s="17" t="n">
        <v>-61.06859735107423</v>
      </c>
      <c r="T339" s="17" t="n">
        <v>64.59770178222657</v>
      </c>
      <c r="U339" s="19" t="n">
        <v>76.44682774420913</v>
      </c>
      <c r="V339" s="20">
        <f>IFERROR(BDP(E339&amp;" Corp","LAST_PRICE"),"--")</f>
        <v/>
      </c>
      <c r="W339" s="21">
        <f>IFERROR(BDP(E339&amp;" Corp","YAS_BENCHMARK_BOND_ISIN"),"--")</f>
        <v/>
      </c>
      <c r="X339" s="22">
        <f>IFERROR(BDP(W339&amp;" CORP","LAST_PRICE"),"--")</f>
        <v/>
      </c>
      <c r="Y339" s="23">
        <f>IFERROR(BDP(E339&amp;" Corp","YAS_YLD_SPREAD","YAS_BOND_PX="&amp;V339,"YAS_BNCHMRK_BOND_PX="&amp;X339),"--")</f>
        <v/>
      </c>
      <c r="Z339" s="23">
        <f>IFERROR(BDP(E339&amp;" Corp","BLOOMBERG_MID_G_SPREAD","YAS_BOND_PX="&amp;V339,"YAS_BNCHMRK_BOND_PX="&amp;X339),"--")</f>
        <v/>
      </c>
      <c r="AA339" s="23">
        <f>IFERROR(BDP(D339,"LAST_PRICE"),"--")</f>
        <v/>
      </c>
      <c r="AB339" s="24" t="n"/>
      <c r="AC339" s="23">
        <f>IFERROR(IF(ISBLANK(AB339),AA339,AB339),"--")</f>
        <v/>
      </c>
      <c r="AD339" s="23">
        <f>IFERROR(MAX(-500,MIN(500,AC339-Z339)),"--")</f>
        <v/>
      </c>
      <c r="AE339" s="25">
        <f>IFERROR((AD339-S339)/(T339-S339)*100,"--")</f>
        <v/>
      </c>
    </row>
    <row r="340">
      <c r="A340" s="26" t="inlineStr">
        <is>
          <t>TITANL</t>
        </is>
      </c>
      <c r="B340" s="36" t="inlineStr">
        <is>
          <t>XO</t>
        </is>
      </c>
      <c r="C340" s="26" t="inlineStr">
        <is>
          <t>TITANL 5 07/01/31</t>
        </is>
      </c>
      <c r="D340" s="27" t="inlineStr">
        <is>
          <t>CZ028589 Curncy</t>
        </is>
      </c>
      <c r="E340" s="27" t="inlineStr">
        <is>
          <t>XS3101363011</t>
        </is>
      </c>
      <c r="F340" s="28" t="n">
        <v>45828</v>
      </c>
      <c r="G340" s="28" t="n">
        <v>46225</v>
      </c>
      <c r="H340" s="28" t="n">
        <v>48202</v>
      </c>
      <c r="I340" s="29" t="n">
        <v>418.0318908691406</v>
      </c>
      <c r="J340" s="29" t="n">
        <v>405.6390075683594</v>
      </c>
      <c r="K340" s="29" t="n">
        <v>327.395</v>
      </c>
      <c r="L340" s="29" t="n">
        <v>326.532</v>
      </c>
      <c r="M340" s="30" t="n">
        <v>278</v>
      </c>
      <c r="N340" s="31" t="n">
        <v>90.63689086914064</v>
      </c>
      <c r="O340" s="32" t="n">
        <v>-71.37519677734377</v>
      </c>
      <c r="P340" s="32" t="n">
        <v>222.3225864257813</v>
      </c>
      <c r="Q340" s="33" t="n">
        <v>55.1628568249815</v>
      </c>
      <c r="R340" s="32" t="n">
        <v>78.24400756835939</v>
      </c>
      <c r="S340" s="32" t="n">
        <v>-79.61360009765627</v>
      </c>
      <c r="T340" s="32" t="n">
        <v>196.9526044921875</v>
      </c>
      <c r="U340" s="34" t="n">
        <v>57.07769244623484</v>
      </c>
      <c r="V340" s="20">
        <f>IFERROR(BDP(E340&amp;" Corp","LAST_PRICE"),"--")</f>
        <v/>
      </c>
      <c r="W340" s="21">
        <f>IFERROR(BDP(E340&amp;" Corp","YAS_BENCHMARK_BOND_ISIN"),"--")</f>
        <v/>
      </c>
      <c r="X340" s="22">
        <f>IFERROR(BDP(W340&amp;" CORP","LAST_PRICE"),"--")</f>
        <v/>
      </c>
      <c r="Y340" s="23">
        <f>IFERROR(BDP(E340&amp;" Corp","YAS_YLD_SPREAD","YAS_BOND_PX="&amp;V340,"YAS_BNCHMRK_BOND_PX="&amp;X340),"--")</f>
        <v/>
      </c>
      <c r="Z340" s="23">
        <f>IFERROR(BDP(E340&amp;" Corp","BLOOMBERG_MID_G_SPREAD","YAS_BOND_PX="&amp;V340,"YAS_BNCHMRK_BOND_PX="&amp;X340),"--")</f>
        <v/>
      </c>
      <c r="AA340" s="23">
        <f>IFERROR(BDP(D340,"LAST_PRICE"),"--")</f>
        <v/>
      </c>
      <c r="AB340" s="24" t="n"/>
      <c r="AC340" s="23">
        <f>IFERROR(IF(ISBLANK(AB340),AA340,AB340),"--")</f>
        <v/>
      </c>
      <c r="AD340" s="23">
        <f>IFERROR(MAX(-500,MIN(500,AC340-Z340)),"--")</f>
        <v/>
      </c>
      <c r="AE340" s="25">
        <f>IFERROR((AD340-S340)/(T340-S340)*100,"--")</f>
        <v/>
      </c>
    </row>
    <row r="341">
      <c r="A341" s="11" t="inlineStr">
        <is>
          <t>TITIM</t>
        </is>
      </c>
      <c r="B341" s="36" t="inlineStr">
        <is>
          <t>XO</t>
        </is>
      </c>
      <c r="C341" s="11" t="inlineStr">
        <is>
          <t>TITIM 3 5/8 09/30/30</t>
        </is>
      </c>
      <c r="D341" s="12" t="inlineStr">
        <is>
          <t>TITIM CDS EUR SR 5Y D14 Corp</t>
        </is>
      </c>
      <c r="E341" s="12" t="inlineStr">
        <is>
          <t>XS3194057553</t>
        </is>
      </c>
      <c r="F341" s="13" t="n">
        <v>45925</v>
      </c>
      <c r="G341" s="13" t="n">
        <v>46225</v>
      </c>
      <c r="H341" s="13" t="n">
        <v>47837</v>
      </c>
      <c r="I341" s="14" t="n">
        <v>57.57600021362305</v>
      </c>
      <c r="J341" s="14" t="n">
        <v>63.92100143432617</v>
      </c>
      <c r="K341" s="14" t="n">
        <v>64.328</v>
      </c>
      <c r="L341" s="14" t="n">
        <v>63.17</v>
      </c>
      <c r="M341" s="15" t="n">
        <v>209</v>
      </c>
      <c r="N341" s="16" t="n">
        <v>-6.751999786376956</v>
      </c>
      <c r="O341" s="17" t="n">
        <v>-35.48060064697265</v>
      </c>
      <c r="P341" s="17" t="n">
        <v>8.64679663085937</v>
      </c>
      <c r="Q341" s="18" t="n">
        <v>65.10377369350965</v>
      </c>
      <c r="R341" s="17" t="n">
        <v>-0.4069985656738311</v>
      </c>
      <c r="S341" s="17" t="n">
        <v>-25.88480078124999</v>
      </c>
      <c r="T341" s="17" t="n">
        <v>21.70449279785156</v>
      </c>
      <c r="U341" s="19" t="n">
        <v>53.53683633321368</v>
      </c>
      <c r="V341" s="20">
        <f>IFERROR(BDP(E341&amp;" Corp","LAST_PRICE"),"--")</f>
        <v/>
      </c>
      <c r="W341" s="21">
        <f>IFERROR(BDP(E341&amp;" Corp","YAS_BENCHMARK_BOND_ISIN"),"--")</f>
        <v/>
      </c>
      <c r="X341" s="22">
        <f>IFERROR(BDP(W341&amp;" CORP","LAST_PRICE"),"--")</f>
        <v/>
      </c>
      <c r="Y341" s="23">
        <f>IFERROR(BDP(E341&amp;" Corp","YAS_YLD_SPREAD","YAS_BOND_PX="&amp;V341,"YAS_BNCHMRK_BOND_PX="&amp;X341),"--")</f>
        <v/>
      </c>
      <c r="Z341" s="23">
        <f>IFERROR(BDP(E341&amp;" Corp","BLOOMBERG_MID_G_SPREAD","YAS_BOND_PX="&amp;V341,"YAS_BNCHMRK_BOND_PX="&amp;X341),"--")</f>
        <v/>
      </c>
      <c r="AA341" s="23">
        <f>IFERROR(BDP(D341,"LAST_PRICE"),"--")</f>
        <v/>
      </c>
      <c r="AB341" s="24" t="n"/>
      <c r="AC341" s="23">
        <f>IFERROR(IF(ISBLANK(AB341),AA341,AB341),"--")</f>
        <v/>
      </c>
      <c r="AD341" s="23">
        <f>IFERROR(MAX(-500,MIN(500,AC341-Z341)),"--")</f>
        <v/>
      </c>
      <c r="AE341" s="25">
        <f>IFERROR((AD341-S341)/(T341-S341)*100,"--")</f>
        <v/>
      </c>
    </row>
    <row r="342">
      <c r="A342" s="26" t="inlineStr">
        <is>
          <t>TTMTIN</t>
        </is>
      </c>
      <c r="B342" s="36" t="inlineStr">
        <is>
          <t>XO</t>
        </is>
      </c>
      <c r="C342" s="26" t="inlineStr">
        <is>
          <t>TTMTIN 5 1/2 07/15/29</t>
        </is>
      </c>
      <c r="D342" s="27" t="inlineStr">
        <is>
          <t>JAGLN CDS EUR SR 5Y D14 Corp</t>
        </is>
      </c>
      <c r="E342" s="27" t="inlineStr">
        <is>
          <t>US47010BAM63</t>
        </is>
      </c>
      <c r="F342" s="28" t="n">
        <v>45659</v>
      </c>
      <c r="G342" s="28" t="n">
        <v>46225</v>
      </c>
      <c r="H342" s="28" t="n">
        <v>47472</v>
      </c>
      <c r="I342" s="29" t="n">
        <v>202.8327026367188</v>
      </c>
      <c r="J342" s="29" t="n">
        <v>285.7138977050781</v>
      </c>
      <c r="K342" s="29" t="n">
        <v>144.209</v>
      </c>
      <c r="L342" s="29" t="n">
        <v>142.688</v>
      </c>
      <c r="M342" s="30" t="n">
        <v>389</v>
      </c>
      <c r="N342" s="31" t="n">
        <v>58.62370263671875</v>
      </c>
      <c r="O342" s="32" t="n">
        <v>-63.09980053710939</v>
      </c>
      <c r="P342" s="32" t="n">
        <v>86.66409619140624</v>
      </c>
      <c r="Q342" s="33" t="n">
        <v>81.2769337823002</v>
      </c>
      <c r="R342" s="32" t="n">
        <v>141.5048977050781</v>
      </c>
      <c r="S342" s="32" t="n">
        <v>-9.521001220703113</v>
      </c>
      <c r="T342" s="32" t="n">
        <v>152.5278046875</v>
      </c>
      <c r="U342" s="34" t="n">
        <v>93.19778574075633</v>
      </c>
      <c r="V342" s="20">
        <f>IFERROR(BDP(E342&amp;" Corp","LAST_PRICE"),"--")</f>
        <v/>
      </c>
      <c r="W342" s="21">
        <f>IFERROR(BDP(E342&amp;" Corp","YAS_BENCHMARK_BOND_ISIN"),"--")</f>
        <v/>
      </c>
      <c r="X342" s="22">
        <f>IFERROR(BDP(W342&amp;" CORP","LAST_PRICE"),"--")</f>
        <v/>
      </c>
      <c r="Y342" s="23">
        <f>IFERROR(BDP(E342&amp;" Corp","YAS_YLD_SPREAD","YAS_BOND_PX="&amp;V342,"YAS_BNCHMRK_BOND_PX="&amp;X342),"--")</f>
        <v/>
      </c>
      <c r="Z342" s="23">
        <f>IFERROR(BDP(E342&amp;" Corp","BLOOMBERG_MID_G_SPREAD","YAS_BOND_PX="&amp;V342,"YAS_BNCHMRK_BOND_PX="&amp;X342),"--")</f>
        <v/>
      </c>
      <c r="AA342" s="23">
        <f>IFERROR(BDP(D342,"LAST_PRICE"),"--")</f>
        <v/>
      </c>
      <c r="AB342" s="24" t="n"/>
      <c r="AC342" s="23">
        <f>IFERROR(IF(ISBLANK(AB342),AA342,AB342),"--")</f>
        <v/>
      </c>
      <c r="AD342" s="23">
        <f>IFERROR(MAX(-500,MIN(500,AC342-Z342)),"--")</f>
        <v/>
      </c>
      <c r="AE342" s="25">
        <f>IFERROR((AD342-S342)/(T342-S342)*100,"--")</f>
        <v/>
      </c>
    </row>
    <row r="343">
      <c r="A343" s="11" t="inlineStr">
        <is>
          <t>TUICRU</t>
        </is>
      </c>
      <c r="B343" s="36" t="inlineStr">
        <is>
          <t>XO</t>
        </is>
      </c>
      <c r="C343" s="11" t="inlineStr">
        <is>
          <t>TUICRU 5 05/15/30</t>
        </is>
      </c>
      <c r="D343" s="12" t="inlineStr">
        <is>
          <t>TUICRU CDS EUR SR 5Y D14 Corp</t>
        </is>
      </c>
      <c r="E343" s="12" t="inlineStr">
        <is>
          <t>XS2941359288</t>
        </is>
      </c>
      <c r="F343" s="13" t="n">
        <v>46044</v>
      </c>
      <c r="G343" s="13" t="n">
        <v>46225</v>
      </c>
      <c r="H343" s="13" t="n">
        <v>47654</v>
      </c>
      <c r="I343" s="14" t="n">
        <v>230.6777954101562</v>
      </c>
      <c r="J343" s="14" t="n">
        <v>283.560302734375</v>
      </c>
      <c r="K343" s="14" t="n">
        <v>162.486</v>
      </c>
      <c r="L343" s="14" t="n">
        <v>169.188</v>
      </c>
      <c r="M343" s="15" t="n">
        <v>127</v>
      </c>
      <c r="N343" s="16" t="n">
        <v>68.19179541015626</v>
      </c>
      <c r="O343" s="17" t="n">
        <v>5.053210449218739</v>
      </c>
      <c r="P343" s="17" t="n">
        <v>87.09549438476563</v>
      </c>
      <c r="Q343" s="18" t="n">
        <v>76.95859004917479</v>
      </c>
      <c r="R343" s="17" t="n">
        <v>121.074302734375</v>
      </c>
      <c r="S343" s="17" t="n">
        <v>53.73840112304688</v>
      </c>
      <c r="T343" s="17" t="n">
        <v>153.995</v>
      </c>
      <c r="U343" s="19" t="n">
        <v>67.16356066892992</v>
      </c>
      <c r="V343" s="20">
        <f>IFERROR(BDP(E343&amp;" Corp","LAST_PRICE"),"--")</f>
        <v/>
      </c>
      <c r="W343" s="21">
        <f>IFERROR(BDP(E343&amp;" Corp","YAS_BENCHMARK_BOND_ISIN"),"--")</f>
        <v/>
      </c>
      <c r="X343" s="22">
        <f>IFERROR(BDP(W343&amp;" CORP","LAST_PRICE"),"--")</f>
        <v/>
      </c>
      <c r="Y343" s="23">
        <f>IFERROR(BDP(E343&amp;" Corp","YAS_YLD_SPREAD","YAS_BOND_PX="&amp;V343,"YAS_BNCHMRK_BOND_PX="&amp;X343),"--")</f>
        <v/>
      </c>
      <c r="Z343" s="23">
        <f>IFERROR(BDP(E343&amp;" Corp","BLOOMBERG_MID_G_SPREAD","YAS_BOND_PX="&amp;V343,"YAS_BNCHMRK_BOND_PX="&amp;X343),"--")</f>
        <v/>
      </c>
      <c r="AA343" s="23">
        <f>IFERROR(BDP(D343,"LAST_PRICE"),"--")</f>
        <v/>
      </c>
      <c r="AB343" s="24" t="n"/>
      <c r="AC343" s="23">
        <f>IFERROR(IF(ISBLANK(AB343),AA343,AB343),"--")</f>
        <v/>
      </c>
      <c r="AD343" s="23">
        <f>IFERROR(MAX(-500,MIN(500,AC343-Z343)),"--")</f>
        <v/>
      </c>
      <c r="AE343" s="25">
        <f>IFERROR((AD343-S343)/(T343-S343)*100,"--")</f>
        <v/>
      </c>
    </row>
    <row r="344">
      <c r="A344" s="26" t="inlineStr">
        <is>
          <t>TUIGR</t>
        </is>
      </c>
      <c r="B344" s="36" t="inlineStr">
        <is>
          <t>XO</t>
        </is>
      </c>
      <c r="C344" s="26" t="inlineStr">
        <is>
          <t>TUIGR 5 7/8 03/15/29</t>
        </is>
      </c>
      <c r="D344" s="27" t="inlineStr">
        <is>
          <t>TUIGR CDS EUR SR 5Y D14 Corp</t>
        </is>
      </c>
      <c r="E344" s="27" t="inlineStr">
        <is>
          <t>XS2776523669</t>
        </is>
      </c>
      <c r="F344" s="28" t="n">
        <v>45659</v>
      </c>
      <c r="G344" s="28" t="n">
        <v>46225</v>
      </c>
      <c r="H344" s="28" t="n">
        <v>47289</v>
      </c>
      <c r="I344" s="29" t="n">
        <v>153.3807983398438</v>
      </c>
      <c r="J344" s="29" t="n">
        <v>257.7658996582031</v>
      </c>
      <c r="K344" s="29" t="n">
        <v>125.03</v>
      </c>
      <c r="L344" s="29" t="n">
        <v>130.868</v>
      </c>
      <c r="M344" s="30" t="n">
        <v>396</v>
      </c>
      <c r="N344" s="31" t="n">
        <v>28.35079833984375</v>
      </c>
      <c r="O344" s="32" t="n">
        <v>-111.5546062011719</v>
      </c>
      <c r="P344" s="32" t="n">
        <v>391.0993991699219</v>
      </c>
      <c r="Q344" s="33" t="n">
        <v>27.83334123394238</v>
      </c>
      <c r="R344" s="32" t="n">
        <v>132.7358996582031</v>
      </c>
      <c r="S344" s="32" t="n">
        <v>-8.250814453124974</v>
      </c>
      <c r="T344" s="32" t="n">
        <v>483.0836063232422</v>
      </c>
      <c r="U344" s="34" t="n">
        <v>28.69465442468945</v>
      </c>
      <c r="V344" s="20">
        <f>IFERROR(BDP(E344&amp;" Corp","LAST_PRICE"),"--")</f>
        <v/>
      </c>
      <c r="W344" s="21">
        <f>IFERROR(BDP(E344&amp;" Corp","YAS_BENCHMARK_BOND_ISIN"),"--")</f>
        <v/>
      </c>
      <c r="X344" s="22">
        <f>IFERROR(BDP(W344&amp;" CORP","LAST_PRICE"),"--")</f>
        <v/>
      </c>
      <c r="Y344" s="23">
        <f>IFERROR(BDP(E344&amp;" Corp","YAS_YLD_SPREAD","YAS_BOND_PX="&amp;V344,"YAS_BNCHMRK_BOND_PX="&amp;X344),"--")</f>
        <v/>
      </c>
      <c r="Z344" s="23">
        <f>IFERROR(BDP(E344&amp;" Corp","BLOOMBERG_MID_G_SPREAD","YAS_BOND_PX="&amp;V344,"YAS_BNCHMRK_BOND_PX="&amp;X344),"--")</f>
        <v/>
      </c>
      <c r="AA344" s="23">
        <f>IFERROR(BDP(D344,"LAST_PRICE"),"--")</f>
        <v/>
      </c>
      <c r="AB344" s="24" t="n"/>
      <c r="AC344" s="23">
        <f>IFERROR(IF(ISBLANK(AB344),AA344,AB344),"--")</f>
        <v/>
      </c>
      <c r="AD344" s="23">
        <f>IFERROR(MAX(-500,MIN(500,AC344-Z344)),"--")</f>
        <v/>
      </c>
      <c r="AE344" s="25">
        <f>IFERROR((AD344-S344)/(T344-S344)*100,"--")</f>
        <v/>
      </c>
    </row>
    <row r="345">
      <c r="A345" s="11" t="inlineStr">
        <is>
          <t>VERISR</t>
        </is>
      </c>
      <c r="B345" s="36" t="inlineStr">
        <is>
          <t>XO</t>
        </is>
      </c>
      <c r="C345" s="11" t="inlineStr">
        <is>
          <t>VERISR 5 1/2 05/15/30</t>
        </is>
      </c>
      <c r="D345" s="12" t="inlineStr">
        <is>
          <t>VERISR CDS EUR SR 5Y D14 Corp</t>
        </is>
      </c>
      <c r="E345" s="12" t="inlineStr">
        <is>
          <t>XS2816753979</t>
        </is>
      </c>
      <c r="F345" s="13" t="n">
        <v>45659</v>
      </c>
      <c r="G345" s="13" t="n">
        <v>46225</v>
      </c>
      <c r="H345" s="13" t="n">
        <v>47654</v>
      </c>
      <c r="I345" s="14" t="n">
        <v>93.92819976806641</v>
      </c>
      <c r="J345" s="14" t="n">
        <v>108.6600036621094</v>
      </c>
      <c r="K345" s="14" t="n">
        <v>132.912</v>
      </c>
      <c r="L345" s="14" t="n">
        <v>-11.318</v>
      </c>
      <c r="M345" s="15" t="n">
        <v>396</v>
      </c>
      <c r="N345" s="16" t="n">
        <v>-38.9838002319336</v>
      </c>
      <c r="O345" s="17" t="n">
        <v>-113.4783011474609</v>
      </c>
      <c r="P345" s="17" t="n">
        <v>199.6759987792969</v>
      </c>
      <c r="Q345" s="18" t="n">
        <v>23.78843302900535</v>
      </c>
      <c r="R345" s="17" t="n">
        <v>-24.25199633789063</v>
      </c>
      <c r="S345" s="17" t="n">
        <v>-100.4312964477539</v>
      </c>
      <c r="T345" s="17" t="n">
        <v>218.3080025634766</v>
      </c>
      <c r="U345" s="19" t="n">
        <v>23.90019064049556</v>
      </c>
      <c r="V345" s="20">
        <f>IFERROR(BDP(E345&amp;" Corp","LAST_PRICE"),"--")</f>
        <v/>
      </c>
      <c r="W345" s="21">
        <f>IFERROR(BDP(E345&amp;" Corp","YAS_BENCHMARK_BOND_ISIN"),"--")</f>
        <v/>
      </c>
      <c r="X345" s="22">
        <f>IFERROR(BDP(W345&amp;" CORP","LAST_PRICE"),"--")</f>
        <v/>
      </c>
      <c r="Y345" s="23">
        <f>IFERROR(BDP(E345&amp;" Corp","YAS_YLD_SPREAD","YAS_BOND_PX="&amp;V345,"YAS_BNCHMRK_BOND_PX="&amp;X345),"--")</f>
        <v/>
      </c>
      <c r="Z345" s="23">
        <f>IFERROR(BDP(E345&amp;" Corp","BLOOMBERG_MID_G_SPREAD","YAS_BOND_PX="&amp;V345,"YAS_BNCHMRK_BOND_PX="&amp;X345),"--")</f>
        <v/>
      </c>
      <c r="AA345" s="23">
        <f>IFERROR(BDP(D345,"LAST_PRICE"),"--")</f>
        <v/>
      </c>
      <c r="AB345" s="24" t="n"/>
      <c r="AC345" s="23">
        <f>IFERROR(IF(ISBLANK(AB345),AA345,AB345),"--")</f>
        <v/>
      </c>
      <c r="AD345" s="23">
        <f>IFERROR(MAX(-500,MIN(500,AC345-Z345)),"--")</f>
        <v/>
      </c>
      <c r="AE345" s="25">
        <f>IFERROR((AD345-S345)/(T345-S345)*100,"--")</f>
        <v/>
      </c>
    </row>
    <row r="346">
      <c r="A346" s="26" t="inlineStr">
        <is>
          <t>VMED</t>
        </is>
      </c>
      <c r="B346" s="36" t="inlineStr">
        <is>
          <t>XO</t>
        </is>
      </c>
      <c r="C346" s="26" t="inlineStr">
        <is>
          <t>VMED 5 5/8 04/15/32</t>
        </is>
      </c>
      <c r="D346" s="27" t="inlineStr">
        <is>
          <t>VMED CDS EUR SR 5Y D14 Corp</t>
        </is>
      </c>
      <c r="E346" s="27" t="inlineStr">
        <is>
          <t>XS2796600307</t>
        </is>
      </c>
      <c r="F346" s="28" t="n">
        <v>45659</v>
      </c>
      <c r="G346" s="28" t="n">
        <v>46225</v>
      </c>
      <c r="H346" s="28" t="n">
        <v>48385</v>
      </c>
      <c r="I346" s="29" t="n">
        <v>1006.781311035156</v>
      </c>
      <c r="J346" s="29" t="n">
        <v>989.0490112304688</v>
      </c>
      <c r="K346" s="29" t="n">
        <v>582.7380000000001</v>
      </c>
      <c r="L346" s="29" t="n">
        <v>574.492</v>
      </c>
      <c r="M346" s="30" t="n">
        <v>396</v>
      </c>
      <c r="N346" s="31" t="n">
        <v>424.0433110351562</v>
      </c>
      <c r="O346" s="32" t="n">
        <v>64.24400488281248</v>
      </c>
      <c r="P346" s="32" t="n">
        <v>424.0433110351562</v>
      </c>
      <c r="Q346" s="33" t="n">
        <v>100</v>
      </c>
      <c r="R346" s="32" t="n">
        <v>406.3110112304687</v>
      </c>
      <c r="S346" s="32" t="n">
        <v>17.40831152343748</v>
      </c>
      <c r="T346" s="32" t="n">
        <v>406.3110112304687</v>
      </c>
      <c r="U346" s="34" t="n">
        <v>100</v>
      </c>
      <c r="V346" s="20">
        <f>IFERROR(BDP(E346&amp;" Corp","LAST_PRICE"),"--")</f>
        <v/>
      </c>
      <c r="W346" s="21">
        <f>IFERROR(BDP(E346&amp;" Corp","YAS_BENCHMARK_BOND_ISIN"),"--")</f>
        <v/>
      </c>
      <c r="X346" s="22">
        <f>IFERROR(BDP(W346&amp;" CORP","LAST_PRICE"),"--")</f>
        <v/>
      </c>
      <c r="Y346" s="23">
        <f>IFERROR(BDP(E346&amp;" Corp","YAS_YLD_SPREAD","YAS_BOND_PX="&amp;V346,"YAS_BNCHMRK_BOND_PX="&amp;X346),"--")</f>
        <v/>
      </c>
      <c r="Z346" s="23">
        <f>IFERROR(BDP(E346&amp;" Corp","BLOOMBERG_MID_G_SPREAD","YAS_BOND_PX="&amp;V346,"YAS_BNCHMRK_BOND_PX="&amp;X346),"--")</f>
        <v/>
      </c>
      <c r="AA346" s="23">
        <f>IFERROR(BDP(D346,"LAST_PRICE"),"--")</f>
        <v/>
      </c>
      <c r="AB346" s="24" t="n"/>
      <c r="AC346" s="23">
        <f>IFERROR(IF(ISBLANK(AB346),AA346,AB346),"--")</f>
        <v/>
      </c>
      <c r="AD346" s="23">
        <f>IFERROR(MAX(-500,MIN(500,AC346-Z346)),"--")</f>
        <v/>
      </c>
      <c r="AE346" s="25">
        <f>IFERROR((AD346-S346)/(T346-S346)*100,"--")</f>
        <v/>
      </c>
    </row>
    <row r="347">
      <c r="A347" s="11" t="inlineStr">
        <is>
          <t>VOVCAB</t>
        </is>
      </c>
      <c r="B347" s="36" t="inlineStr">
        <is>
          <t>XO</t>
        </is>
      </c>
      <c r="C347" s="11" t="inlineStr">
        <is>
          <t>VOVCAB 4 3/4 05/08/30</t>
        </is>
      </c>
      <c r="D347" s="12" t="inlineStr">
        <is>
          <t>VOVCAB CDS EUR SR 5Y D14 Corp</t>
        </is>
      </c>
      <c r="E347" s="12" t="inlineStr">
        <is>
          <t>XS2811097075</t>
        </is>
      </c>
      <c r="F347" s="13" t="n">
        <v>45659</v>
      </c>
      <c r="G347" s="13" t="n">
        <v>46225</v>
      </c>
      <c r="H347" s="13" t="n">
        <v>47654</v>
      </c>
      <c r="I347" s="14" t="n">
        <v>141.6903076171875</v>
      </c>
      <c r="J347" s="14" t="n">
        <v>184.6925964355469</v>
      </c>
      <c r="K347" s="14" t="n">
        <v>99.694</v>
      </c>
      <c r="L347" s="14" t="n">
        <v>99.889</v>
      </c>
      <c r="M347" s="15" t="n">
        <v>396</v>
      </c>
      <c r="N347" s="16" t="n">
        <v>41.9963076171875</v>
      </c>
      <c r="O347" s="17" t="n">
        <v>-33.97148852539061</v>
      </c>
      <c r="P347" s="17" t="n">
        <v>59.40029272460939</v>
      </c>
      <c r="Q347" s="18" t="n">
        <v>81.36055147023139</v>
      </c>
      <c r="R347" s="17" t="n">
        <v>84.99859643554687</v>
      </c>
      <c r="S347" s="17" t="n">
        <v>6.867012451171888</v>
      </c>
      <c r="T347" s="17" t="n">
        <v>101.6786130371094</v>
      </c>
      <c r="U347" s="19" t="n">
        <v>82.407198593337</v>
      </c>
      <c r="V347" s="20">
        <f>IFERROR(BDP(E347&amp;" Corp","LAST_PRICE"),"--")</f>
        <v/>
      </c>
      <c r="W347" s="21">
        <f>IFERROR(BDP(E347&amp;" Corp","YAS_BENCHMARK_BOND_ISIN"),"--")</f>
        <v/>
      </c>
      <c r="X347" s="22">
        <f>IFERROR(BDP(W347&amp;" CORP","LAST_PRICE"),"--")</f>
        <v/>
      </c>
      <c r="Y347" s="23">
        <f>IFERROR(BDP(E347&amp;" Corp","YAS_YLD_SPREAD","YAS_BOND_PX="&amp;V347,"YAS_BNCHMRK_BOND_PX="&amp;X347),"--")</f>
        <v/>
      </c>
      <c r="Z347" s="23">
        <f>IFERROR(BDP(E347&amp;" Corp","BLOOMBERG_MID_G_SPREAD","YAS_BOND_PX="&amp;V347,"YAS_BNCHMRK_BOND_PX="&amp;X347),"--")</f>
        <v/>
      </c>
      <c r="AA347" s="23">
        <f>IFERROR(BDP(D347,"LAST_PRICE"),"--")</f>
        <v/>
      </c>
      <c r="AB347" s="24" t="n"/>
      <c r="AC347" s="23">
        <f>IFERROR(IF(ISBLANK(AB347),AA347,AB347),"--")</f>
        <v/>
      </c>
      <c r="AD347" s="23">
        <f>IFERROR(MAX(-500,MIN(500,AC347-Z347)),"--")</f>
        <v/>
      </c>
      <c r="AE347" s="25">
        <f>IFERROR((AD347-S347)/(T347-S347)*100,"--")</f>
        <v/>
      </c>
    </row>
    <row r="348">
      <c r="A348" s="26" t="inlineStr">
        <is>
          <t>WLNFP</t>
        </is>
      </c>
      <c r="B348" s="36" t="inlineStr">
        <is>
          <t>XO</t>
        </is>
      </c>
      <c r="C348" s="26" t="inlineStr">
        <is>
          <t>WLNFP 5 1/2 06/10/30</t>
        </is>
      </c>
      <c r="D348" s="27" t="inlineStr">
        <is>
          <t>WLNFP CDS EUR SR 5Y D14 Corp</t>
        </is>
      </c>
      <c r="E348" s="27" t="inlineStr">
        <is>
          <t>FR0014010A08</t>
        </is>
      </c>
      <c r="F348" s="28" t="n">
        <v>46044</v>
      </c>
      <c r="G348" s="28" t="n">
        <v>46225</v>
      </c>
      <c r="H348" s="28" t="n">
        <v>47654</v>
      </c>
      <c r="I348" s="29" t="n">
        <v>1059.786743164062</v>
      </c>
      <c r="J348" s="29" t="n">
        <v>1035.544555664062</v>
      </c>
      <c r="K348" s="29" t="n">
        <v>626.785</v>
      </c>
      <c r="L348" s="29" t="n">
        <v>678.502</v>
      </c>
      <c r="M348" s="30" t="n">
        <v>127</v>
      </c>
      <c r="N348" s="31" t="n">
        <v>433.0017431640625</v>
      </c>
      <c r="O348" s="32" t="n">
        <v>222.866615234375</v>
      </c>
      <c r="P348" s="32" t="n">
        <v>516.49605859375</v>
      </c>
      <c r="Q348" s="33" t="n">
        <v>71.56473326569697</v>
      </c>
      <c r="R348" s="32" t="n">
        <v>408.7595556640625</v>
      </c>
      <c r="S348" s="32" t="n">
        <v>193.1733168945312</v>
      </c>
      <c r="T348" s="32" t="n">
        <v>508.472865234375</v>
      </c>
      <c r="U348" s="34" t="n">
        <v>68.37505473910889</v>
      </c>
      <c r="V348" s="20">
        <f>IFERROR(BDP(E348&amp;" Corp","LAST_PRICE"),"--")</f>
        <v/>
      </c>
      <c r="W348" s="21">
        <f>IFERROR(BDP(E348&amp;" Corp","YAS_BENCHMARK_BOND_ISIN"),"--")</f>
        <v/>
      </c>
      <c r="X348" s="22">
        <f>IFERROR(BDP(W348&amp;" CORP","LAST_PRICE"),"--")</f>
        <v/>
      </c>
      <c r="Y348" s="23">
        <f>IFERROR(BDP(E348&amp;" Corp","YAS_YLD_SPREAD","YAS_BOND_PX="&amp;V348,"YAS_BNCHMRK_BOND_PX="&amp;X348),"--")</f>
        <v/>
      </c>
      <c r="Z348" s="23">
        <f>IFERROR(BDP(E348&amp;" Corp","BLOOMBERG_MID_G_SPREAD","YAS_BOND_PX="&amp;V348,"YAS_BNCHMRK_BOND_PX="&amp;X348),"--")</f>
        <v/>
      </c>
      <c r="AA348" s="23">
        <f>IFERROR(BDP(D348,"LAST_PRICE"),"--")</f>
        <v/>
      </c>
      <c r="AB348" s="24" t="n"/>
      <c r="AC348" s="23">
        <f>IFERROR(IF(ISBLANK(AB348),AA348,AB348),"--")</f>
        <v/>
      </c>
      <c r="AD348" s="23">
        <f>IFERROR(MAX(-500,MIN(500,AC348-Z348)),"--")</f>
        <v/>
      </c>
      <c r="AE348" s="25">
        <f>IFERROR((AD348-S348)/(T348-S348)*100,"--")</f>
        <v/>
      </c>
    </row>
    <row r="349">
      <c r="A349" s="11" t="inlineStr">
        <is>
          <t>ZEGLN</t>
        </is>
      </c>
      <c r="B349" s="36" t="inlineStr">
        <is>
          <t>XO</t>
        </is>
      </c>
      <c r="C349" s="11" t="inlineStr">
        <is>
          <t>ZEGLN 4 1/4 01/15/32</t>
        </is>
      </c>
      <c r="D349" s="12" t="inlineStr">
        <is>
          <t>ZEGLN CDS EUR SR 5Y D14 Corp</t>
        </is>
      </c>
      <c r="E349" s="12" t="inlineStr">
        <is>
          <t>XS3430526346</t>
        </is>
      </c>
      <c r="F349" s="13" t="n">
        <v>46202</v>
      </c>
      <c r="G349" s="13" t="n">
        <v>46225</v>
      </c>
      <c r="H349" s="13" t="n">
        <v>48385</v>
      </c>
      <c r="I349" s="14" t="n">
        <v>189.6869964599609</v>
      </c>
      <c r="J349" s="14" t="n">
        <v>169.9228057861328</v>
      </c>
      <c r="K349" s="14" t="n">
        <v>142.113</v>
      </c>
      <c r="L349" s="14" t="n">
        <v>141.738</v>
      </c>
      <c r="M349" s="15" t="n">
        <v>18</v>
      </c>
      <c r="N349" s="16" t="n">
        <v>47.57399645996094</v>
      </c>
      <c r="O349" s="17" t="n">
        <v>15.21760302734376</v>
      </c>
      <c r="P349" s="17" t="n">
        <v>47.57399645996094</v>
      </c>
      <c r="Q349" s="18" t="n">
        <v>100</v>
      </c>
      <c r="R349" s="17" t="n">
        <v>27.80980578613281</v>
      </c>
      <c r="S349" s="17" t="n">
        <v>-3.546099365234369</v>
      </c>
      <c r="T349" s="17" t="n">
        <v>27.80980578613281</v>
      </c>
      <c r="U349" s="19" t="n">
        <v>100</v>
      </c>
      <c r="V349" s="20">
        <f>IFERROR(BDP(E349&amp;" Corp","LAST_PRICE"),"--")</f>
        <v/>
      </c>
      <c r="W349" s="21">
        <f>IFERROR(BDP(E349&amp;" Corp","YAS_BENCHMARK_BOND_ISIN"),"--")</f>
        <v/>
      </c>
      <c r="X349" s="22">
        <f>IFERROR(BDP(W349&amp;" CORP","LAST_PRICE"),"--")</f>
        <v/>
      </c>
      <c r="Y349" s="23">
        <f>IFERROR(BDP(E349&amp;" Corp","YAS_YLD_SPREAD","YAS_BOND_PX="&amp;V349,"YAS_BNCHMRK_BOND_PX="&amp;X349),"--")</f>
        <v/>
      </c>
      <c r="Z349" s="23">
        <f>IFERROR(BDP(E349&amp;" Corp","BLOOMBERG_MID_G_SPREAD","YAS_BOND_PX="&amp;V349,"YAS_BNCHMRK_BOND_PX="&amp;X349),"--")</f>
        <v/>
      </c>
      <c r="AA349" s="23">
        <f>IFERROR(BDP(D349,"LAST_PRICE"),"--")</f>
        <v/>
      </c>
      <c r="AB349" s="24" t="n"/>
      <c r="AC349" s="23">
        <f>IFERROR(IF(ISBLANK(AB349),AA349,AB349),"--")</f>
        <v/>
      </c>
      <c r="AD349" s="23">
        <f>IFERROR(MAX(-500,MIN(500,AC349-Z349)),"--")</f>
        <v/>
      </c>
      <c r="AE349" s="25">
        <f>IFERROR((AD349-S349)/(T349-S349)*100,"--")</f>
        <v/>
      </c>
    </row>
    <row r="350">
      <c r="A350" s="26" t="inlineStr">
        <is>
          <t>ZFFNGR</t>
        </is>
      </c>
      <c r="B350" s="36" t="inlineStr">
        <is>
          <t>XO</t>
        </is>
      </c>
      <c r="C350" s="26" t="inlineStr">
        <is>
          <t>ZFFNGR 5 1/2 02/17/32</t>
        </is>
      </c>
      <c r="D350" s="27" t="inlineStr">
        <is>
          <t>ZFFNGR B CDS EUR SR 5Y D14 Corp</t>
        </is>
      </c>
      <c r="E350" s="27" t="inlineStr">
        <is>
          <t>XS3296386264</t>
        </is>
      </c>
      <c r="F350" s="28" t="n">
        <v>46064</v>
      </c>
      <c r="G350" s="28" t="n">
        <v>46225</v>
      </c>
      <c r="H350" s="28" t="n">
        <v>48385</v>
      </c>
      <c r="I350" s="29" t="n">
        <v>303.0564880371094</v>
      </c>
      <c r="J350" s="29" t="n">
        <v>280.6546936035156</v>
      </c>
      <c r="K350" s="29" t="n">
        <v>281.845</v>
      </c>
      <c r="L350" s="29" t="n">
        <v>283.511</v>
      </c>
      <c r="M350" s="30" t="n">
        <v>113</v>
      </c>
      <c r="N350" s="31" t="n">
        <v>21.21148803710935</v>
      </c>
      <c r="O350" s="32" t="n">
        <v>-26.80139062500001</v>
      </c>
      <c r="P350" s="32" t="n">
        <v>57.87130004882812</v>
      </c>
      <c r="Q350" s="33" t="n">
        <v>56.70408992559614</v>
      </c>
      <c r="R350" s="32" t="n">
        <v>-1.190306396484402</v>
      </c>
      <c r="S350" s="32" t="n">
        <v>-44.30499169921876</v>
      </c>
      <c r="T350" s="32" t="n">
        <v>34.46749145507812</v>
      </c>
      <c r="U350" s="34" t="n">
        <v>54.73318039026746</v>
      </c>
      <c r="V350" s="20">
        <f>IFERROR(BDP(E350&amp;" Corp","LAST_PRICE"),"--")</f>
        <v/>
      </c>
      <c r="W350" s="21">
        <f>IFERROR(BDP(E350&amp;" Corp","YAS_BENCHMARK_BOND_ISIN"),"--")</f>
        <v/>
      </c>
      <c r="X350" s="22">
        <f>IFERROR(BDP(W350&amp;" CORP","LAST_PRICE"),"--")</f>
        <v/>
      </c>
      <c r="Y350" s="23">
        <f>IFERROR(BDP(E350&amp;" Corp","YAS_YLD_SPREAD","YAS_BOND_PX="&amp;V350,"YAS_BNCHMRK_BOND_PX="&amp;X350),"--")</f>
        <v/>
      </c>
      <c r="Z350" s="23">
        <f>IFERROR(BDP(E350&amp;" Corp","BLOOMBERG_MID_G_SPREAD","YAS_BOND_PX="&amp;V350,"YAS_BNCHMRK_BOND_PX="&amp;X350),"--")</f>
        <v/>
      </c>
      <c r="AA350" s="23">
        <f>IFERROR(BDP(D350,"LAST_PRICE"),"--")</f>
        <v/>
      </c>
      <c r="AB350" s="24" t="n"/>
      <c r="AC350" s="23">
        <f>IFERROR(IF(ISBLANK(AB350),AA350,AB350),"--")</f>
        <v/>
      </c>
      <c r="AD350" s="23">
        <f>IFERROR(MAX(-500,MIN(500,AC350-Z350)),"--")</f>
        <v/>
      </c>
      <c r="AE350" s="25">
        <f>IFERROR((AD350-S350)/(T350-S350)*100,"--")</f>
        <v/>
      </c>
    </row>
    <row r="351">
      <c r="A351" s="11" t="inlineStr">
        <is>
          <t>ZIGGO</t>
        </is>
      </c>
      <c r="B351" s="36" t="inlineStr">
        <is>
          <t>XO</t>
        </is>
      </c>
      <c r="C351" s="11" t="inlineStr">
        <is>
          <t>ZIGGO 6 1/8 11/15/32</t>
        </is>
      </c>
      <c r="D351" s="12" t="inlineStr">
        <is>
          <t>LGE HOLDCO VI CDS EUR SR 5Y D14 Corp</t>
        </is>
      </c>
      <c r="E351" s="12" t="inlineStr">
        <is>
          <t>XS2914769299</t>
        </is>
      </c>
      <c r="F351" s="13" t="n">
        <v>45659</v>
      </c>
      <c r="G351" s="13" t="n">
        <v>46225</v>
      </c>
      <c r="H351" s="13" t="n">
        <v>48568</v>
      </c>
      <c r="I351" s="14" t="n">
        <v>642.844482421875</v>
      </c>
      <c r="J351" s="14" t="n">
        <v>555.7485961914062</v>
      </c>
      <c r="K351" s="14" t="n">
        <v>573.486</v>
      </c>
      <c r="L351" s="14" t="n">
        <v>583.501</v>
      </c>
      <c r="M351" s="15" t="n">
        <v>396</v>
      </c>
      <c r="N351" s="16" t="n">
        <v>69.35848242187501</v>
      </c>
      <c r="O351" s="17" t="n">
        <v>7.049110839843706</v>
      </c>
      <c r="P351" s="17" t="n">
        <v>116.3285302734375</v>
      </c>
      <c r="Q351" s="18" t="n">
        <v>57.01839550849282</v>
      </c>
      <c r="R351" s="17" t="n">
        <v>-17.73740380859374</v>
      </c>
      <c r="S351" s="17" t="n">
        <v>-64.57009130859376</v>
      </c>
      <c r="T351" s="17" t="n">
        <v>64.31761474609374</v>
      </c>
      <c r="U351" s="19" t="n">
        <v>36.33603928068109</v>
      </c>
      <c r="V351" s="20">
        <f>IFERROR(BDP(E351&amp;" Corp","LAST_PRICE"),"--")</f>
        <v/>
      </c>
      <c r="W351" s="21">
        <f>IFERROR(BDP(E351&amp;" Corp","YAS_BENCHMARK_BOND_ISIN"),"--")</f>
        <v/>
      </c>
      <c r="X351" s="22">
        <f>IFERROR(BDP(W351&amp;" CORP","LAST_PRICE"),"--")</f>
        <v/>
      </c>
      <c r="Y351" s="23">
        <f>IFERROR(BDP(E351&amp;" Corp","YAS_YLD_SPREAD","YAS_BOND_PX="&amp;V351,"YAS_BNCHMRK_BOND_PX="&amp;X351),"--")</f>
        <v/>
      </c>
      <c r="Z351" s="23">
        <f>IFERROR(BDP(E351&amp;" Corp","BLOOMBERG_MID_G_SPREAD","YAS_BOND_PX="&amp;V351,"YAS_BNCHMRK_BOND_PX="&amp;X351),"--")</f>
        <v/>
      </c>
      <c r="AA351" s="23">
        <f>IFERROR(BDP(D351,"LAST_PRICE"),"--")</f>
        <v/>
      </c>
      <c r="AB351" s="24" t="n"/>
      <c r="AC351" s="23">
        <f>IFERROR(IF(ISBLANK(AB351),AA351,AB351),"--")</f>
        <v/>
      </c>
      <c r="AD351" s="23">
        <f>IFERROR(MAX(-500,MIN(500,AC351-Z351)),"--")</f>
        <v/>
      </c>
      <c r="AE351" s="25">
        <f>IFERROR((AD351-S351)/(T351-S351)*100,"--")</f>
        <v/>
      </c>
    </row>
    <row r="352">
      <c r="A352" s="26" t="inlineStr">
        <is>
          <t>ADLERR</t>
        </is>
      </c>
      <c r="B352" s="36" t="inlineStr">
        <is>
          <t>XO_Legacy</t>
        </is>
      </c>
      <c r="C352" s="26" t="inlineStr">
        <is>
          <t>ADLERR 3 04/27/26</t>
        </is>
      </c>
      <c r="D352" s="27" t="inlineStr">
        <is>
          <t>ADLERR CDS EUR SR 5Y D14 Corp</t>
        </is>
      </c>
      <c r="E352" s="27" t="inlineStr">
        <is>
          <t>XS1713464524</t>
        </is>
      </c>
      <c r="F352" s="28" t="n">
        <v>45659</v>
      </c>
      <c r="G352" s="28" t="n">
        <v>46094</v>
      </c>
      <c r="H352" s="28" t="n">
        <v>46193</v>
      </c>
      <c r="I352" s="29" t="n">
        <v>192.6441040039062</v>
      </c>
      <c r="J352" s="29" t="n">
        <v>230.0417022705078</v>
      </c>
      <c r="K352" s="29" t="n">
        <v>1622.684</v>
      </c>
      <c r="L352" s="29" t="n">
        <v>1633.838</v>
      </c>
      <c r="M352" s="30" t="n">
        <v>293</v>
      </c>
      <c r="N352" s="31" t="n">
        <v>-1430.039895996094</v>
      </c>
      <c r="O352" s="32" t="n">
        <v>-1430.039895996094</v>
      </c>
      <c r="P352" s="32" t="n">
        <v>300.629693359375</v>
      </c>
      <c r="Q352" s="33" t="n">
        <v>0</v>
      </c>
      <c r="R352" s="32" t="n">
        <v>-1430.556299194336</v>
      </c>
      <c r="S352" s="32" t="n">
        <v>-1435.168596435547</v>
      </c>
      <c r="T352" s="32" t="n">
        <v>160.9393051757812</v>
      </c>
      <c r="U352" s="34" t="n">
        <v>0.2889715185643027</v>
      </c>
      <c r="V352" s="20">
        <f>IFERROR(BDP(E352&amp;" Corp","LAST_PRICE"),"--")</f>
        <v/>
      </c>
      <c r="W352" s="21">
        <f>IFERROR(BDP(E352&amp;" Corp","YAS_BENCHMARK_BOND_ISIN"),"--")</f>
        <v/>
      </c>
      <c r="X352" s="22">
        <f>IFERROR(BDP(W352&amp;" CORP","LAST_PRICE"),"--")</f>
        <v/>
      </c>
      <c r="Y352" s="23">
        <f>IFERROR(BDP(E352&amp;" Corp","YAS_YLD_SPREAD","YAS_BOND_PX="&amp;V352,"YAS_BNCHMRK_BOND_PX="&amp;X352),"--")</f>
        <v/>
      </c>
      <c r="Z352" s="23">
        <f>IFERROR(BDP(E352&amp;" Corp","BLOOMBERG_MID_G_SPREAD","YAS_BOND_PX="&amp;V352,"YAS_BNCHMRK_BOND_PX="&amp;X352),"--")</f>
        <v/>
      </c>
      <c r="AA352" s="23">
        <f>IFERROR(BDP(D352,"LAST_PRICE"),"--")</f>
        <v/>
      </c>
      <c r="AB352" s="24" t="n"/>
      <c r="AC352" s="23">
        <f>IFERROR(IF(ISBLANK(AB352),AA352,AB352),"--")</f>
        <v/>
      </c>
      <c r="AD352" s="23">
        <f>IFERROR(MAX(-500,MIN(500,AC352-Z352)),"--")</f>
        <v/>
      </c>
      <c r="AE352" s="25">
        <f>IFERROR((AD352-S352)/(T352-S352)*100,"--")</f>
        <v/>
      </c>
    </row>
    <row r="353">
      <c r="A353" s="11" t="inlineStr">
        <is>
          <t>ALTICE</t>
        </is>
      </c>
      <c r="B353" s="36" t="inlineStr">
        <is>
          <t>XO_Legacy</t>
        </is>
      </c>
      <c r="C353" s="11" t="inlineStr">
        <is>
          <t>ALTICE 4 3/4 01/15/28</t>
        </is>
      </c>
      <c r="D353" s="12" t="inlineStr">
        <is>
          <t>ALTICE CDS EUR SR 5Y D14 Corp</t>
        </is>
      </c>
      <c r="E353" s="12" t="inlineStr">
        <is>
          <t>XS1577952440</t>
        </is>
      </c>
      <c r="F353" s="13" t="n">
        <v>45922</v>
      </c>
      <c r="G353" s="13" t="n">
        <v>46224</v>
      </c>
      <c r="H353" s="13" t="n">
        <v>46924</v>
      </c>
      <c r="I353" s="14" t="n">
        <v>0</v>
      </c>
      <c r="J353" s="14" t="n">
        <v>0</v>
      </c>
      <c r="K353" s="14" t="n">
        <v>18829.61</v>
      </c>
      <c r="L353" s="14" t="n">
        <v>18853.674</v>
      </c>
      <c r="M353" s="15" t="n">
        <v>206</v>
      </c>
      <c r="N353" s="16" t="n">
        <v>-18829.61</v>
      </c>
      <c r="O353" s="17" t="n">
        <v>-20858.65</v>
      </c>
      <c r="P353" s="17" t="n">
        <v>943.8890312499998</v>
      </c>
      <c r="Q353" s="18" t="n">
        <v>9.306439021123818</v>
      </c>
      <c r="R353" s="17" t="n">
        <v>-18829.61</v>
      </c>
      <c r="S353" s="17" t="n">
        <v>-20858.65</v>
      </c>
      <c r="T353" s="17" t="n">
        <v>974.9016874999998</v>
      </c>
      <c r="U353" s="19" t="n">
        <v>9.293220036031302</v>
      </c>
      <c r="V353" s="20">
        <f>IFERROR(BDP(E353&amp;" Corp","LAST_PRICE"),"--")</f>
        <v/>
      </c>
      <c r="W353" s="21">
        <f>IFERROR(BDP(E353&amp;" Corp","YAS_BENCHMARK_BOND_ISIN"),"--")</f>
        <v/>
      </c>
      <c r="X353" s="22">
        <f>IFERROR(BDP(W353&amp;" CORP","LAST_PRICE"),"--")</f>
        <v/>
      </c>
      <c r="Y353" s="23">
        <f>IFERROR(BDP(E353&amp;" Corp","YAS_YLD_SPREAD","YAS_BOND_PX="&amp;V353,"YAS_BNCHMRK_BOND_PX="&amp;X353),"--")</f>
        <v/>
      </c>
      <c r="Z353" s="23">
        <f>IFERROR(BDP(E353&amp;" Corp","BLOOMBERG_MID_G_SPREAD","YAS_BOND_PX="&amp;V353,"YAS_BNCHMRK_BOND_PX="&amp;X353),"--")</f>
        <v/>
      </c>
      <c r="AA353" s="23">
        <f>IFERROR(BDP(D353,"LAST_PRICE"),"--")</f>
        <v/>
      </c>
      <c r="AB353" s="24" t="n"/>
      <c r="AC353" s="23">
        <f>IFERROR(IF(ISBLANK(AB353),AA353,AB353),"--")</f>
        <v/>
      </c>
      <c r="AD353" s="23">
        <f>IFERROR(MAX(-500,MIN(500,AC353-Z353)),"--")</f>
        <v/>
      </c>
      <c r="AE353" s="25">
        <f>IFERROR((AD353-S353)/(T353-S353)*100,"--")</f>
        <v/>
      </c>
    </row>
    <row r="354">
      <c r="A354" s="26" t="inlineStr">
        <is>
          <t>BELRON</t>
        </is>
      </c>
      <c r="B354" s="36" t="inlineStr">
        <is>
          <t>XO_Legacy</t>
        </is>
      </c>
      <c r="C354" s="26" t="inlineStr">
        <is>
          <t>BELRON 4 5/8 10/15/29</t>
        </is>
      </c>
      <c r="D354" s="27" t="inlineStr">
        <is>
          <t>BELRON CDS EUR SR 5Y D14 Corp</t>
        </is>
      </c>
      <c r="E354" s="27" t="inlineStr">
        <is>
          <t>XS2915529783</t>
        </is>
      </c>
      <c r="F354" s="28" t="n">
        <v>45735</v>
      </c>
      <c r="G354" s="28" t="n">
        <v>46225</v>
      </c>
      <c r="H354" s="28" t="n">
        <v>47472</v>
      </c>
      <c r="I354" s="29" t="n">
        <v>71.98760223388672</v>
      </c>
      <c r="J354" s="29" t="n">
        <v>104.9916000366211</v>
      </c>
      <c r="K354" s="29" t="n">
        <v>94.971</v>
      </c>
      <c r="L354" s="29" t="n">
        <v>97.42</v>
      </c>
      <c r="M354" s="30" t="n">
        <v>342</v>
      </c>
      <c r="N354" s="31" t="n">
        <v>-22.98339776611328</v>
      </c>
      <c r="O354" s="32" t="n">
        <v>-63.77410272216798</v>
      </c>
      <c r="P354" s="32" t="n">
        <v>21.95209436035157</v>
      </c>
      <c r="Q354" s="33" t="n">
        <v>47.58254342810728</v>
      </c>
      <c r="R354" s="32" t="n">
        <v>10.02060003662109</v>
      </c>
      <c r="S354" s="32" t="n">
        <v>-31.3379989013672</v>
      </c>
      <c r="T354" s="32" t="n">
        <v>59.72089062500001</v>
      </c>
      <c r="U354" s="34" t="n">
        <v>45.41961707759724</v>
      </c>
      <c r="V354" s="20">
        <f>IFERROR(BDP(E354&amp;" Corp","LAST_PRICE"),"--")</f>
        <v/>
      </c>
      <c r="W354" s="21">
        <f>IFERROR(BDP(E354&amp;" Corp","YAS_BENCHMARK_BOND_ISIN"),"--")</f>
        <v/>
      </c>
      <c r="X354" s="22">
        <f>IFERROR(BDP(W354&amp;" CORP","LAST_PRICE"),"--")</f>
        <v/>
      </c>
      <c r="Y354" s="23">
        <f>IFERROR(BDP(E354&amp;" Corp","YAS_YLD_SPREAD","YAS_BOND_PX="&amp;V354,"YAS_BNCHMRK_BOND_PX="&amp;X354),"--")</f>
        <v/>
      </c>
      <c r="Z354" s="23">
        <f>IFERROR(BDP(E354&amp;" Corp","BLOOMBERG_MID_G_SPREAD","YAS_BOND_PX="&amp;V354,"YAS_BNCHMRK_BOND_PX="&amp;X354),"--")</f>
        <v/>
      </c>
      <c r="AA354" s="23">
        <f>IFERROR(BDP(D354,"LAST_PRICE"),"--")</f>
        <v/>
      </c>
      <c r="AB354" s="24" t="n"/>
      <c r="AC354" s="23">
        <f>IFERROR(IF(ISBLANK(AB354),AA354,AB354),"--")</f>
        <v/>
      </c>
      <c r="AD354" s="23">
        <f>IFERROR(MAX(-500,MIN(500,AC354-Z354)),"--")</f>
        <v/>
      </c>
      <c r="AE354" s="25">
        <f>IFERROR((AD354-S354)/(T354-S354)*100,"--")</f>
        <v/>
      </c>
    </row>
    <row r="355">
      <c r="A355" s="11" t="inlineStr">
        <is>
          <t>CLNVX</t>
        </is>
      </c>
      <c r="B355" s="36" t="inlineStr">
        <is>
          <t>XO_Legacy</t>
        </is>
      </c>
      <c r="C355" s="11" t="inlineStr">
        <is>
          <t>CLNVX 4 1/8 01/15/32</t>
        </is>
      </c>
      <c r="D355" s="12" t="inlineStr">
        <is>
          <t>CLNVX CDS EUR SR 5Y D14 Corp</t>
        </is>
      </c>
      <c r="E355" s="12" t="inlineStr">
        <is>
          <t>XS3311989787</t>
        </is>
      </c>
      <c r="F355" s="13" t="n">
        <v>46178</v>
      </c>
      <c r="G355" s="13" t="n">
        <v>46225</v>
      </c>
      <c r="H355" s="13" t="n">
        <v>48385</v>
      </c>
      <c r="I355" s="14" t="n">
        <v>111.722900390625</v>
      </c>
      <c r="J355" s="14" t="n">
        <v>92.472900390625</v>
      </c>
      <c r="K355" s="14" t="n">
        <v>144.062</v>
      </c>
      <c r="L355" s="14" t="n">
        <v>146.965</v>
      </c>
      <c r="M355" s="15" t="n">
        <v>34</v>
      </c>
      <c r="N355" s="16" t="n">
        <v>-32.33909960937501</v>
      </c>
      <c r="O355" s="17" t="n">
        <v>-42.14929931640626</v>
      </c>
      <c r="P355" s="17" t="n">
        <v>-32.33909960937501</v>
      </c>
      <c r="Q355" s="18" t="n">
        <v>100</v>
      </c>
      <c r="R355" s="17" t="n">
        <v>-51.58909960937501</v>
      </c>
      <c r="S355" s="17" t="n">
        <v>-59.78070037841798</v>
      </c>
      <c r="T355" s="17" t="n">
        <v>-51.12309692382811</v>
      </c>
      <c r="U355" s="19" t="n">
        <v>94.61741707169732</v>
      </c>
      <c r="V355" s="20">
        <f>IFERROR(BDP(E355&amp;" Corp","LAST_PRICE"),"--")</f>
        <v/>
      </c>
      <c r="W355" s="21">
        <f>IFERROR(BDP(E355&amp;" Corp","YAS_BENCHMARK_BOND_ISIN"),"--")</f>
        <v/>
      </c>
      <c r="X355" s="22">
        <f>IFERROR(BDP(W355&amp;" CORP","LAST_PRICE"),"--")</f>
        <v/>
      </c>
      <c r="Y355" s="23">
        <f>IFERROR(BDP(E355&amp;" Corp","YAS_YLD_SPREAD","YAS_BOND_PX="&amp;V355,"YAS_BNCHMRK_BOND_PX="&amp;X355),"--")</f>
        <v/>
      </c>
      <c r="Z355" s="23">
        <f>IFERROR(BDP(E355&amp;" Corp","BLOOMBERG_MID_G_SPREAD","YAS_BOND_PX="&amp;V355,"YAS_BNCHMRK_BOND_PX="&amp;X355),"--")</f>
        <v/>
      </c>
      <c r="AA355" s="23">
        <f>IFERROR(BDP(D355,"LAST_PRICE"),"--")</f>
        <v/>
      </c>
      <c r="AB355" s="24" t="n"/>
      <c r="AC355" s="23">
        <f>IFERROR(IF(ISBLANK(AB355),AA355,AB355),"--")</f>
        <v/>
      </c>
      <c r="AD355" s="23">
        <f>IFERROR(MAX(-500,MIN(500,AC355-Z355)),"--")</f>
        <v/>
      </c>
      <c r="AE355" s="25">
        <f>IFERROR((AD355-S355)/(T355-S355)*100,"--")</f>
        <v/>
      </c>
    </row>
    <row r="356">
      <c r="A356" s="26" t="inlineStr">
        <is>
          <t>CWCFIN</t>
        </is>
      </c>
      <c r="B356" s="36" t="inlineStr">
        <is>
          <t>XO_Legacy</t>
        </is>
      </c>
      <c r="C356" s="26" t="inlineStr">
        <is>
          <t>CWCFIN 9 01/15/33</t>
        </is>
      </c>
      <c r="D356" s="27" t="inlineStr">
        <is>
          <t>CY876602 Curncy</t>
        </is>
      </c>
      <c r="E356" s="27" t="inlineStr">
        <is>
          <t>USG3169MAA39</t>
        </is>
      </c>
      <c r="F356" s="28" t="n">
        <v>45695</v>
      </c>
      <c r="G356" s="28" t="n">
        <v>46225</v>
      </c>
      <c r="H356" s="28" t="n">
        <v>48750</v>
      </c>
      <c r="I356" s="29" t="n">
        <v>423.6164855957031</v>
      </c>
      <c r="J356" s="29" t="n">
        <v>393.3923034667969</v>
      </c>
      <c r="K356" s="29" t="n">
        <v>388.468</v>
      </c>
      <c r="L356" s="29" t="n">
        <v>388.343</v>
      </c>
      <c r="M356" s="30" t="n">
        <v>364</v>
      </c>
      <c r="N356" s="31" t="n">
        <v>35.14848559570311</v>
      </c>
      <c r="O356" s="32" t="n">
        <v>-105.0627927246094</v>
      </c>
      <c r="P356" s="32" t="n">
        <v>117.9737043457031</v>
      </c>
      <c r="Q356" s="33" t="n">
        <v>62.86472400797737</v>
      </c>
      <c r="R356" s="32" t="n">
        <v>4.924303466796857</v>
      </c>
      <c r="S356" s="32" t="n">
        <v>-134.8008908691406</v>
      </c>
      <c r="T356" s="32" t="n">
        <v>79.11399365234377</v>
      </c>
      <c r="U356" s="34" t="n">
        <v>65.31812624843518</v>
      </c>
      <c r="V356" s="20">
        <f>IFERROR(BDP(E356&amp;" Corp","LAST_PRICE"),"--")</f>
        <v/>
      </c>
      <c r="W356" s="21">
        <f>IFERROR(BDP(E356&amp;" Corp","YAS_BENCHMARK_BOND_ISIN"),"--")</f>
        <v/>
      </c>
      <c r="X356" s="22">
        <f>IFERROR(BDP(W356&amp;" CORP","LAST_PRICE"),"--")</f>
        <v/>
      </c>
      <c r="Y356" s="23">
        <f>IFERROR(BDP(E356&amp;" Corp","YAS_YLD_SPREAD","YAS_BOND_PX="&amp;V356,"YAS_BNCHMRK_BOND_PX="&amp;X356),"--")</f>
        <v/>
      </c>
      <c r="Z356" s="23">
        <f>IFERROR(BDP(E356&amp;" Corp","BLOOMBERG_MID_G_SPREAD","YAS_BOND_PX="&amp;V356,"YAS_BNCHMRK_BOND_PX="&amp;X356),"--")</f>
        <v/>
      </c>
      <c r="AA356" s="23">
        <f>IFERROR(BDP(D356,"LAST_PRICE"),"--")</f>
        <v/>
      </c>
      <c r="AB356" s="24" t="n"/>
      <c r="AC356" s="23">
        <f>IFERROR(IF(ISBLANK(AB356),AA356,AB356),"--")</f>
        <v/>
      </c>
      <c r="AD356" s="23">
        <f>IFERROR(MAX(-500,MIN(500,AC356-Z356)),"--")</f>
        <v/>
      </c>
      <c r="AE356" s="25">
        <f>IFERROR((AD356-S356)/(T356-S356)*100,"--")</f>
        <v/>
      </c>
    </row>
    <row r="357">
      <c r="A357" s="11" t="inlineStr">
        <is>
          <t>ELISGP</t>
        </is>
      </c>
      <c r="B357" s="36" t="inlineStr">
        <is>
          <t>XO_Legacy</t>
        </is>
      </c>
      <c r="C357" s="11" t="inlineStr">
        <is>
          <t>ELISGP 3 3/4 03/21/30</t>
        </is>
      </c>
      <c r="D357" s="12" t="inlineStr">
        <is>
          <t>ELISGP CDS EUR SR 5Y D14 Corp</t>
        </is>
      </c>
      <c r="E357" s="12" t="inlineStr">
        <is>
          <t>FR001400OP33</t>
        </is>
      </c>
      <c r="F357" s="13" t="n">
        <v>45922</v>
      </c>
      <c r="G357" s="13" t="n">
        <v>46225</v>
      </c>
      <c r="H357" s="13" t="n">
        <v>47654</v>
      </c>
      <c r="I357" s="14" t="n">
        <v>64.73780059814453</v>
      </c>
      <c r="J357" s="14" t="n">
        <v>79.86360168457031</v>
      </c>
      <c r="K357" s="14" t="n">
        <v>74.121</v>
      </c>
      <c r="L357" s="14" t="n">
        <v>76.73399999999999</v>
      </c>
      <c r="M357" s="15" t="n">
        <v>212</v>
      </c>
      <c r="N357" s="16" t="n">
        <v>-9.383199401855464</v>
      </c>
      <c r="O357" s="17" t="n">
        <v>-37.15249877929688</v>
      </c>
      <c r="P357" s="17" t="n">
        <v>-3.004496337890629</v>
      </c>
      <c r="Q357" s="18" t="n">
        <v>81.32042108492318</v>
      </c>
      <c r="R357" s="17" t="n">
        <v>5.742601684570317</v>
      </c>
      <c r="S357" s="17" t="n">
        <v>-22.01930139160156</v>
      </c>
      <c r="T357" s="17" t="n">
        <v>15.0844013671875</v>
      </c>
      <c r="U357" s="19" t="n">
        <v>74.82245978697016</v>
      </c>
      <c r="V357" s="20">
        <f>IFERROR(BDP(E357&amp;" Corp","LAST_PRICE"),"--")</f>
        <v/>
      </c>
      <c r="W357" s="21">
        <f>IFERROR(BDP(E357&amp;" Corp","YAS_BENCHMARK_BOND_ISIN"),"--")</f>
        <v/>
      </c>
      <c r="X357" s="22">
        <f>IFERROR(BDP(W357&amp;" CORP","LAST_PRICE"),"--")</f>
        <v/>
      </c>
      <c r="Y357" s="23">
        <f>IFERROR(BDP(E357&amp;" Corp","YAS_YLD_SPREAD","YAS_BOND_PX="&amp;V357,"YAS_BNCHMRK_BOND_PX="&amp;X357),"--")</f>
        <v/>
      </c>
      <c r="Z357" s="23">
        <f>IFERROR(BDP(E357&amp;" Corp","BLOOMBERG_MID_G_SPREAD","YAS_BOND_PX="&amp;V357,"YAS_BNCHMRK_BOND_PX="&amp;X357),"--")</f>
        <v/>
      </c>
      <c r="AA357" s="23">
        <f>IFERROR(BDP(D357,"LAST_PRICE"),"--")</f>
        <v/>
      </c>
      <c r="AB357" s="24" t="n"/>
      <c r="AC357" s="23">
        <f>IFERROR(IF(ISBLANK(AB357),AA357,AB357),"--")</f>
        <v/>
      </c>
      <c r="AD357" s="23">
        <f>IFERROR(MAX(-500,MIN(500,AC357-Z357)),"--")</f>
        <v/>
      </c>
      <c r="AE357" s="25">
        <f>IFERROR((AD357-S357)/(T357-S357)*100,"--")</f>
        <v/>
      </c>
    </row>
    <row r="358">
      <c r="A358" s="26" t="inlineStr">
        <is>
          <t>ELOFR</t>
        </is>
      </c>
      <c r="B358" s="36" t="inlineStr">
        <is>
          <t>XO_Legacy</t>
        </is>
      </c>
      <c r="C358" s="26" t="inlineStr">
        <is>
          <t>NIMMOH 6 03/22/29</t>
        </is>
      </c>
      <c r="D358" s="27" t="inlineStr">
        <is>
          <t>AUCHAN CDS EUR SR 5Y D14 Corp</t>
        </is>
      </c>
      <c r="E358" s="27" t="inlineStr">
        <is>
          <t>FR001400KWR6</t>
        </is>
      </c>
      <c r="F358" s="28" t="n">
        <v>45659</v>
      </c>
      <c r="G358" s="28" t="n">
        <v>46225</v>
      </c>
      <c r="H358" s="28" t="n">
        <v>47289</v>
      </c>
      <c r="I358" s="29" t="n">
        <v>51.97520065307617</v>
      </c>
      <c r="J358" s="29" t="n">
        <v>64.77169799804688</v>
      </c>
      <c r="K358" s="29" t="n">
        <v>181.46</v>
      </c>
      <c r="L358" s="29" t="n">
        <v>192.833</v>
      </c>
      <c r="M358" s="30" t="n">
        <v>396</v>
      </c>
      <c r="N358" s="31" t="n">
        <v>-129.4847993469238</v>
      </c>
      <c r="O358" s="32" t="n">
        <v>-267.3148994445801</v>
      </c>
      <c r="P358" s="32" t="n">
        <v>-55.61222070312499</v>
      </c>
      <c r="Q358" s="33" t="n">
        <v>65.10550594684879</v>
      </c>
      <c r="R358" s="32" t="n">
        <v>-116.6883020019531</v>
      </c>
      <c r="S358" s="32" t="n">
        <v>-252.2349014282227</v>
      </c>
      <c r="T358" s="32" t="n">
        <v>-28.91349023437499</v>
      </c>
      <c r="U358" s="34" t="n">
        <v>60.69574730951894</v>
      </c>
      <c r="V358" s="20">
        <f>IFERROR(BDP(E358&amp;" Corp","LAST_PRICE"),"--")</f>
        <v/>
      </c>
      <c r="W358" s="21">
        <f>IFERROR(BDP(E358&amp;" Corp","YAS_BENCHMARK_BOND_ISIN"),"--")</f>
        <v/>
      </c>
      <c r="X358" s="22">
        <f>IFERROR(BDP(W358&amp;" CORP","LAST_PRICE"),"--")</f>
        <v/>
      </c>
      <c r="Y358" s="23">
        <f>IFERROR(BDP(E358&amp;" Corp","YAS_YLD_SPREAD","YAS_BOND_PX="&amp;V358,"YAS_BNCHMRK_BOND_PX="&amp;X358),"--")</f>
        <v/>
      </c>
      <c r="Z358" s="23">
        <f>IFERROR(BDP(E358&amp;" Corp","BLOOMBERG_MID_G_SPREAD","YAS_BOND_PX="&amp;V358,"YAS_BNCHMRK_BOND_PX="&amp;X358),"--")</f>
        <v/>
      </c>
      <c r="AA358" s="23">
        <f>IFERROR(BDP(D358,"LAST_PRICE"),"--")</f>
        <v/>
      </c>
      <c r="AB358" s="24" t="n"/>
      <c r="AC358" s="23">
        <f>IFERROR(IF(ISBLANK(AB358),AA358,AB358),"--")</f>
        <v/>
      </c>
      <c r="AD358" s="23">
        <f>IFERROR(MAX(-500,MIN(500,AC358-Z358)),"--")</f>
        <v/>
      </c>
      <c r="AE358" s="25">
        <f>IFERROR((AD358-S358)/(T358-S358)*100,"--")</f>
        <v/>
      </c>
    </row>
    <row r="359">
      <c r="A359" s="11" t="inlineStr">
        <is>
          <t>ENAPHO</t>
        </is>
      </c>
      <c r="B359" s="36" t="inlineStr">
        <is>
          <t>XO_Legacy</t>
        </is>
      </c>
      <c r="C359" s="11" t="inlineStr">
        <is>
          <t>ENAPHO 1.816 03/02/31</t>
        </is>
      </c>
      <c r="D359" s="12" t="inlineStr">
        <is>
          <t>ENAPHO CDS EUR SR 5Y D14 Corp</t>
        </is>
      </c>
      <c r="E359" s="12" t="inlineStr">
        <is>
          <t>XS2304675791</t>
        </is>
      </c>
      <c r="F359" s="13" t="n">
        <v>45922</v>
      </c>
      <c r="G359" s="13" t="n">
        <v>46225</v>
      </c>
      <c r="H359" s="13" t="n">
        <v>48019</v>
      </c>
      <c r="I359" s="14" t="n">
        <v>131.7151031494141</v>
      </c>
      <c r="J359" s="14" t="n">
        <v>131.7151031494141</v>
      </c>
      <c r="K359" s="14" t="n">
        <v>129.122</v>
      </c>
      <c r="L359" s="14" t="n">
        <v>135.966</v>
      </c>
      <c r="M359" s="15" t="n">
        <v>212</v>
      </c>
      <c r="N359" s="16" t="n">
        <v>2.593103149414048</v>
      </c>
      <c r="O359" s="17" t="n">
        <v>-20.32730554199219</v>
      </c>
      <c r="P359" s="17" t="n">
        <v>4.020298461914052</v>
      </c>
      <c r="Q359" s="18" t="n">
        <v>94.13825149993802</v>
      </c>
      <c r="R359" s="17" t="n">
        <v>2.593103149414048</v>
      </c>
      <c r="S359" s="17" t="n">
        <v>-20.32730554199219</v>
      </c>
      <c r="T359" s="17" t="n">
        <v>4.020298461914052</v>
      </c>
      <c r="U359" s="19" t="n">
        <v>94.13825149993802</v>
      </c>
      <c r="V359" s="20">
        <f>IFERROR(BDP(E359&amp;" Corp","LAST_PRICE"),"--")</f>
        <v/>
      </c>
      <c r="W359" s="21">
        <f>IFERROR(BDP(E359&amp;" Corp","YAS_BENCHMARK_BOND_ISIN"),"--")</f>
        <v/>
      </c>
      <c r="X359" s="22">
        <f>IFERROR(BDP(W359&amp;" CORP","LAST_PRICE"),"--")</f>
        <v/>
      </c>
      <c r="Y359" s="23">
        <f>IFERROR(BDP(E359&amp;" Corp","YAS_YLD_SPREAD","YAS_BOND_PX="&amp;V359,"YAS_BNCHMRK_BOND_PX="&amp;X359),"--")</f>
        <v/>
      </c>
      <c r="Z359" s="23">
        <f>IFERROR(BDP(E359&amp;" Corp","BLOOMBERG_MID_G_SPREAD","YAS_BOND_PX="&amp;V359,"YAS_BNCHMRK_BOND_PX="&amp;X359),"--")</f>
        <v/>
      </c>
      <c r="AA359" s="23">
        <f>IFERROR(BDP(D359,"LAST_PRICE"),"--")</f>
        <v/>
      </c>
      <c r="AB359" s="24" t="n"/>
      <c r="AC359" s="23">
        <f>IFERROR(IF(ISBLANK(AB359),AA359,AB359),"--")</f>
        <v/>
      </c>
      <c r="AD359" s="23">
        <f>IFERROR(MAX(-500,MIN(500,AC359-Z359)),"--")</f>
        <v/>
      </c>
      <c r="AE359" s="25">
        <f>IFERROR((AD359-S359)/(T359-S359)*100,"--")</f>
        <v/>
      </c>
    </row>
    <row r="360">
      <c r="A360" s="26" t="inlineStr">
        <is>
          <t>FTI</t>
        </is>
      </c>
      <c r="B360" s="36" t="inlineStr">
        <is>
          <t>XO_Legacy</t>
        </is>
      </c>
      <c r="C360" s="26" t="inlineStr">
        <is>
          <t>FTI 4 06/14/32</t>
        </is>
      </c>
      <c r="D360" s="27" t="inlineStr">
        <is>
          <t>FTI CDS EUR SR 5Y D14 Corp</t>
        </is>
      </c>
      <c r="E360" s="27" t="inlineStr">
        <is>
          <t>FR0011270487</t>
        </is>
      </c>
      <c r="F360" s="28" t="n">
        <v>45922</v>
      </c>
      <c r="G360" s="28" t="n">
        <v>46225</v>
      </c>
      <c r="H360" s="28" t="n">
        <v>48385</v>
      </c>
      <c r="I360" s="29" t="n">
        <v>73.41670227050781</v>
      </c>
      <c r="J360" s="29" t="n">
        <v>62.30039978027344</v>
      </c>
      <c r="K360" s="29" t="n">
        <v>430.922</v>
      </c>
      <c r="L360" s="29" t="n">
        <v>430.197</v>
      </c>
      <c r="M360" s="30" t="n">
        <v>210</v>
      </c>
      <c r="N360" s="31" t="n">
        <v>-357.5052977294922</v>
      </c>
      <c r="O360" s="32" t="n">
        <v>-359.0842024536133</v>
      </c>
      <c r="P360" s="32" t="n">
        <v>-313.0031964111328</v>
      </c>
      <c r="Q360" s="33" t="n">
        <v>3.426367737426399</v>
      </c>
      <c r="R360" s="32" t="n">
        <v>-368.6216002197266</v>
      </c>
      <c r="S360" s="32" t="n">
        <v>-369.7354017944336</v>
      </c>
      <c r="T360" s="32" t="n">
        <v>-322.0606991577149</v>
      </c>
      <c r="U360" s="34" t="n">
        <v>2.336252798877773</v>
      </c>
      <c r="V360" s="20">
        <f>IFERROR(BDP(E360&amp;" Corp","LAST_PRICE"),"--")</f>
        <v/>
      </c>
      <c r="W360" s="21">
        <f>IFERROR(BDP(E360&amp;" Corp","YAS_BENCHMARK_BOND_ISIN"),"--")</f>
        <v/>
      </c>
      <c r="X360" s="22">
        <f>IFERROR(BDP(W360&amp;" CORP","LAST_PRICE"),"--")</f>
        <v/>
      </c>
      <c r="Y360" s="23">
        <f>IFERROR(BDP(E360&amp;" Corp","YAS_YLD_SPREAD","YAS_BOND_PX="&amp;V360,"YAS_BNCHMRK_BOND_PX="&amp;X360),"--")</f>
        <v/>
      </c>
      <c r="Z360" s="23">
        <f>IFERROR(BDP(E360&amp;" Corp","BLOOMBERG_MID_G_SPREAD","YAS_BOND_PX="&amp;V360,"YAS_BNCHMRK_BOND_PX="&amp;X360),"--")</f>
        <v/>
      </c>
      <c r="AA360" s="23">
        <f>IFERROR(BDP(D360,"LAST_PRICE"),"--")</f>
        <v/>
      </c>
      <c r="AB360" s="24" t="n"/>
      <c r="AC360" s="23">
        <f>IFERROR(IF(ISBLANK(AB360),AA360,AB360),"--")</f>
        <v/>
      </c>
      <c r="AD360" s="23">
        <f>IFERROR(MAX(-500,MIN(500,AC360-Z360)),"--")</f>
        <v/>
      </c>
      <c r="AE360" s="25">
        <f>IFERROR((AD360-S360)/(T360-S360)*100,"--")</f>
        <v/>
      </c>
    </row>
    <row r="361">
      <c r="A361" s="11" t="inlineStr">
        <is>
          <t>MERLLN</t>
        </is>
      </c>
      <c r="B361" s="36" t="inlineStr">
        <is>
          <t>XO_Legacy</t>
        </is>
      </c>
      <c r="C361" s="11" t="inlineStr">
        <is>
          <t>MERLLN 4 1/2 11/15/27</t>
        </is>
      </c>
      <c r="D361" s="12" t="inlineStr">
        <is>
          <t>MERLLN CDS EUR SR 5Y D14 Corp</t>
        </is>
      </c>
      <c r="E361" s="12" t="inlineStr">
        <is>
          <t>XS2064643484</t>
        </is>
      </c>
      <c r="F361" s="13" t="n">
        <v>45659</v>
      </c>
      <c r="G361" s="13" t="n">
        <v>46225</v>
      </c>
      <c r="H361" s="13" t="n">
        <v>46741</v>
      </c>
      <c r="I361" s="14" t="n">
        <v>322.8062133789062</v>
      </c>
      <c r="J361" s="14" t="n">
        <v>243.1374969482422</v>
      </c>
      <c r="K361" s="14" t="n">
        <v>559.074</v>
      </c>
      <c r="L361" s="14" t="n">
        <v>573.4930000000001</v>
      </c>
      <c r="M361" s="15" t="n">
        <v>395</v>
      </c>
      <c r="N361" s="16" t="n">
        <v>-236.2677866210937</v>
      </c>
      <c r="O361" s="17" t="n">
        <v>-542.99359765625</v>
      </c>
      <c r="P361" s="17" t="n">
        <v>-7.819701660156227</v>
      </c>
      <c r="Q361" s="18" t="n">
        <v>57.31329822510535</v>
      </c>
      <c r="R361" s="17" t="n">
        <v>-315.9365030517578</v>
      </c>
      <c r="S361" s="17" t="n">
        <v>-346.722314453125</v>
      </c>
      <c r="T361" s="17" t="n">
        <v>197.6209111328125</v>
      </c>
      <c r="U361" s="19" t="n">
        <v>5.655588230794835</v>
      </c>
      <c r="V361" s="20">
        <f>IFERROR(BDP(E361&amp;" Corp","LAST_PRICE"),"--")</f>
        <v/>
      </c>
      <c r="W361" s="21">
        <f>IFERROR(BDP(E361&amp;" Corp","YAS_BENCHMARK_BOND_ISIN"),"--")</f>
        <v/>
      </c>
      <c r="X361" s="22">
        <f>IFERROR(BDP(W361&amp;" CORP","LAST_PRICE"),"--")</f>
        <v/>
      </c>
      <c r="Y361" s="23">
        <f>IFERROR(BDP(E361&amp;" Corp","YAS_YLD_SPREAD","YAS_BOND_PX="&amp;V361,"YAS_BNCHMRK_BOND_PX="&amp;X361),"--")</f>
        <v/>
      </c>
      <c r="Z361" s="23">
        <f>IFERROR(BDP(E361&amp;" Corp","BLOOMBERG_MID_G_SPREAD","YAS_BOND_PX="&amp;V361,"YAS_BNCHMRK_BOND_PX="&amp;X361),"--")</f>
        <v/>
      </c>
      <c r="AA361" s="23">
        <f>IFERROR(BDP(D361,"LAST_PRICE"),"--")</f>
        <v/>
      </c>
      <c r="AB361" s="24" t="n"/>
      <c r="AC361" s="23">
        <f>IFERROR(IF(ISBLANK(AB361),AA361,AB361),"--")</f>
        <v/>
      </c>
      <c r="AD361" s="23">
        <f>IFERROR(MAX(-500,MIN(500,AC361-Z361)),"--")</f>
        <v/>
      </c>
      <c r="AE361" s="25">
        <f>IFERROR((AD361-S361)/(T361-S361)*100,"--")</f>
        <v/>
      </c>
    </row>
    <row r="362">
      <c r="A362" s="26" t="inlineStr">
        <is>
          <t>PPFTEL</t>
        </is>
      </c>
      <c r="B362" s="36" t="inlineStr">
        <is>
          <t>XO_Legacy</t>
        </is>
      </c>
      <c r="C362" s="26" t="inlineStr">
        <is>
          <t>PPFTEL 3 1/4 09/29/27</t>
        </is>
      </c>
      <c r="D362" s="27" t="inlineStr">
        <is>
          <t>PPFTEL CDS EUR SR 5Y D14 Corp</t>
        </is>
      </c>
      <c r="E362" s="27" t="inlineStr">
        <is>
          <t>XS2238777374</t>
        </is>
      </c>
      <c r="F362" s="28" t="n">
        <v>45686</v>
      </c>
      <c r="G362" s="28" t="n">
        <v>46225</v>
      </c>
      <c r="H362" s="28" t="n">
        <v>46741</v>
      </c>
      <c r="I362" s="29" t="n">
        <v>33.27109909057617</v>
      </c>
      <c r="J362" s="29" t="n">
        <v>49.83580017089844</v>
      </c>
      <c r="K362" s="29" t="n">
        <v>27.877</v>
      </c>
      <c r="L362" s="29" t="n">
        <v>29.138</v>
      </c>
      <c r="M362" s="30" t="n">
        <v>377</v>
      </c>
      <c r="N362" s="31" t="n">
        <v>5.394099090576173</v>
      </c>
      <c r="O362" s="32" t="n">
        <v>-165.3637012023926</v>
      </c>
      <c r="P362" s="32" t="n">
        <v>5.394099090576173</v>
      </c>
      <c r="Q362" s="33" t="n">
        <v>100</v>
      </c>
      <c r="R362" s="32" t="n">
        <v>21.95880017089844</v>
      </c>
      <c r="S362" s="32" t="n">
        <v>-144.3982013244629</v>
      </c>
      <c r="T362" s="32" t="n">
        <v>21.95880017089844</v>
      </c>
      <c r="U362" s="34" t="n">
        <v>100</v>
      </c>
      <c r="V362" s="20">
        <f>IFERROR(BDP(E362&amp;" Corp","LAST_PRICE"),"--")</f>
        <v/>
      </c>
      <c r="W362" s="21">
        <f>IFERROR(BDP(E362&amp;" Corp","YAS_BENCHMARK_BOND_ISIN"),"--")</f>
        <v/>
      </c>
      <c r="X362" s="22">
        <f>IFERROR(BDP(W362&amp;" CORP","LAST_PRICE"),"--")</f>
        <v/>
      </c>
      <c r="Y362" s="23">
        <f>IFERROR(BDP(E362&amp;" Corp","YAS_YLD_SPREAD","YAS_BOND_PX="&amp;V362,"YAS_BNCHMRK_BOND_PX="&amp;X362),"--")</f>
        <v/>
      </c>
      <c r="Z362" s="23">
        <f>IFERROR(BDP(E362&amp;" Corp","BLOOMBERG_MID_G_SPREAD","YAS_BOND_PX="&amp;V362,"YAS_BNCHMRK_BOND_PX="&amp;X362),"--")</f>
        <v/>
      </c>
      <c r="AA362" s="23">
        <f>IFERROR(BDP(D362,"LAST_PRICE"),"--")</f>
        <v/>
      </c>
      <c r="AB362" s="24" t="n"/>
      <c r="AC362" s="23">
        <f>IFERROR(IF(ISBLANK(AB362),AA362,AB362),"--")</f>
        <v/>
      </c>
      <c r="AD362" s="23">
        <f>IFERROR(MAX(-500,MIN(500,AC362-Z362)),"--")</f>
        <v/>
      </c>
      <c r="AE362" s="25">
        <f>IFERROR((AD362-S362)/(T362-S362)*100,"--")</f>
        <v/>
      </c>
    </row>
    <row r="363">
      <c r="A363" s="11" t="inlineStr">
        <is>
          <t>ROSINI</t>
        </is>
      </c>
      <c r="B363" s="36" t="inlineStr">
        <is>
          <t>XO_Legacy</t>
        </is>
      </c>
      <c r="C363" s="11" t="inlineStr">
        <is>
          <t>ROSINI 6 3/4 12/31/29</t>
        </is>
      </c>
      <c r="D363" s="12" t="inlineStr">
        <is>
          <t>ROSINI CDS EUR SR 5Y D14 Corp</t>
        </is>
      </c>
      <c r="E363" s="12" t="inlineStr">
        <is>
          <t>XS2854303729</t>
        </is>
      </c>
      <c r="F363" s="13" t="n">
        <v>45659</v>
      </c>
      <c r="G363" s="13" t="n">
        <v>46225</v>
      </c>
      <c r="H363" s="13" t="n">
        <v>47654</v>
      </c>
      <c r="I363" s="14" t="n">
        <v>91.15709686279297</v>
      </c>
      <c r="J363" s="14" t="n">
        <v>115.0086975097656</v>
      </c>
      <c r="K363" s="14" t="n">
        <v>-784.8</v>
      </c>
      <c r="L363" s="14" t="n">
        <v>-1820.08</v>
      </c>
      <c r="M363" s="15" t="n">
        <v>396</v>
      </c>
      <c r="N363" s="16" t="n">
        <v>875.9570968627929</v>
      </c>
      <c r="O363" s="17" t="n">
        <v>-123.7155056152343</v>
      </c>
      <c r="P363" s="17" t="n">
        <v>1821.40640222168</v>
      </c>
      <c r="Q363" s="18" t="n">
        <v>51.39382773132816</v>
      </c>
      <c r="R363" s="17" t="n">
        <v>899.8086975097656</v>
      </c>
      <c r="S363" s="17" t="n">
        <v>-71.97769738769529</v>
      </c>
      <c r="T363" s="17" t="n">
        <v>1848.038695922852</v>
      </c>
      <c r="U363" s="19" t="n">
        <v>50.61344258742913</v>
      </c>
      <c r="V363" s="20">
        <f>IFERROR(BDP(E363&amp;" Corp","LAST_PRICE"),"--")</f>
        <v/>
      </c>
      <c r="W363" s="21">
        <f>IFERROR(BDP(E363&amp;" Corp","YAS_BENCHMARK_BOND_ISIN"),"--")</f>
        <v/>
      </c>
      <c r="X363" s="22">
        <f>IFERROR(BDP(W363&amp;" CORP","LAST_PRICE"),"--")</f>
        <v/>
      </c>
      <c r="Y363" s="23">
        <f>IFERROR(BDP(E363&amp;" Corp","YAS_YLD_SPREAD","YAS_BOND_PX="&amp;V363,"YAS_BNCHMRK_BOND_PX="&amp;X363),"--")</f>
        <v/>
      </c>
      <c r="Z363" s="23">
        <f>IFERROR(BDP(E363&amp;" Corp","BLOOMBERG_MID_G_SPREAD","YAS_BOND_PX="&amp;V363,"YAS_BNCHMRK_BOND_PX="&amp;X363),"--")</f>
        <v/>
      </c>
      <c r="AA363" s="23">
        <f>IFERROR(BDP(D363,"LAST_PRICE"),"--")</f>
        <v/>
      </c>
      <c r="AB363" s="24" t="n"/>
      <c r="AC363" s="23">
        <f>IFERROR(IF(ISBLANK(AB363),AA363,AB363),"--")</f>
        <v/>
      </c>
      <c r="AD363" s="23">
        <f>IFERROR(MAX(-500,MIN(500,AC363-Z363)),"--")</f>
        <v/>
      </c>
      <c r="AE363" s="25">
        <f>IFERROR((AD363-S363)/(T363-S363)*100,"--")</f>
        <v/>
      </c>
    </row>
    <row r="364">
      <c r="A364" s="26" t="inlineStr">
        <is>
          <t>SFRFP</t>
        </is>
      </c>
      <c r="B364" s="36" t="inlineStr">
        <is>
          <t>XO_Legacy</t>
        </is>
      </c>
      <c r="C364" s="26" t="inlineStr">
        <is>
          <t>SFRFP 5 1/2 10/15/29</t>
        </is>
      </c>
      <c r="D364" s="27" t="inlineStr">
        <is>
          <t>SFRFP CDS EUR SR 5Y D14 Corp</t>
        </is>
      </c>
      <c r="E364" s="27" t="inlineStr">
        <is>
          <t>USF0265PEF11</t>
        </is>
      </c>
      <c r="F364" s="28" t="n">
        <v>45659</v>
      </c>
      <c r="G364" s="28" t="n">
        <v>46225</v>
      </c>
      <c r="H364" s="28" t="n">
        <v>47472</v>
      </c>
      <c r="I364" s="29" t="n">
        <v>232.8421020507812</v>
      </c>
      <c r="J364" s="29" t="n">
        <v>274.4985961914062</v>
      </c>
      <c r="K364" s="29" t="n">
        <v>863.422</v>
      </c>
      <c r="L364" s="29" t="n">
        <v>855.0069999999999</v>
      </c>
      <c r="M364" s="30" t="n">
        <v>308</v>
      </c>
      <c r="N364" s="31" t="n">
        <v>-630.5798979492188</v>
      </c>
      <c r="O364" s="32" t="n">
        <v>-667.1101993408203</v>
      </c>
      <c r="P364" s="32" t="n">
        <v>615.657087890625</v>
      </c>
      <c r="Q364" s="33" t="n">
        <v>2.847773072732751</v>
      </c>
      <c r="R364" s="32" t="n">
        <v>-588.9234038085938</v>
      </c>
      <c r="S364" s="32" t="n">
        <v>-632.6493076171874</v>
      </c>
      <c r="T364" s="32" t="n">
        <v>464.1313310546875</v>
      </c>
      <c r="U364" s="34" t="n">
        <v>3.986750154665632</v>
      </c>
      <c r="V364" s="20">
        <f>IFERROR(BDP(E364&amp;" Corp","LAST_PRICE"),"--")</f>
        <v/>
      </c>
      <c r="W364" s="21">
        <f>IFERROR(BDP(E364&amp;" Corp","YAS_BENCHMARK_BOND_ISIN"),"--")</f>
        <v/>
      </c>
      <c r="X364" s="22">
        <f>IFERROR(BDP(W364&amp;" CORP","LAST_PRICE"),"--")</f>
        <v/>
      </c>
      <c r="Y364" s="23">
        <f>IFERROR(BDP(E364&amp;" Corp","YAS_YLD_SPREAD","YAS_BOND_PX="&amp;V364,"YAS_BNCHMRK_BOND_PX="&amp;X364),"--")</f>
        <v/>
      </c>
      <c r="Z364" s="23">
        <f>IFERROR(BDP(E364&amp;" Corp","BLOOMBERG_MID_G_SPREAD","YAS_BOND_PX="&amp;V364,"YAS_BNCHMRK_BOND_PX="&amp;X364),"--")</f>
        <v/>
      </c>
      <c r="AA364" s="23">
        <f>IFERROR(BDP(D364,"LAST_PRICE"),"--")</f>
        <v/>
      </c>
      <c r="AB364" s="24" t="n"/>
      <c r="AC364" s="23">
        <f>IFERROR(IF(ISBLANK(AB364),AA364,AB364),"--")</f>
        <v/>
      </c>
      <c r="AD364" s="23">
        <f>IFERROR(MAX(-500,MIN(500,AC364-Z364)),"--")</f>
        <v/>
      </c>
      <c r="AE364" s="25">
        <f>IFERROR((AD364-S364)/(T364-S364)*100,"--")</f>
        <v/>
      </c>
    </row>
    <row r="365">
      <c r="A365" s="11" t="inlineStr">
        <is>
          <t>SYNNVX</t>
        </is>
      </c>
      <c r="B365" s="36" t="inlineStr">
        <is>
          <t>XO_Legacy</t>
        </is>
      </c>
      <c r="C365" s="11" t="inlineStr">
        <is>
          <t>SYNNVX 5.182 04/24/28</t>
        </is>
      </c>
      <c r="D365" s="12" t="inlineStr">
        <is>
          <t>SYNNVX CDS EUR SR 5Y D14 Corp</t>
        </is>
      </c>
      <c r="E365" s="12" t="inlineStr">
        <is>
          <t>USN84413CG11</t>
        </is>
      </c>
      <c r="F365" s="13" t="n">
        <v>45659</v>
      </c>
      <c r="G365" s="13" t="n">
        <v>46225</v>
      </c>
      <c r="H365" s="13" t="n">
        <v>46924</v>
      </c>
      <c r="I365" s="14" t="n">
        <v>38.14179992675781</v>
      </c>
      <c r="J365" s="14" t="n">
        <v>80.59870147705078</v>
      </c>
      <c r="K365" s="14" t="n">
        <v>69.758</v>
      </c>
      <c r="L365" s="14" t="n">
        <v>58.682</v>
      </c>
      <c r="M365" s="15" t="n">
        <v>389</v>
      </c>
      <c r="N365" s="16" t="n">
        <v>-31.61620007324218</v>
      </c>
      <c r="O365" s="17" t="n">
        <v>-64.45559945678711</v>
      </c>
      <c r="P365" s="17" t="n">
        <v>-9.157403564453119</v>
      </c>
      <c r="Q365" s="18" t="n">
        <v>59.38602309464759</v>
      </c>
      <c r="R365" s="17" t="n">
        <v>10.84070147705079</v>
      </c>
      <c r="S365" s="17" t="n">
        <v>-12.83009973144532</v>
      </c>
      <c r="T365" s="17" t="n">
        <v>48.32280578613282</v>
      </c>
      <c r="U365" s="19" t="n">
        <v>38.70756590901807</v>
      </c>
      <c r="V365" s="20">
        <f>IFERROR(BDP(E365&amp;" Corp","LAST_PRICE"),"--")</f>
        <v/>
      </c>
      <c r="W365" s="21">
        <f>IFERROR(BDP(E365&amp;" Corp","YAS_BENCHMARK_BOND_ISIN"),"--")</f>
        <v/>
      </c>
      <c r="X365" s="22">
        <f>IFERROR(BDP(W365&amp;" CORP","LAST_PRICE"),"--")</f>
        <v/>
      </c>
      <c r="Y365" s="23">
        <f>IFERROR(BDP(E365&amp;" Corp","YAS_YLD_SPREAD","YAS_BOND_PX="&amp;V365,"YAS_BNCHMRK_BOND_PX="&amp;X365),"--")</f>
        <v/>
      </c>
      <c r="Z365" s="23">
        <f>IFERROR(BDP(E365&amp;" Corp","BLOOMBERG_MID_G_SPREAD","YAS_BOND_PX="&amp;V365,"YAS_BNCHMRK_BOND_PX="&amp;X365),"--")</f>
        <v/>
      </c>
      <c r="AA365" s="23">
        <f>IFERROR(BDP(D365,"LAST_PRICE"),"--")</f>
        <v/>
      </c>
      <c r="AB365" s="24" t="n"/>
      <c r="AC365" s="23">
        <f>IFERROR(IF(ISBLANK(AB365),AA365,AB365),"--")</f>
        <v/>
      </c>
      <c r="AD365" s="23">
        <f>IFERROR(MAX(-500,MIN(500,AC365-Z365)),"--")</f>
        <v/>
      </c>
      <c r="AE365" s="25">
        <f>IFERROR((AD365-S365)/(T365-S365)*100,"--")</f>
        <v/>
      </c>
    </row>
    <row r="366">
      <c r="A366" s="26" t="inlineStr">
        <is>
          <t>TCHEN</t>
        </is>
      </c>
      <c r="B366" s="36" t="inlineStr">
        <is>
          <t>XO_Legacy</t>
        </is>
      </c>
      <c r="C366" s="26" t="inlineStr">
        <is>
          <t>TCHEN 5 3/8 07/15/29</t>
        </is>
      </c>
      <c r="D366" s="27" t="inlineStr">
        <is>
          <t>TCHEN A CDS EUR SR 5Y D14 Corp</t>
        </is>
      </c>
      <c r="E366" s="27" t="inlineStr">
        <is>
          <t>XS2767965853</t>
        </is>
      </c>
      <c r="F366" s="28" t="n">
        <v>45735</v>
      </c>
      <c r="G366" s="28" t="n">
        <v>46225</v>
      </c>
      <c r="H366" s="28" t="n">
        <v>47472</v>
      </c>
      <c r="I366" s="29" t="n">
        <v>147.3032073974609</v>
      </c>
      <c r="J366" s="29" t="n">
        <v>203.1584930419922</v>
      </c>
      <c r="K366" s="29" t="n">
        <v>124.513</v>
      </c>
      <c r="L366" s="29" t="n">
        <v>118.911</v>
      </c>
      <c r="M366" s="30" t="n">
        <v>342</v>
      </c>
      <c r="N366" s="31" t="n">
        <v>22.79020739746093</v>
      </c>
      <c r="O366" s="32" t="n">
        <v>-113.9960895996094</v>
      </c>
      <c r="P366" s="32" t="n">
        <v>121.1401044921875</v>
      </c>
      <c r="Q366" s="33" t="n">
        <v>58.17322064151005</v>
      </c>
      <c r="R366" s="32" t="n">
        <v>78.64549304199218</v>
      </c>
      <c r="S366" s="32" t="n">
        <v>-34.90520825195313</v>
      </c>
      <c r="T366" s="32" t="n">
        <v>174.6974927978516</v>
      </c>
      <c r="U366" s="34" t="n">
        <v>54.17425478069769</v>
      </c>
      <c r="V366" s="20">
        <f>IFERROR(BDP(E366&amp;" Corp","LAST_PRICE"),"--")</f>
        <v/>
      </c>
      <c r="W366" s="21">
        <f>IFERROR(BDP(E366&amp;" Corp","YAS_BENCHMARK_BOND_ISIN"),"--")</f>
        <v/>
      </c>
      <c r="X366" s="22">
        <f>IFERROR(BDP(W366&amp;" CORP","LAST_PRICE"),"--")</f>
        <v/>
      </c>
      <c r="Y366" s="23">
        <f>IFERROR(BDP(E366&amp;" Corp","YAS_YLD_SPREAD","YAS_BOND_PX="&amp;V366,"YAS_BNCHMRK_BOND_PX="&amp;X366),"--")</f>
        <v/>
      </c>
      <c r="Z366" s="23">
        <f>IFERROR(BDP(E366&amp;" Corp","BLOOMBERG_MID_G_SPREAD","YAS_BOND_PX="&amp;V366,"YAS_BNCHMRK_BOND_PX="&amp;X366),"--")</f>
        <v/>
      </c>
      <c r="AA366" s="23">
        <f>IFERROR(BDP(D366,"LAST_PRICE"),"--")</f>
        <v/>
      </c>
      <c r="AB366" s="24" t="n"/>
      <c r="AC366" s="23">
        <f>IFERROR(IF(ISBLANK(AB366),AA366,AB366),"--")</f>
        <v/>
      </c>
      <c r="AD366" s="23">
        <f>IFERROR(MAX(-500,MIN(500,AC366-Z366)),"--")</f>
        <v/>
      </c>
      <c r="AE366" s="25">
        <f>IFERROR((AD366-S366)/(T366-S366)*100,"--")</f>
        <v/>
      </c>
    </row>
    <row r="367">
      <c r="A367" s="11" t="inlineStr">
        <is>
          <t>THYELE</t>
        </is>
      </c>
      <c r="B367" s="36" t="inlineStr">
        <is>
          <t>XO_Legacy</t>
        </is>
      </c>
      <c r="C367" s="11" t="inlineStr">
        <is>
          <t>THYELE 4 3/8 07/15/27</t>
        </is>
      </c>
      <c r="D367" s="12" t="inlineStr">
        <is>
          <t>THYELE CDS EUR SR 5Y D14 Corp</t>
        </is>
      </c>
      <c r="E367" s="12" t="inlineStr">
        <is>
          <t>XS2199597456</t>
        </is>
      </c>
      <c r="F367" s="13" t="n">
        <v>45659</v>
      </c>
      <c r="G367" s="13" t="n">
        <v>46225</v>
      </c>
      <c r="H367" s="13" t="n">
        <v>46741</v>
      </c>
      <c r="I367" s="14" t="n">
        <v>39.94929885864258</v>
      </c>
      <c r="J367" s="14" t="n">
        <v>92.51670074462891</v>
      </c>
      <c r="K367" s="14" t="n">
        <v>-1144.455</v>
      </c>
      <c r="L367" s="14" t="n">
        <v>-1636.919</v>
      </c>
      <c r="M367" s="15" t="n">
        <v>396</v>
      </c>
      <c r="N367" s="16" t="n">
        <v>1184.404298858643</v>
      </c>
      <c r="O367" s="17" t="n">
        <v>-253.0267004394531</v>
      </c>
      <c r="P367" s="17" t="n">
        <v>4161.042403198242</v>
      </c>
      <c r="Q367" s="18" t="n">
        <v>32.56475976131613</v>
      </c>
      <c r="R367" s="17" t="n">
        <v>1236.971700744629</v>
      </c>
      <c r="S367" s="17" t="n">
        <v>-161.5456976318359</v>
      </c>
      <c r="T367" s="17" t="n">
        <v>4249.319594360351</v>
      </c>
      <c r="U367" s="19" t="n">
        <v>31.70619154739179</v>
      </c>
      <c r="V367" s="20">
        <f>IFERROR(BDP(E367&amp;" Corp","LAST_PRICE"),"--")</f>
        <v/>
      </c>
      <c r="W367" s="21">
        <f>IFERROR(BDP(E367&amp;" Corp","YAS_BENCHMARK_BOND_ISIN"),"--")</f>
        <v/>
      </c>
      <c r="X367" s="22">
        <f>IFERROR(BDP(W367&amp;" CORP","LAST_PRICE"),"--")</f>
        <v/>
      </c>
      <c r="Y367" s="23">
        <f>IFERROR(BDP(E367&amp;" Corp","YAS_YLD_SPREAD","YAS_BOND_PX="&amp;V367,"YAS_BNCHMRK_BOND_PX="&amp;X367),"--")</f>
        <v/>
      </c>
      <c r="Z367" s="23">
        <f>IFERROR(BDP(E367&amp;" Corp","BLOOMBERG_MID_G_SPREAD","YAS_BOND_PX="&amp;V367,"YAS_BNCHMRK_BOND_PX="&amp;X367),"--")</f>
        <v/>
      </c>
      <c r="AA367" s="23">
        <f>IFERROR(BDP(D367,"LAST_PRICE"),"--")</f>
        <v/>
      </c>
      <c r="AB367" s="24" t="n"/>
      <c r="AC367" s="23">
        <f>IFERROR(IF(ISBLANK(AB367),AA367,AB367),"--")</f>
        <v/>
      </c>
      <c r="AD367" s="23">
        <f>IFERROR(MAX(-500,MIN(500,AC367-Z367)),"--")</f>
        <v/>
      </c>
      <c r="AE367" s="25">
        <f>IFERROR((AD367-S367)/(T367-S367)*100,"--")</f>
        <v/>
      </c>
    </row>
    <row r="368">
      <c r="A368" s="26" t="inlineStr">
        <is>
          <t>TKAGR</t>
        </is>
      </c>
      <c r="B368" s="36" t="inlineStr">
        <is>
          <t>XO_Legacy</t>
        </is>
      </c>
      <c r="C368" s="26" t="inlineStr">
        <is>
          <t>TKAGR 4 1/8 01/26/26</t>
        </is>
      </c>
      <c r="D368" s="27" t="inlineStr">
        <is>
          <t>TKAGR CDS EUR SR 5Y D14 Corp</t>
        </is>
      </c>
      <c r="E368" s="27" t="inlineStr">
        <is>
          <t>XS1173293561</t>
        </is>
      </c>
      <c r="F368" s="28" t="n">
        <v>45946</v>
      </c>
      <c r="G368" s="28" t="n">
        <v>46043</v>
      </c>
      <c r="H368" s="28" t="n">
        <v>46193</v>
      </c>
      <c r="I368" s="29" t="n">
        <v>16.69000053405762</v>
      </c>
      <c r="J368" s="29" t="n">
        <v>82.83699798583984</v>
      </c>
      <c r="K368" s="29" t="n">
        <v>227.671</v>
      </c>
      <c r="L368" s="29" t="n">
        <v>221.06</v>
      </c>
      <c r="M368" s="30" t="n">
        <v>40</v>
      </c>
      <c r="N368" s="37" t="n">
        <v>-210.9809994659424</v>
      </c>
      <c r="O368" s="38" t="n">
        <v>-210.9809994659424</v>
      </c>
      <c r="P368" s="38" t="n">
        <v>-174.9587992248535</v>
      </c>
      <c r="Q368" s="39" t="n">
        <v>0</v>
      </c>
      <c r="R368" s="38" t="n">
        <v>-133.2052025756836</v>
      </c>
      <c r="S368" s="38" t="n">
        <v>-134.7867967529297</v>
      </c>
      <c r="T368" s="38" t="n">
        <v>-105.4855016479492</v>
      </c>
      <c r="U368" s="40" t="n">
        <v>5.397693759199305</v>
      </c>
      <c r="V368" s="20">
        <f>IFERROR(BDP(E368&amp;" Corp","LAST_PRICE"),"--")</f>
        <v/>
      </c>
      <c r="W368" s="21">
        <f>IFERROR(BDP(E368&amp;" Corp","YAS_BENCHMARK_BOND_ISIN"),"--")</f>
        <v/>
      </c>
      <c r="X368" s="22">
        <f>IFERROR(BDP(W368&amp;" CORP","LAST_PRICE"),"--")</f>
        <v/>
      </c>
      <c r="Y368" s="23">
        <f>IFERROR(BDP(E368&amp;" Corp","YAS_YLD_SPREAD","YAS_BOND_PX="&amp;V368,"YAS_BNCHMRK_BOND_PX="&amp;X368),"--")</f>
        <v/>
      </c>
      <c r="Z368" s="23">
        <f>IFERROR(BDP(E368&amp;" Corp","BLOOMBERG_MID_G_SPREAD","YAS_BOND_PX="&amp;V368,"YAS_BNCHMRK_BOND_PX="&amp;X368),"--")</f>
        <v/>
      </c>
      <c r="AA368" s="23">
        <f>IFERROR(BDP(D368,"LAST_PRICE"),"--")</f>
        <v/>
      </c>
      <c r="AB368" s="24" t="n"/>
      <c r="AC368" s="23">
        <f>IFERROR(IF(ISBLANK(AB368),AA368,AB368),"--")</f>
        <v/>
      </c>
      <c r="AD368" s="23">
        <f>IFERROR(MAX(-500,MIN(500,AC368-Z368)),"--")</f>
        <v/>
      </c>
      <c r="AE368" s="25">
        <f>IFERROR((AD368-S368)/(T368-S368)*100,"--")</f>
        <v/>
      </c>
    </row>
  </sheetData>
  <mergeCells count="3">
    <mergeCell ref="V3:AE3"/>
    <mergeCell ref="A3:M3"/>
    <mergeCell ref="N3:U3"/>
  </mergeCells>
  <conditionalFormatting sqref="N5:N368">
    <cfRule type="colorScale" priority="1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Q5:Q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R5:R368">
    <cfRule type="colorScale" priority="3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U5:U368">
    <cfRule type="colorScale" priority="4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E5:AE368">
    <cfRule type="colorScale" priority="5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2026-07-24T01:37:37Z</dcterms:created>
  <dcterms:modified xsi:type="dcterms:W3CDTF">2026-07-24T01:37:38Z</dcterms:modified>
</cp:coreProperties>
</file>